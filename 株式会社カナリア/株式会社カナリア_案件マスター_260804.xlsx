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ag-Le-0018\OneDrive - 株式会社　Ｍ＆Ａ承継機構　\デスクトップ\M&amp;A承継機構\案件\受託前\か行\株式会社カナリア\03_NN、IM\"/>
    </mc:Choice>
  </mc:AlternateContent>
  <xr:revisionPtr revIDLastSave="0" documentId="13_ncr:1_{C9249880-4E6E-40F3-A6F7-9F5BA34D077C}" xr6:coauthVersionLast="47" xr6:coauthVersionMax="47" xr10:uidLastSave="{00000000-0000-0000-0000-000000000000}"/>
  <bookViews>
    <workbookView xWindow="-110" yWindow="-110" windowWidth="19420" windowHeight="11500" tabRatio="770" firstSheet="18" activeTab="21" xr2:uid="{00000000-000D-0000-FFFF-FFFF00000000}"/>
  </bookViews>
  <sheets>
    <sheet name="ルール" sheetId="1" r:id="rId1"/>
    <sheet name="財務入力→" sheetId="2" r:id="rId2"/>
    <sheet name="BS(借方)" sheetId="3" r:id="rId3"/>
    <sheet name="BS (貸方)" sheetId="4" r:id="rId4"/>
    <sheet name="PL" sheetId="5" r:id="rId5"/>
    <sheet name="CR" sheetId="6" r:id="rId6"/>
    <sheet name="SGA" sheetId="7" r:id="rId7"/>
    <sheet name="VR→ " sheetId="8" r:id="rId8"/>
    <sheet name="株式価値 " sheetId="9" r:id="rId9"/>
    <sheet name="売掛・棚卸" sheetId="11" r:id="rId10"/>
    <sheet name="減価償却" sheetId="12" r:id="rId11"/>
    <sheet name="土地" sheetId="13" r:id="rId12"/>
    <sheet name="保険" sheetId="14" r:id="rId13"/>
    <sheet name="有価証券" sheetId="15" r:id="rId14"/>
    <sheet name="未払人件費・賞与" sheetId="17" r:id="rId15"/>
    <sheet name="退職金" sheetId="18" r:id="rId16"/>
    <sheet name="税効果" sheetId="19" r:id="rId17"/>
    <sheet name="ネットキャッシュ" sheetId="20" r:id="rId18"/>
    <sheet name="修正BS(借方)" sheetId="10" r:id="rId19"/>
    <sheet name="修正BS(貸方) " sheetId="16" r:id="rId20"/>
    <sheet name="修正PL" sheetId="21" r:id="rId21"/>
    <sheet name="修正SGA" sheetId="22" r:id="rId22"/>
    <sheet name="修正CR" sheetId="23" r:id="rId23"/>
    <sheet name="年買法" sheetId="24" r:id="rId24"/>
    <sheet name="EV EBITDAマルチプル" sheetId="25" r:id="rId25"/>
    <sheet name="分割後BS" sheetId="47" r:id="rId26"/>
    <sheet name="参照企業" sheetId="26" r:id="rId27"/>
    <sheet name="IM→" sheetId="27" r:id="rId28"/>
    <sheet name="会社概要" sheetId="28" r:id="rId29"/>
    <sheet name="PLハイライト" sheetId="29" r:id="rId30"/>
    <sheet name="BSハイライト" sheetId="30" r:id="rId31"/>
    <sheet name="取引先" sheetId="31" r:id="rId32"/>
    <sheet name="仕入先" sheetId="32" r:id="rId33"/>
    <sheet name="外注先" sheetId="33" r:id="rId34"/>
    <sheet name="株主" sheetId="34" r:id="rId35"/>
    <sheet name="取締役" sheetId="35" r:id="rId36"/>
    <sheet name="従業員" sheetId="36" r:id="rId37"/>
    <sheet name="拠点(本社等)" sheetId="37" r:id="rId38"/>
    <sheet name="不動産(所有)" sheetId="38" r:id="rId39"/>
    <sheet name="不動産(賃借) " sheetId="39" r:id="rId40"/>
    <sheet name="設備" sheetId="48" r:id="rId41"/>
    <sheet name="財務" sheetId="41" r:id="rId42"/>
    <sheet name="その他" sheetId="42" r:id="rId43"/>
    <sheet name="スケジュール(横)" sheetId="43" r:id="rId44"/>
    <sheet name="スケジュール(縦)" sheetId="44" r:id="rId45"/>
    <sheet name="グラフ" sheetId="45" r:id="rId46"/>
    <sheet name="表" sheetId="46" r:id="rId47"/>
  </sheets>
  <externalReferences>
    <externalReference r:id="rId48"/>
  </externalReferences>
  <definedNames>
    <definedName name="_xlnm._FilterDatabase" localSheetId="18" hidden="1">'修正BS(借方)'!$B$4:$E$61</definedName>
    <definedName name="_xlnm._FilterDatabase" localSheetId="19" hidden="1">'修正BS(貸方) '!$B$4:$E$53</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0" i="22" l="1"/>
  <c r="G10" i="22"/>
  <c r="G8" i="22"/>
  <c r="J5" i="22"/>
  <c r="J10" i="22"/>
  <c r="J15" i="22"/>
  <c r="G15" i="22"/>
  <c r="D15" i="22"/>
  <c r="D8" i="22"/>
  <c r="D23" i="10"/>
  <c r="D23" i="47"/>
  <c r="F20" i="30"/>
  <c r="F11" i="30"/>
  <c r="C21" i="30"/>
  <c r="C19" i="30"/>
  <c r="C10" i="30"/>
  <c r="F93" i="47" l="1"/>
  <c r="C93" i="47"/>
  <c r="E93" i="47" s="1"/>
  <c r="F92" i="47"/>
  <c r="E92" i="47"/>
  <c r="F91" i="47"/>
  <c r="E91" i="47"/>
  <c r="F90" i="47"/>
  <c r="C90" i="47"/>
  <c r="C89" i="47" s="1"/>
  <c r="D89" i="47"/>
  <c r="F89" i="47" s="1"/>
  <c r="F88" i="47"/>
  <c r="E88" i="47"/>
  <c r="F87" i="47"/>
  <c r="E87" i="47"/>
  <c r="F86" i="47"/>
  <c r="C86" i="47"/>
  <c r="E86" i="47" s="1"/>
  <c r="D85" i="47"/>
  <c r="F85" i="47" s="1"/>
  <c r="F81" i="47"/>
  <c r="E81" i="47"/>
  <c r="F80" i="47"/>
  <c r="E80" i="47"/>
  <c r="F79" i="47"/>
  <c r="E79" i="47"/>
  <c r="F78" i="47"/>
  <c r="E78" i="47"/>
  <c r="F77" i="47"/>
  <c r="E77" i="47"/>
  <c r="F76" i="47"/>
  <c r="C76" i="47"/>
  <c r="C75" i="47" s="1"/>
  <c r="D75" i="47"/>
  <c r="F74" i="47"/>
  <c r="E74" i="47"/>
  <c r="F73" i="47"/>
  <c r="E73" i="47"/>
  <c r="F72" i="47"/>
  <c r="C72" i="47"/>
  <c r="E72" i="47" s="1"/>
  <c r="F71" i="47"/>
  <c r="C71" i="47"/>
  <c r="E71" i="47" s="1"/>
  <c r="F70" i="47"/>
  <c r="C70" i="47"/>
  <c r="E70" i="47" s="1"/>
  <c r="F69" i="47"/>
  <c r="C69" i="47"/>
  <c r="E69" i="47" s="1"/>
  <c r="F68" i="47"/>
  <c r="C68" i="47"/>
  <c r="E68" i="47" s="1"/>
  <c r="F67" i="47"/>
  <c r="C67" i="47"/>
  <c r="E67" i="47" s="1"/>
  <c r="D66" i="47"/>
  <c r="F66" i="47" s="1"/>
  <c r="F60" i="47"/>
  <c r="C60" i="47"/>
  <c r="E60" i="47" s="1"/>
  <c r="F59" i="47"/>
  <c r="E59" i="47"/>
  <c r="F58" i="47"/>
  <c r="E58" i="47"/>
  <c r="F57" i="47"/>
  <c r="E57" i="47"/>
  <c r="F56" i="47"/>
  <c r="E56" i="47"/>
  <c r="D55" i="47"/>
  <c r="F55" i="47" s="1"/>
  <c r="C55" i="47"/>
  <c r="F54" i="47"/>
  <c r="E54" i="47"/>
  <c r="F53" i="47"/>
  <c r="C53" i="47"/>
  <c r="E53" i="47" s="1"/>
  <c r="C52" i="47"/>
  <c r="F51" i="47"/>
  <c r="C51" i="47"/>
  <c r="E51" i="47" s="1"/>
  <c r="F50" i="47"/>
  <c r="C50" i="47"/>
  <c r="E50" i="47" s="1"/>
  <c r="F49" i="47"/>
  <c r="C49" i="47"/>
  <c r="E49" i="47" s="1"/>
  <c r="F48" i="47"/>
  <c r="C48" i="47"/>
  <c r="E48" i="47" s="1"/>
  <c r="C47" i="47"/>
  <c r="F45" i="47"/>
  <c r="E45" i="47"/>
  <c r="F44" i="47"/>
  <c r="E44" i="47"/>
  <c r="F43" i="47"/>
  <c r="E43" i="47"/>
  <c r="F42" i="47"/>
  <c r="E42" i="47"/>
  <c r="F41" i="47"/>
  <c r="E41" i="47"/>
  <c r="F40" i="47"/>
  <c r="E40" i="47"/>
  <c r="F39" i="47"/>
  <c r="E39" i="47"/>
  <c r="F38" i="47"/>
  <c r="E38" i="47"/>
  <c r="F37" i="47"/>
  <c r="E37" i="47"/>
  <c r="F36" i="47"/>
  <c r="C36" i="47"/>
  <c r="C35" i="47" s="1"/>
  <c r="D35" i="47"/>
  <c r="F35" i="47" s="1"/>
  <c r="F34" i="47"/>
  <c r="E34" i="47"/>
  <c r="F33" i="47"/>
  <c r="E33" i="47"/>
  <c r="F32" i="47"/>
  <c r="E32" i="47"/>
  <c r="F31" i="47"/>
  <c r="E31" i="47"/>
  <c r="F30" i="47"/>
  <c r="E30" i="47"/>
  <c r="F29" i="47"/>
  <c r="E29" i="47"/>
  <c r="F28" i="47"/>
  <c r="E28" i="47"/>
  <c r="F27" i="47"/>
  <c r="E27" i="47"/>
  <c r="F26" i="47"/>
  <c r="E26" i="47"/>
  <c r="F25" i="47"/>
  <c r="E25" i="47"/>
  <c r="F24" i="47"/>
  <c r="C24" i="47"/>
  <c r="E24" i="47" s="1"/>
  <c r="F23" i="47"/>
  <c r="C23" i="47"/>
  <c r="E23" i="47" s="1"/>
  <c r="F22" i="47"/>
  <c r="C22" i="47"/>
  <c r="D21" i="47"/>
  <c r="F21" i="47" s="1"/>
  <c r="F19" i="47"/>
  <c r="E19" i="47"/>
  <c r="F18" i="47"/>
  <c r="E18" i="47"/>
  <c r="F17" i="47"/>
  <c r="E17" i="47"/>
  <c r="F16" i="47"/>
  <c r="E16" i="47"/>
  <c r="F15" i="47"/>
  <c r="E15" i="47"/>
  <c r="F14" i="47"/>
  <c r="E14" i="47"/>
  <c r="F13" i="47"/>
  <c r="C13" i="47"/>
  <c r="E13" i="47" s="1"/>
  <c r="F12" i="47"/>
  <c r="C12" i="47"/>
  <c r="E12" i="47" s="1"/>
  <c r="F11" i="47"/>
  <c r="C11" i="47"/>
  <c r="E11" i="47" s="1"/>
  <c r="F10" i="47"/>
  <c r="C10" i="47"/>
  <c r="E10" i="47" s="1"/>
  <c r="F9" i="47"/>
  <c r="C9" i="47"/>
  <c r="E9" i="47" s="1"/>
  <c r="F8" i="47"/>
  <c r="C8" i="47"/>
  <c r="E8" i="47" s="1"/>
  <c r="F7" i="47"/>
  <c r="C7" i="47"/>
  <c r="E7" i="47" s="1"/>
  <c r="F6" i="47"/>
  <c r="C6" i="47"/>
  <c r="E6" i="47" s="1"/>
  <c r="D5" i="47"/>
  <c r="G2" i="36"/>
  <c r="E18" i="29"/>
  <c r="E55" i="47" l="1"/>
  <c r="D82" i="47"/>
  <c r="F82" i="47" s="1"/>
  <c r="E35" i="47"/>
  <c r="E89" i="47"/>
  <c r="E75" i="47"/>
  <c r="E90" i="47"/>
  <c r="C46" i="47"/>
  <c r="C21" i="47"/>
  <c r="E21" i="47" s="1"/>
  <c r="E36" i="47"/>
  <c r="D47" i="47"/>
  <c r="E47" i="47" s="1"/>
  <c r="C5" i="47"/>
  <c r="E76" i="47"/>
  <c r="D52" i="47"/>
  <c r="F52" i="47" s="1"/>
  <c r="C85" i="47"/>
  <c r="C66" i="47"/>
  <c r="F5" i="47"/>
  <c r="F75" i="47"/>
  <c r="E22" i="47"/>
  <c r="D52" i="10"/>
  <c r="E52" i="10" s="1"/>
  <c r="C6" i="20" s="1"/>
  <c r="D47" i="10"/>
  <c r="B5" i="44"/>
  <c r="B6" i="44" s="1"/>
  <c r="C4" i="44"/>
  <c r="J34" i="36"/>
  <c r="H34" i="36"/>
  <c r="J33" i="36"/>
  <c r="H33" i="36"/>
  <c r="J32" i="36"/>
  <c r="H32" i="36"/>
  <c r="J31" i="36"/>
  <c r="H31" i="36"/>
  <c r="J30" i="36"/>
  <c r="H30" i="36"/>
  <c r="J29" i="36"/>
  <c r="H29" i="36"/>
  <c r="J28" i="36"/>
  <c r="H28" i="36"/>
  <c r="J27" i="36"/>
  <c r="H27" i="36"/>
  <c r="J26" i="36"/>
  <c r="H26" i="36"/>
  <c r="J25" i="36"/>
  <c r="H25" i="36"/>
  <c r="J24" i="36"/>
  <c r="H24" i="36"/>
  <c r="J23" i="36"/>
  <c r="H23" i="36"/>
  <c r="J22" i="36"/>
  <c r="H22" i="36"/>
  <c r="J21" i="36"/>
  <c r="H21" i="36"/>
  <c r="J20" i="36"/>
  <c r="H20" i="36"/>
  <c r="J19" i="36"/>
  <c r="H19" i="36"/>
  <c r="J18" i="36"/>
  <c r="H18" i="36"/>
  <c r="J17" i="36"/>
  <c r="H17" i="36"/>
  <c r="J16" i="36"/>
  <c r="H16" i="36"/>
  <c r="J15" i="36"/>
  <c r="H15" i="36"/>
  <c r="J14" i="36"/>
  <c r="H14" i="36"/>
  <c r="J13" i="36"/>
  <c r="H13" i="36"/>
  <c r="J12" i="36"/>
  <c r="H12" i="36"/>
  <c r="J11" i="36"/>
  <c r="H11" i="36"/>
  <c r="J10" i="36"/>
  <c r="H10" i="36"/>
  <c r="J9" i="36"/>
  <c r="H9" i="36"/>
  <c r="J8" i="36"/>
  <c r="H8" i="36"/>
  <c r="J7" i="36"/>
  <c r="H7" i="36"/>
  <c r="J6" i="36"/>
  <c r="H6" i="36"/>
  <c r="J5" i="36"/>
  <c r="H5" i="36"/>
  <c r="F15" i="35"/>
  <c r="F15" i="34"/>
  <c r="G13" i="34" s="1"/>
  <c r="E15" i="34"/>
  <c r="L15" i="33"/>
  <c r="J15" i="33"/>
  <c r="H15" i="33"/>
  <c r="L14" i="33"/>
  <c r="J14" i="33"/>
  <c r="H14" i="33"/>
  <c r="L13" i="33"/>
  <c r="J13" i="33"/>
  <c r="H13" i="33"/>
  <c r="L12" i="33"/>
  <c r="J12" i="33"/>
  <c r="H12" i="33"/>
  <c r="L11" i="33"/>
  <c r="J11" i="33"/>
  <c r="H11" i="33"/>
  <c r="L10" i="33"/>
  <c r="J10" i="33"/>
  <c r="H10" i="33"/>
  <c r="L9" i="33"/>
  <c r="J9" i="33"/>
  <c r="H9" i="33"/>
  <c r="L8" i="33"/>
  <c r="J8" i="33"/>
  <c r="H8" i="33"/>
  <c r="L7" i="33"/>
  <c r="J7" i="33"/>
  <c r="H7" i="33"/>
  <c r="L6" i="33"/>
  <c r="J6" i="33"/>
  <c r="H6" i="33"/>
  <c r="L5" i="33"/>
  <c r="J5" i="33"/>
  <c r="H5" i="33"/>
  <c r="J16" i="32"/>
  <c r="K11" i="32" s="1"/>
  <c r="H16" i="32"/>
  <c r="I12" i="32" s="1"/>
  <c r="F16" i="32"/>
  <c r="G14" i="32" s="1"/>
  <c r="K16" i="31"/>
  <c r="L11" i="31" s="1"/>
  <c r="I16" i="31"/>
  <c r="J12" i="31" s="1"/>
  <c r="G16" i="31"/>
  <c r="H12" i="31" s="1"/>
  <c r="F4" i="30"/>
  <c r="E22" i="29"/>
  <c r="D22" i="29"/>
  <c r="C22" i="29"/>
  <c r="E21" i="29"/>
  <c r="D21" i="29"/>
  <c r="C21" i="29"/>
  <c r="E20" i="29"/>
  <c r="D20" i="29"/>
  <c r="C20" i="29"/>
  <c r="G19" i="29"/>
  <c r="G17" i="29" s="1"/>
  <c r="F19" i="29"/>
  <c r="F17" i="29" s="1"/>
  <c r="E15" i="26"/>
  <c r="E14" i="26"/>
  <c r="J6" i="25"/>
  <c r="Q40" i="23"/>
  <c r="N40" i="23"/>
  <c r="K40" i="23"/>
  <c r="H40" i="23"/>
  <c r="E40" i="23"/>
  <c r="Q38" i="23"/>
  <c r="N38" i="23"/>
  <c r="K38" i="23"/>
  <c r="H38" i="23"/>
  <c r="E38" i="23"/>
  <c r="P36" i="23"/>
  <c r="O36" i="23"/>
  <c r="M36" i="23"/>
  <c r="L36" i="23"/>
  <c r="J36" i="23"/>
  <c r="I36" i="23"/>
  <c r="G36" i="23"/>
  <c r="F36" i="23"/>
  <c r="D36" i="23"/>
  <c r="C36" i="23"/>
  <c r="Q35" i="23"/>
  <c r="N35" i="23"/>
  <c r="K35" i="23"/>
  <c r="H35" i="23"/>
  <c r="E35" i="23"/>
  <c r="Q34" i="23"/>
  <c r="N34" i="23"/>
  <c r="K34" i="23"/>
  <c r="H34" i="23"/>
  <c r="E34" i="23"/>
  <c r="Q33" i="23"/>
  <c r="N33" i="23"/>
  <c r="K33" i="23"/>
  <c r="H33" i="23"/>
  <c r="E33" i="23"/>
  <c r="Q32" i="23"/>
  <c r="N32" i="23"/>
  <c r="K32" i="23"/>
  <c r="H32" i="23"/>
  <c r="E32" i="23"/>
  <c r="Q31" i="23"/>
  <c r="N31" i="23"/>
  <c r="K31" i="23"/>
  <c r="H31" i="23"/>
  <c r="E31" i="23"/>
  <c r="Q30" i="23"/>
  <c r="N30" i="23"/>
  <c r="K30" i="23"/>
  <c r="H30" i="23"/>
  <c r="E30" i="23"/>
  <c r="Q29" i="23"/>
  <c r="N29" i="23"/>
  <c r="K29" i="23"/>
  <c r="H29" i="23"/>
  <c r="E29" i="23"/>
  <c r="Q28" i="23"/>
  <c r="N28" i="23"/>
  <c r="K28" i="23"/>
  <c r="H28" i="23"/>
  <c r="E28" i="23"/>
  <c r="Q27" i="23"/>
  <c r="N27" i="23"/>
  <c r="K27" i="23"/>
  <c r="H27" i="23"/>
  <c r="E27" i="23"/>
  <c r="Q26" i="23"/>
  <c r="N26" i="23"/>
  <c r="K26" i="23"/>
  <c r="H26" i="23"/>
  <c r="E26" i="23"/>
  <c r="P25" i="23"/>
  <c r="O25" i="23"/>
  <c r="M25" i="23"/>
  <c r="L25" i="23"/>
  <c r="J25" i="23"/>
  <c r="I25" i="23"/>
  <c r="G25" i="23"/>
  <c r="F25" i="23"/>
  <c r="D25" i="23"/>
  <c r="C25" i="23"/>
  <c r="Q24" i="23"/>
  <c r="N24" i="23"/>
  <c r="K24" i="23"/>
  <c r="H24" i="23"/>
  <c r="E24" i="23"/>
  <c r="Q23" i="23"/>
  <c r="N23" i="23"/>
  <c r="K23" i="23"/>
  <c r="H23" i="23"/>
  <c r="E23" i="23"/>
  <c r="Q22" i="23"/>
  <c r="N22" i="23"/>
  <c r="K22" i="23"/>
  <c r="H22" i="23"/>
  <c r="E22" i="23"/>
  <c r="Q21" i="23"/>
  <c r="N21" i="23"/>
  <c r="K21" i="23"/>
  <c r="H21" i="23"/>
  <c r="E21" i="23"/>
  <c r="Q20" i="23"/>
  <c r="N20" i="23"/>
  <c r="K20" i="23"/>
  <c r="H20" i="23"/>
  <c r="E20" i="23"/>
  <c r="Q19" i="23"/>
  <c r="N19" i="23"/>
  <c r="K19" i="23"/>
  <c r="H19" i="23"/>
  <c r="E19" i="23"/>
  <c r="P18" i="23"/>
  <c r="O18" i="23"/>
  <c r="M18" i="23"/>
  <c r="L18" i="23"/>
  <c r="J18" i="23"/>
  <c r="I18" i="23"/>
  <c r="G18" i="23"/>
  <c r="F18" i="23"/>
  <c r="D18" i="23"/>
  <c r="C18" i="23"/>
  <c r="Q17" i="23"/>
  <c r="N17" i="23"/>
  <c r="K17" i="23"/>
  <c r="H17" i="23"/>
  <c r="E17" i="23"/>
  <c r="Q16" i="23"/>
  <c r="N16" i="23"/>
  <c r="K16" i="23"/>
  <c r="H16" i="23"/>
  <c r="E16" i="23"/>
  <c r="Q15" i="23"/>
  <c r="N15" i="23"/>
  <c r="K15" i="23"/>
  <c r="H15" i="23"/>
  <c r="E15" i="23"/>
  <c r="Q14" i="23"/>
  <c r="N14" i="23"/>
  <c r="K14" i="23"/>
  <c r="H14" i="23"/>
  <c r="E14" i="23"/>
  <c r="Q13" i="23"/>
  <c r="N13" i="23"/>
  <c r="K13" i="23"/>
  <c r="H13" i="23"/>
  <c r="E13" i="23"/>
  <c r="Q12" i="23"/>
  <c r="N12" i="23"/>
  <c r="K12" i="23"/>
  <c r="H12" i="23"/>
  <c r="E12" i="23"/>
  <c r="P11" i="23"/>
  <c r="O11" i="23"/>
  <c r="M11" i="23"/>
  <c r="L11" i="23"/>
  <c r="J11" i="23"/>
  <c r="I11" i="23"/>
  <c r="G11" i="23"/>
  <c r="F11" i="23"/>
  <c r="D11" i="23"/>
  <c r="C11" i="23"/>
  <c r="Q10" i="23"/>
  <c r="N10" i="23"/>
  <c r="K10" i="23"/>
  <c r="H10" i="23"/>
  <c r="E10" i="23"/>
  <c r="Q9" i="23"/>
  <c r="N9" i="23"/>
  <c r="K9" i="23"/>
  <c r="H9" i="23"/>
  <c r="E9" i="23"/>
  <c r="Q8" i="23"/>
  <c r="N8" i="23"/>
  <c r="K8" i="23"/>
  <c r="H8" i="23"/>
  <c r="E8" i="23"/>
  <c r="Q7" i="23"/>
  <c r="N7" i="23"/>
  <c r="K7" i="23"/>
  <c r="H7" i="23"/>
  <c r="E7" i="23"/>
  <c r="Q6" i="23"/>
  <c r="N6" i="23"/>
  <c r="K6" i="23"/>
  <c r="H6" i="23"/>
  <c r="E6" i="23"/>
  <c r="Q5" i="23"/>
  <c r="N5" i="23"/>
  <c r="K5" i="23"/>
  <c r="H5" i="23"/>
  <c r="E5" i="23"/>
  <c r="O3" i="23"/>
  <c r="L3" i="23"/>
  <c r="I3" i="23"/>
  <c r="F3" i="23"/>
  <c r="C3" i="23"/>
  <c r="P39" i="22"/>
  <c r="O39" i="22"/>
  <c r="M39" i="22"/>
  <c r="L39" i="22"/>
  <c r="I39" i="22"/>
  <c r="I21" i="21" s="1"/>
  <c r="F39" i="22"/>
  <c r="F21" i="21" s="1"/>
  <c r="C39" i="22"/>
  <c r="C21" i="21" s="1"/>
  <c r="Q38" i="22"/>
  <c r="N38" i="22"/>
  <c r="K38" i="22"/>
  <c r="H38" i="22"/>
  <c r="E38" i="22"/>
  <c r="Q37" i="22"/>
  <c r="N37" i="22"/>
  <c r="K37" i="22"/>
  <c r="H37" i="22"/>
  <c r="E37" i="22"/>
  <c r="Q36" i="22"/>
  <c r="N36" i="22"/>
  <c r="K36" i="22"/>
  <c r="H36" i="22"/>
  <c r="E36" i="22"/>
  <c r="Q35" i="22"/>
  <c r="N35" i="22"/>
  <c r="K35" i="22"/>
  <c r="H35" i="22"/>
  <c r="E35" i="22"/>
  <c r="Q34" i="22"/>
  <c r="N34" i="22"/>
  <c r="J34" i="22"/>
  <c r="K34" i="22" s="1"/>
  <c r="G34" i="22"/>
  <c r="H34" i="22" s="1"/>
  <c r="D34" i="22"/>
  <c r="E34" i="22" s="1"/>
  <c r="Q33" i="22"/>
  <c r="N33" i="22"/>
  <c r="K33" i="22"/>
  <c r="H7" i="25" s="1"/>
  <c r="H33" i="22"/>
  <c r="G7" i="25" s="1"/>
  <c r="E33" i="22"/>
  <c r="F7" i="25" s="1"/>
  <c r="Q32" i="22"/>
  <c r="N32" i="22"/>
  <c r="K32" i="22"/>
  <c r="H32" i="22"/>
  <c r="E32" i="22"/>
  <c r="Q31" i="22"/>
  <c r="N31" i="22"/>
  <c r="J31" i="22"/>
  <c r="K31" i="22" s="1"/>
  <c r="G31" i="22"/>
  <c r="H31" i="22" s="1"/>
  <c r="D31" i="22"/>
  <c r="E31" i="22" s="1"/>
  <c r="Q30" i="22"/>
  <c r="N30" i="22"/>
  <c r="K30" i="22"/>
  <c r="H30" i="22"/>
  <c r="E30" i="22"/>
  <c r="Q29" i="22"/>
  <c r="N29" i="22"/>
  <c r="K29" i="22"/>
  <c r="H29" i="22"/>
  <c r="E29" i="22"/>
  <c r="Q28" i="22"/>
  <c r="N28" i="22"/>
  <c r="K28" i="22"/>
  <c r="H28" i="22"/>
  <c r="E28" i="22"/>
  <c r="Q27" i="22"/>
  <c r="N27" i="22"/>
  <c r="K27" i="22"/>
  <c r="H27" i="22"/>
  <c r="E27" i="22"/>
  <c r="Q26" i="22"/>
  <c r="N26" i="22"/>
  <c r="K26" i="22"/>
  <c r="H26" i="22"/>
  <c r="E26" i="22"/>
  <c r="Q25" i="22"/>
  <c r="N25" i="22"/>
  <c r="K25" i="22"/>
  <c r="H25" i="22"/>
  <c r="E25" i="22"/>
  <c r="Q24" i="22"/>
  <c r="N24" i="22"/>
  <c r="K24" i="22"/>
  <c r="H24" i="22"/>
  <c r="E24" i="22"/>
  <c r="Q23" i="22"/>
  <c r="N23" i="22"/>
  <c r="K23" i="22"/>
  <c r="H23" i="22"/>
  <c r="E23" i="22"/>
  <c r="Q22" i="22"/>
  <c r="N22" i="22"/>
  <c r="K22" i="22"/>
  <c r="H22" i="22"/>
  <c r="E22" i="22"/>
  <c r="Q21" i="22"/>
  <c r="N21" i="22"/>
  <c r="K21" i="22"/>
  <c r="H21" i="22"/>
  <c r="E21" i="22"/>
  <c r="Q20" i="22"/>
  <c r="N20" i="22"/>
  <c r="K20" i="22"/>
  <c r="H20" i="22"/>
  <c r="E20" i="22"/>
  <c r="Q19" i="22"/>
  <c r="N19" i="22"/>
  <c r="K19" i="22"/>
  <c r="H19" i="22"/>
  <c r="E19" i="22"/>
  <c r="Q18" i="22"/>
  <c r="N18" i="22"/>
  <c r="K18" i="22"/>
  <c r="H18" i="22"/>
  <c r="E18" i="22"/>
  <c r="Q17" i="22"/>
  <c r="N17" i="22"/>
  <c r="K17" i="22"/>
  <c r="H17" i="22"/>
  <c r="E17" i="22"/>
  <c r="Q16" i="22"/>
  <c r="N16" i="22"/>
  <c r="K16" i="22"/>
  <c r="H16" i="22"/>
  <c r="E16" i="22"/>
  <c r="Q15" i="22"/>
  <c r="N15" i="22"/>
  <c r="K15" i="22"/>
  <c r="H15" i="22"/>
  <c r="E15" i="22"/>
  <c r="Q14" i="22"/>
  <c r="N14" i="22"/>
  <c r="K14" i="22"/>
  <c r="H14" i="22"/>
  <c r="E14" i="22"/>
  <c r="Q13" i="22"/>
  <c r="N13" i="22"/>
  <c r="K13" i="22"/>
  <c r="H13" i="22"/>
  <c r="E13" i="22"/>
  <c r="Q12" i="22"/>
  <c r="N12" i="22"/>
  <c r="K12" i="22"/>
  <c r="H12" i="22"/>
  <c r="E12" i="22"/>
  <c r="Q11" i="22"/>
  <c r="N11" i="22"/>
  <c r="K11" i="22"/>
  <c r="H11" i="22"/>
  <c r="E11" i="22"/>
  <c r="Q10" i="22"/>
  <c r="N10" i="22"/>
  <c r="H10" i="22"/>
  <c r="Q9" i="22"/>
  <c r="N9" i="22"/>
  <c r="K9" i="22"/>
  <c r="H9" i="22"/>
  <c r="E9" i="22"/>
  <c r="Q8" i="22"/>
  <c r="N8" i="22"/>
  <c r="K8" i="22"/>
  <c r="H8" i="22"/>
  <c r="E8" i="22"/>
  <c r="Q7" i="22"/>
  <c r="N7" i="22"/>
  <c r="K7" i="22"/>
  <c r="H7" i="22"/>
  <c r="E7" i="22"/>
  <c r="Q6" i="22"/>
  <c r="N6" i="22"/>
  <c r="K6" i="22"/>
  <c r="E19" i="29"/>
  <c r="H6" i="22"/>
  <c r="Q5" i="22"/>
  <c r="N5" i="22"/>
  <c r="K5" i="22"/>
  <c r="H5" i="22"/>
  <c r="E5" i="22"/>
  <c r="O3" i="22"/>
  <c r="L3" i="22"/>
  <c r="I3" i="22"/>
  <c r="F3" i="22"/>
  <c r="C3" i="22"/>
  <c r="Q73" i="21"/>
  <c r="N73" i="21"/>
  <c r="K73" i="21"/>
  <c r="H73" i="21"/>
  <c r="E73" i="21"/>
  <c r="Q72" i="21"/>
  <c r="N72" i="21"/>
  <c r="K72" i="21"/>
  <c r="H72" i="21"/>
  <c r="E72" i="21"/>
  <c r="Q71" i="21"/>
  <c r="N71" i="21"/>
  <c r="K71" i="21"/>
  <c r="H71" i="21"/>
  <c r="E71" i="21"/>
  <c r="Q70" i="21"/>
  <c r="N70" i="21"/>
  <c r="K70" i="21"/>
  <c r="H70" i="21"/>
  <c r="E70" i="21"/>
  <c r="Q69" i="21"/>
  <c r="N69" i="21"/>
  <c r="K69" i="21"/>
  <c r="H69" i="21"/>
  <c r="E69" i="21"/>
  <c r="Q68" i="21"/>
  <c r="N68" i="21"/>
  <c r="K68" i="21"/>
  <c r="H68" i="21"/>
  <c r="E68" i="21"/>
  <c r="Q67" i="21"/>
  <c r="N67" i="21"/>
  <c r="K67" i="21"/>
  <c r="H67" i="21"/>
  <c r="E67" i="21"/>
  <c r="Q66" i="21"/>
  <c r="N66" i="21"/>
  <c r="K66" i="21"/>
  <c r="H66" i="21"/>
  <c r="E66" i="21"/>
  <c r="Q65" i="21"/>
  <c r="N65" i="21"/>
  <c r="K65" i="21"/>
  <c r="H65" i="21"/>
  <c r="E65" i="21"/>
  <c r="Q64" i="21"/>
  <c r="N64" i="21"/>
  <c r="K64" i="21"/>
  <c r="H64" i="21"/>
  <c r="E64" i="21"/>
  <c r="Q63" i="21"/>
  <c r="N63" i="21"/>
  <c r="K63" i="21"/>
  <c r="H63" i="21"/>
  <c r="E63" i="21"/>
  <c r="Q62" i="21"/>
  <c r="N62" i="21"/>
  <c r="K62" i="21"/>
  <c r="H62" i="21"/>
  <c r="E62" i="21"/>
  <c r="Q61" i="21"/>
  <c r="N61" i="21"/>
  <c r="K61" i="21"/>
  <c r="H61" i="21"/>
  <c r="E61" i="21"/>
  <c r="Q60" i="21"/>
  <c r="N60" i="21"/>
  <c r="K60" i="21"/>
  <c r="H60" i="21"/>
  <c r="E60" i="21"/>
  <c r="Q59" i="21"/>
  <c r="N59" i="21"/>
  <c r="K59" i="21"/>
  <c r="H59" i="21"/>
  <c r="E59" i="21"/>
  <c r="Q58" i="21"/>
  <c r="N58" i="21"/>
  <c r="K58" i="21"/>
  <c r="H58" i="21"/>
  <c r="E58" i="21"/>
  <c r="Q57" i="21"/>
  <c r="N57" i="21"/>
  <c r="K57" i="21"/>
  <c r="H57" i="21"/>
  <c r="E57" i="21"/>
  <c r="Q56" i="21"/>
  <c r="N56" i="21"/>
  <c r="K56" i="21"/>
  <c r="H56" i="21"/>
  <c r="E56" i="21"/>
  <c r="Q55" i="21"/>
  <c r="N55" i="21"/>
  <c r="K55" i="21"/>
  <c r="H55" i="21"/>
  <c r="E55" i="21"/>
  <c r="Q54" i="21"/>
  <c r="N54" i="21"/>
  <c r="Q53" i="21"/>
  <c r="N53" i="21"/>
  <c r="K53" i="21"/>
  <c r="H53" i="21"/>
  <c r="E53" i="21"/>
  <c r="Q52" i="21"/>
  <c r="N52" i="21"/>
  <c r="K52" i="21"/>
  <c r="H52" i="21"/>
  <c r="E52" i="21"/>
  <c r="Q50" i="21"/>
  <c r="N50" i="21"/>
  <c r="K50" i="21"/>
  <c r="H50" i="21"/>
  <c r="E50" i="21"/>
  <c r="Q49" i="21"/>
  <c r="N49" i="21"/>
  <c r="K49" i="21"/>
  <c r="H49" i="21"/>
  <c r="E49" i="21"/>
  <c r="P48" i="21"/>
  <c r="O48" i="21"/>
  <c r="M48" i="21"/>
  <c r="L48" i="21"/>
  <c r="J48" i="21"/>
  <c r="I48" i="21"/>
  <c r="G48" i="21"/>
  <c r="F48" i="21"/>
  <c r="D48" i="21"/>
  <c r="C48" i="21"/>
  <c r="Q46" i="21"/>
  <c r="N46" i="21"/>
  <c r="J46" i="21"/>
  <c r="K46" i="21" s="1"/>
  <c r="G46" i="21"/>
  <c r="H46" i="21" s="1"/>
  <c r="D46" i="21"/>
  <c r="E46" i="21" s="1"/>
  <c r="Q45" i="21"/>
  <c r="N45" i="21"/>
  <c r="J45" i="21"/>
  <c r="K45" i="21" s="1"/>
  <c r="G45" i="21"/>
  <c r="H45" i="21" s="1"/>
  <c r="D45" i="21"/>
  <c r="E45" i="21" s="1"/>
  <c r="Q44" i="21"/>
  <c r="N44" i="21"/>
  <c r="J44" i="21"/>
  <c r="G44" i="21"/>
  <c r="D44" i="21"/>
  <c r="E44" i="21" s="1"/>
  <c r="Q43" i="21"/>
  <c r="N43" i="21"/>
  <c r="J43" i="21"/>
  <c r="K43" i="21" s="1"/>
  <c r="G43" i="21"/>
  <c r="H43" i="21" s="1"/>
  <c r="D43" i="21"/>
  <c r="E43" i="21" s="1"/>
  <c r="P42" i="21"/>
  <c r="O42" i="21"/>
  <c r="M42" i="21"/>
  <c r="L42" i="21"/>
  <c r="I42" i="21"/>
  <c r="F42" i="21"/>
  <c r="C42" i="21"/>
  <c r="Q41" i="21"/>
  <c r="N41" i="21"/>
  <c r="K41" i="21"/>
  <c r="H41" i="21"/>
  <c r="E41" i="21"/>
  <c r="Q40" i="21"/>
  <c r="N40" i="21"/>
  <c r="K40" i="21"/>
  <c r="H40" i="21"/>
  <c r="E40" i="21"/>
  <c r="Q39" i="21"/>
  <c r="N39" i="21"/>
  <c r="K39" i="21"/>
  <c r="H39" i="21"/>
  <c r="E39" i="21"/>
  <c r="Q38" i="21"/>
  <c r="N38" i="21"/>
  <c r="J38" i="21"/>
  <c r="K38" i="21" s="1"/>
  <c r="G38" i="21"/>
  <c r="H38" i="21" s="1"/>
  <c r="D38" i="21"/>
  <c r="E38" i="21" s="1"/>
  <c r="P37" i="21"/>
  <c r="O37" i="21"/>
  <c r="M37" i="21"/>
  <c r="L37" i="21"/>
  <c r="I37" i="21"/>
  <c r="F37" i="21"/>
  <c r="C37" i="21"/>
  <c r="Q35" i="21"/>
  <c r="N35" i="21"/>
  <c r="K35" i="21"/>
  <c r="H35" i="21"/>
  <c r="E35" i="21"/>
  <c r="Q34" i="21"/>
  <c r="N34" i="21"/>
  <c r="K34" i="21"/>
  <c r="H34" i="21"/>
  <c r="E34" i="21"/>
  <c r="Q33" i="21"/>
  <c r="N33" i="21"/>
  <c r="K33" i="21"/>
  <c r="H33" i="21"/>
  <c r="E33" i="21"/>
  <c r="Q32" i="21"/>
  <c r="N32" i="21"/>
  <c r="J32" i="21"/>
  <c r="G32" i="21"/>
  <c r="H32" i="21" s="1"/>
  <c r="D32" i="21"/>
  <c r="E32" i="21" s="1"/>
  <c r="Q31" i="21"/>
  <c r="N31" i="21"/>
  <c r="J31" i="21"/>
  <c r="K31" i="21" s="1"/>
  <c r="G31" i="21"/>
  <c r="D31" i="21"/>
  <c r="E31" i="21" s="1"/>
  <c r="P30" i="21"/>
  <c r="O30" i="21"/>
  <c r="M30" i="21"/>
  <c r="L30" i="21"/>
  <c r="I30" i="21"/>
  <c r="F30" i="21"/>
  <c r="C30" i="21"/>
  <c r="Q29" i="21"/>
  <c r="N29" i="21"/>
  <c r="J29" i="21"/>
  <c r="K29" i="21" s="1"/>
  <c r="G29" i="21"/>
  <c r="H29" i="21" s="1"/>
  <c r="D29" i="21"/>
  <c r="E29" i="21" s="1"/>
  <c r="Q28" i="21"/>
  <c r="N28" i="21"/>
  <c r="J28" i="21"/>
  <c r="K28" i="21" s="1"/>
  <c r="G28" i="21"/>
  <c r="H28" i="21" s="1"/>
  <c r="D28" i="21"/>
  <c r="E28" i="21" s="1"/>
  <c r="Q27" i="21"/>
  <c r="N27" i="21"/>
  <c r="J27" i="21"/>
  <c r="K27" i="21" s="1"/>
  <c r="G27" i="21"/>
  <c r="H27" i="21" s="1"/>
  <c r="D27" i="21"/>
  <c r="E27" i="21" s="1"/>
  <c r="Q26" i="21"/>
  <c r="N26" i="21"/>
  <c r="J26" i="21"/>
  <c r="K26" i="21" s="1"/>
  <c r="G26" i="21"/>
  <c r="H26" i="21" s="1"/>
  <c r="D26" i="21"/>
  <c r="Q25" i="21"/>
  <c r="N25" i="21"/>
  <c r="J25" i="21"/>
  <c r="K25" i="21" s="1"/>
  <c r="G25" i="21"/>
  <c r="H25" i="21" s="1"/>
  <c r="D25" i="21"/>
  <c r="E25" i="21" s="1"/>
  <c r="Q24" i="21"/>
  <c r="N24" i="21"/>
  <c r="J24" i="21"/>
  <c r="K24" i="21" s="1"/>
  <c r="G24" i="21"/>
  <c r="H24" i="21" s="1"/>
  <c r="D24" i="21"/>
  <c r="E24" i="21" s="1"/>
  <c r="P23" i="21"/>
  <c r="O23" i="21"/>
  <c r="M23" i="21"/>
  <c r="L23" i="21"/>
  <c r="I23" i="21"/>
  <c r="F23" i="21"/>
  <c r="C23" i="21"/>
  <c r="Q21" i="21"/>
  <c r="N21" i="21"/>
  <c r="P19" i="21"/>
  <c r="O19" i="21"/>
  <c r="M19" i="21"/>
  <c r="L19" i="21"/>
  <c r="I19" i="21"/>
  <c r="F19" i="21"/>
  <c r="C19" i="21"/>
  <c r="Q18" i="21"/>
  <c r="N18" i="21"/>
  <c r="K18" i="21"/>
  <c r="H18" i="21"/>
  <c r="E18" i="21"/>
  <c r="Q17" i="21"/>
  <c r="N17" i="21"/>
  <c r="J17" i="21"/>
  <c r="J19" i="21" s="1"/>
  <c r="G17" i="21"/>
  <c r="G19" i="21" s="1"/>
  <c r="D17" i="21"/>
  <c r="E17" i="21" s="1"/>
  <c r="Q16" i="21"/>
  <c r="N16" i="21"/>
  <c r="K16" i="21"/>
  <c r="H16" i="21"/>
  <c r="E16" i="21"/>
  <c r="Q15" i="21"/>
  <c r="N15" i="21"/>
  <c r="K15" i="21"/>
  <c r="H15" i="21"/>
  <c r="E15" i="21"/>
  <c r="Q14" i="21"/>
  <c r="N14" i="21"/>
  <c r="K14" i="21"/>
  <c r="H14" i="21"/>
  <c r="E14" i="21"/>
  <c r="Q13" i="21"/>
  <c r="N13" i="21"/>
  <c r="K13" i="21"/>
  <c r="H13" i="21"/>
  <c r="E13" i="21"/>
  <c r="Q12" i="21"/>
  <c r="N12" i="21"/>
  <c r="K12" i="21"/>
  <c r="H12" i="21"/>
  <c r="E12" i="21"/>
  <c r="Q11" i="21"/>
  <c r="N11" i="21"/>
  <c r="K11" i="21"/>
  <c r="H11" i="21"/>
  <c r="E11" i="21"/>
  <c r="Q10" i="21"/>
  <c r="N10" i="21"/>
  <c r="K10" i="21"/>
  <c r="H10" i="21"/>
  <c r="E10" i="21"/>
  <c r="P9" i="21"/>
  <c r="O9" i="21"/>
  <c r="M9" i="21"/>
  <c r="L9" i="21"/>
  <c r="J9" i="21"/>
  <c r="I9" i="21"/>
  <c r="G9" i="21"/>
  <c r="F9" i="21"/>
  <c r="D9" i="21"/>
  <c r="C9" i="21"/>
  <c r="Q8" i="21"/>
  <c r="N8" i="21"/>
  <c r="K8" i="21"/>
  <c r="H8" i="21"/>
  <c r="E8" i="21"/>
  <c r="Q7" i="21"/>
  <c r="N7" i="21"/>
  <c r="K7" i="21"/>
  <c r="H7" i="21"/>
  <c r="E7" i="21"/>
  <c r="Q6" i="21"/>
  <c r="N6" i="21"/>
  <c r="K6" i="21"/>
  <c r="H6" i="21"/>
  <c r="E6" i="21"/>
  <c r="Q5" i="21"/>
  <c r="N5" i="21"/>
  <c r="K5" i="21"/>
  <c r="H5" i="21"/>
  <c r="E5" i="21"/>
  <c r="O3" i="21"/>
  <c r="L3" i="21"/>
  <c r="I3" i="21"/>
  <c r="F3" i="21"/>
  <c r="G3" i="25" s="1"/>
  <c r="C3" i="21"/>
  <c r="D18" i="19"/>
  <c r="E17" i="19"/>
  <c r="E16" i="19"/>
  <c r="E15" i="19"/>
  <c r="E14" i="19"/>
  <c r="E13" i="19"/>
  <c r="E12" i="19"/>
  <c r="E11" i="19"/>
  <c r="E10" i="19"/>
  <c r="E9" i="19"/>
  <c r="E6" i="19"/>
  <c r="E5" i="19"/>
  <c r="E4" i="19"/>
  <c r="I10" i="18"/>
  <c r="H10" i="18"/>
  <c r="E9" i="17"/>
  <c r="F9" i="17" s="1"/>
  <c r="G9" i="17" s="1"/>
  <c r="D4" i="17"/>
  <c r="E4" i="17" s="1"/>
  <c r="F4" i="17" s="1"/>
  <c r="D51" i="16"/>
  <c r="E51" i="16" s="1"/>
  <c r="E48" i="16"/>
  <c r="E47" i="16"/>
  <c r="E46" i="16"/>
  <c r="E45" i="16"/>
  <c r="E44" i="16"/>
  <c r="D43" i="16"/>
  <c r="C43" i="16"/>
  <c r="E42" i="16"/>
  <c r="E41" i="16"/>
  <c r="E40" i="16"/>
  <c r="D39" i="16"/>
  <c r="C39" i="16"/>
  <c r="E38" i="16"/>
  <c r="E37" i="16"/>
  <c r="E36" i="16"/>
  <c r="D35" i="16"/>
  <c r="C35" i="16"/>
  <c r="E27" i="16"/>
  <c r="E26" i="16"/>
  <c r="E25" i="16"/>
  <c r="E24" i="16"/>
  <c r="E23" i="16"/>
  <c r="E22" i="16"/>
  <c r="E21" i="16"/>
  <c r="E20" i="16"/>
  <c r="E19" i="16"/>
  <c r="F5" i="20" s="1"/>
  <c r="D18" i="16"/>
  <c r="C18" i="16"/>
  <c r="E17" i="16"/>
  <c r="E16" i="16"/>
  <c r="E15" i="16"/>
  <c r="E14" i="16"/>
  <c r="E13" i="16"/>
  <c r="E12" i="16"/>
  <c r="E11" i="16"/>
  <c r="F4" i="20" s="1"/>
  <c r="E10" i="16"/>
  <c r="E9" i="16"/>
  <c r="E8" i="16"/>
  <c r="E7" i="16"/>
  <c r="E6" i="16"/>
  <c r="D5" i="16"/>
  <c r="C5" i="16"/>
  <c r="D9" i="15"/>
  <c r="E8" i="15"/>
  <c r="E7" i="15"/>
  <c r="E4" i="15"/>
  <c r="C8" i="14"/>
  <c r="D4" i="14"/>
  <c r="D8" i="14" s="1"/>
  <c r="F8" i="13"/>
  <c r="E8" i="13"/>
  <c r="D8" i="13"/>
  <c r="C8" i="13"/>
  <c r="D8" i="12"/>
  <c r="C8" i="12"/>
  <c r="E7" i="12"/>
  <c r="E6" i="12"/>
  <c r="E5" i="12"/>
  <c r="E4" i="12"/>
  <c r="D18" i="11"/>
  <c r="C18" i="11"/>
  <c r="D8" i="11"/>
  <c r="C8" i="11"/>
  <c r="E60" i="10"/>
  <c r="E59" i="10"/>
  <c r="E58" i="10"/>
  <c r="E57" i="10"/>
  <c r="E56" i="10"/>
  <c r="D55" i="10"/>
  <c r="C55" i="10"/>
  <c r="E54" i="10"/>
  <c r="E53" i="10"/>
  <c r="E51" i="10"/>
  <c r="E50" i="10"/>
  <c r="E49" i="10"/>
  <c r="E48" i="10"/>
  <c r="C46" i="10"/>
  <c r="E45" i="10"/>
  <c r="E44" i="10"/>
  <c r="E43" i="10"/>
  <c r="E42" i="10"/>
  <c r="E41" i="10"/>
  <c r="E40" i="10"/>
  <c r="E39" i="10"/>
  <c r="E38" i="10"/>
  <c r="E37" i="10"/>
  <c r="E36" i="10"/>
  <c r="D35" i="10"/>
  <c r="C35" i="10"/>
  <c r="E34" i="10"/>
  <c r="E33" i="10"/>
  <c r="E32" i="10"/>
  <c r="E31" i="10"/>
  <c r="E30" i="10"/>
  <c r="E29" i="10"/>
  <c r="E28" i="10"/>
  <c r="E27" i="10"/>
  <c r="E26" i="10"/>
  <c r="E25" i="10"/>
  <c r="E24" i="10"/>
  <c r="E23" i="10"/>
  <c r="E22" i="10"/>
  <c r="D21" i="10"/>
  <c r="C21" i="10"/>
  <c r="E19" i="10"/>
  <c r="E18" i="10"/>
  <c r="E17" i="10"/>
  <c r="E16" i="10"/>
  <c r="E15" i="10"/>
  <c r="E14" i="10"/>
  <c r="E13" i="10"/>
  <c r="E12" i="10"/>
  <c r="E11" i="10"/>
  <c r="E10" i="10"/>
  <c r="E9" i="10"/>
  <c r="E8" i="10"/>
  <c r="E7" i="10"/>
  <c r="E6" i="10"/>
  <c r="C4" i="20" s="1"/>
  <c r="D5" i="10"/>
  <c r="C5" i="10"/>
  <c r="C4" i="10"/>
  <c r="K40" i="7"/>
  <c r="K23" i="5" s="1"/>
  <c r="L23" i="5" s="1"/>
  <c r="I40" i="7"/>
  <c r="I23" i="5" s="1"/>
  <c r="J23" i="5" s="1"/>
  <c r="G40" i="7"/>
  <c r="G23" i="5" s="1"/>
  <c r="E40" i="7"/>
  <c r="E23" i="5" s="1"/>
  <c r="C40" i="7"/>
  <c r="C23" i="5" s="1"/>
  <c r="K3" i="7"/>
  <c r="I3" i="7"/>
  <c r="G3" i="7"/>
  <c r="E3" i="7"/>
  <c r="C3" i="7"/>
  <c r="D50" i="6"/>
  <c r="D48" i="6"/>
  <c r="K46" i="6"/>
  <c r="I46" i="6"/>
  <c r="G46" i="6"/>
  <c r="H46" i="6" s="1"/>
  <c r="E46" i="6"/>
  <c r="F46" i="6" s="1"/>
  <c r="C46" i="6"/>
  <c r="D46" i="6" s="1"/>
  <c r="L45" i="6"/>
  <c r="J45" i="6"/>
  <c r="H45" i="6"/>
  <c r="F45" i="6"/>
  <c r="D45" i="6"/>
  <c r="L44" i="6"/>
  <c r="J44" i="6"/>
  <c r="H44" i="6"/>
  <c r="F44" i="6"/>
  <c r="D44" i="6"/>
  <c r="L43" i="6"/>
  <c r="J43" i="6"/>
  <c r="H43" i="6"/>
  <c r="F43" i="6"/>
  <c r="D43" i="6"/>
  <c r="L42" i="6"/>
  <c r="J42" i="6"/>
  <c r="H42" i="6"/>
  <c r="F42" i="6"/>
  <c r="D42" i="6"/>
  <c r="L41" i="6"/>
  <c r="J41" i="6"/>
  <c r="H41" i="6"/>
  <c r="F41" i="6"/>
  <c r="D41" i="6"/>
  <c r="L40" i="6"/>
  <c r="J40" i="6"/>
  <c r="H40" i="6"/>
  <c r="F40" i="6"/>
  <c r="D40" i="6"/>
  <c r="L39" i="6"/>
  <c r="J39" i="6"/>
  <c r="H39" i="6"/>
  <c r="F39" i="6"/>
  <c r="D39" i="6"/>
  <c r="L36" i="6"/>
  <c r="J36" i="6"/>
  <c r="H36" i="6"/>
  <c r="F36" i="6"/>
  <c r="D36" i="6"/>
  <c r="L35" i="6"/>
  <c r="J35" i="6"/>
  <c r="H35" i="6"/>
  <c r="F35" i="6"/>
  <c r="D35" i="6"/>
  <c r="L34" i="6"/>
  <c r="J34" i="6"/>
  <c r="H34" i="6"/>
  <c r="F34" i="6"/>
  <c r="D34" i="6"/>
  <c r="K33" i="6"/>
  <c r="L33" i="6" s="1"/>
  <c r="I33" i="6"/>
  <c r="J33" i="6" s="1"/>
  <c r="G33" i="6"/>
  <c r="H33" i="6" s="1"/>
  <c r="E33" i="6"/>
  <c r="F33" i="6" s="1"/>
  <c r="C33" i="6"/>
  <c r="D33" i="6" s="1"/>
  <c r="L32" i="6"/>
  <c r="J32" i="6"/>
  <c r="H32" i="6"/>
  <c r="F32" i="6"/>
  <c r="D32" i="6"/>
  <c r="L31" i="6"/>
  <c r="J31" i="6"/>
  <c r="H31" i="6"/>
  <c r="F31" i="6"/>
  <c r="D31" i="6"/>
  <c r="L30" i="6"/>
  <c r="J30" i="6"/>
  <c r="H30" i="6"/>
  <c r="F30" i="6"/>
  <c r="D30" i="6"/>
  <c r="L29" i="6"/>
  <c r="J29" i="6"/>
  <c r="H29" i="6"/>
  <c r="F29" i="6"/>
  <c r="D29" i="6"/>
  <c r="L28" i="6"/>
  <c r="J28" i="6"/>
  <c r="H28" i="6"/>
  <c r="F28" i="6"/>
  <c r="D28" i="6"/>
  <c r="L24" i="6"/>
  <c r="J24" i="6"/>
  <c r="H24" i="6"/>
  <c r="F24" i="6"/>
  <c r="D24" i="6"/>
  <c r="K23" i="6"/>
  <c r="L23" i="6" s="1"/>
  <c r="I23" i="6"/>
  <c r="J23" i="6" s="1"/>
  <c r="G23" i="6"/>
  <c r="H23" i="6" s="1"/>
  <c r="E23" i="6"/>
  <c r="F23" i="6" s="1"/>
  <c r="C23" i="6"/>
  <c r="D23" i="6" s="1"/>
  <c r="L22" i="6"/>
  <c r="J22" i="6"/>
  <c r="H22" i="6"/>
  <c r="F22" i="6"/>
  <c r="D22" i="6"/>
  <c r="L21" i="6"/>
  <c r="J21" i="6"/>
  <c r="H21" i="6"/>
  <c r="F21" i="6"/>
  <c r="D21" i="6"/>
  <c r="L20" i="6"/>
  <c r="J20" i="6"/>
  <c r="H20" i="6"/>
  <c r="F20" i="6"/>
  <c r="D20" i="6"/>
  <c r="L19" i="6"/>
  <c r="J19" i="6"/>
  <c r="H19" i="6"/>
  <c r="F19" i="6"/>
  <c r="D19" i="6"/>
  <c r="L18" i="6"/>
  <c r="J18" i="6"/>
  <c r="H18" i="6"/>
  <c r="F18" i="6"/>
  <c r="D18" i="6"/>
  <c r="L15" i="6"/>
  <c r="J15" i="6"/>
  <c r="H15" i="6"/>
  <c r="F15" i="6"/>
  <c r="D15" i="6"/>
  <c r="K14" i="6"/>
  <c r="I14" i="6"/>
  <c r="G14" i="6"/>
  <c r="E14" i="6"/>
  <c r="C14" i="6"/>
  <c r="L13" i="6"/>
  <c r="J13" i="6"/>
  <c r="H13" i="6"/>
  <c r="F13" i="6"/>
  <c r="D13" i="6"/>
  <c r="L12" i="6"/>
  <c r="J12" i="6"/>
  <c r="H12" i="6"/>
  <c r="F12" i="6"/>
  <c r="D12" i="6"/>
  <c r="L11" i="6"/>
  <c r="J11" i="6"/>
  <c r="H11" i="6"/>
  <c r="F11" i="6"/>
  <c r="D11" i="6"/>
  <c r="L10" i="6"/>
  <c r="J10" i="6"/>
  <c r="H10" i="6"/>
  <c r="F10" i="6"/>
  <c r="D10" i="6"/>
  <c r="L9" i="6"/>
  <c r="J9" i="6"/>
  <c r="H9" i="6"/>
  <c r="F9" i="6"/>
  <c r="D9" i="6"/>
  <c r="L8" i="6"/>
  <c r="J8" i="6"/>
  <c r="H8" i="6"/>
  <c r="F8" i="6"/>
  <c r="D8" i="6"/>
  <c r="K5" i="6"/>
  <c r="I5" i="6"/>
  <c r="G5" i="6"/>
  <c r="E5" i="6"/>
  <c r="C5" i="6"/>
  <c r="L60" i="5"/>
  <c r="J60" i="5"/>
  <c r="H60" i="5"/>
  <c r="F60" i="5"/>
  <c r="D60" i="5"/>
  <c r="L59" i="5"/>
  <c r="J59" i="5"/>
  <c r="H59" i="5"/>
  <c r="F59" i="5"/>
  <c r="D59" i="5"/>
  <c r="L58" i="5"/>
  <c r="J58" i="5"/>
  <c r="K57" i="5"/>
  <c r="L57" i="5" s="1"/>
  <c r="I57" i="5"/>
  <c r="J57" i="5" s="1"/>
  <c r="G57" i="5"/>
  <c r="E57" i="5"/>
  <c r="C57" i="5"/>
  <c r="L55" i="5"/>
  <c r="J55" i="5"/>
  <c r="H55" i="5"/>
  <c r="F55" i="5"/>
  <c r="D55" i="5"/>
  <c r="L54" i="5"/>
  <c r="J54" i="5"/>
  <c r="H54" i="5"/>
  <c r="F54" i="5"/>
  <c r="D54" i="5"/>
  <c r="L53" i="5"/>
  <c r="J53" i="5"/>
  <c r="L52" i="5"/>
  <c r="J52" i="5"/>
  <c r="L51" i="5"/>
  <c r="J51" i="5"/>
  <c r="H51" i="5"/>
  <c r="F51" i="5"/>
  <c r="L50" i="5"/>
  <c r="J50" i="5"/>
  <c r="D50" i="5"/>
  <c r="K49" i="5"/>
  <c r="L49" i="5" s="1"/>
  <c r="I49" i="5"/>
  <c r="J49" i="5" s="1"/>
  <c r="G49" i="5"/>
  <c r="E49" i="5"/>
  <c r="C49" i="5"/>
  <c r="L48" i="5"/>
  <c r="J48" i="5"/>
  <c r="H48" i="5"/>
  <c r="F48" i="5"/>
  <c r="D48" i="5"/>
  <c r="L47" i="5"/>
  <c r="J47" i="5"/>
  <c r="H47" i="5"/>
  <c r="F47" i="5"/>
  <c r="D47" i="5"/>
  <c r="L46" i="5"/>
  <c r="J46" i="5"/>
  <c r="H46" i="5"/>
  <c r="F46" i="5"/>
  <c r="D46" i="5"/>
  <c r="L45" i="5"/>
  <c r="J45" i="5"/>
  <c r="H45" i="5"/>
  <c r="F45" i="5"/>
  <c r="D45" i="5"/>
  <c r="L44" i="5"/>
  <c r="J44" i="5"/>
  <c r="H44" i="5"/>
  <c r="F44" i="5"/>
  <c r="D44" i="5"/>
  <c r="L43" i="5"/>
  <c r="J43" i="5"/>
  <c r="D43" i="5"/>
  <c r="K42" i="5"/>
  <c r="L42" i="5" s="1"/>
  <c r="I42" i="5"/>
  <c r="J42" i="5" s="1"/>
  <c r="G42" i="5"/>
  <c r="E42" i="5"/>
  <c r="C42" i="5"/>
  <c r="D42" i="5" s="1"/>
  <c r="L40" i="5"/>
  <c r="J40" i="5"/>
  <c r="H40" i="5"/>
  <c r="F40" i="5"/>
  <c r="D40" i="5"/>
  <c r="L39" i="5"/>
  <c r="J39" i="5"/>
  <c r="H39" i="5"/>
  <c r="F39" i="5"/>
  <c r="D39" i="5"/>
  <c r="L38" i="5"/>
  <c r="J38" i="5"/>
  <c r="H38" i="5"/>
  <c r="F38" i="5"/>
  <c r="D38" i="5"/>
  <c r="L37" i="5"/>
  <c r="J37" i="5"/>
  <c r="H37" i="5"/>
  <c r="F37" i="5"/>
  <c r="D37" i="5"/>
  <c r="L36" i="5"/>
  <c r="J36" i="5"/>
  <c r="H36" i="5"/>
  <c r="F36" i="5"/>
  <c r="D36" i="5"/>
  <c r="L35" i="5"/>
  <c r="J35" i="5"/>
  <c r="H35" i="5"/>
  <c r="D35" i="5"/>
  <c r="L34" i="5"/>
  <c r="J34" i="5"/>
  <c r="K33" i="5"/>
  <c r="L33" i="5" s="1"/>
  <c r="I33" i="5"/>
  <c r="J33" i="5" s="1"/>
  <c r="G33" i="5"/>
  <c r="E33" i="5"/>
  <c r="C33" i="5"/>
  <c r="L32" i="5"/>
  <c r="J32" i="5"/>
  <c r="H32" i="5"/>
  <c r="F32" i="5"/>
  <c r="D32" i="5"/>
  <c r="L31" i="5"/>
  <c r="J31" i="5"/>
  <c r="L30" i="5"/>
  <c r="J30" i="5"/>
  <c r="F30" i="5"/>
  <c r="D30" i="5"/>
  <c r="L29" i="5"/>
  <c r="J29" i="5"/>
  <c r="L28" i="5"/>
  <c r="J28" i="5"/>
  <c r="L27" i="5"/>
  <c r="J27" i="5"/>
  <c r="L26" i="5"/>
  <c r="J26" i="5"/>
  <c r="K25" i="5"/>
  <c r="L25" i="5" s="1"/>
  <c r="I25" i="5"/>
  <c r="J25" i="5" s="1"/>
  <c r="G25" i="5"/>
  <c r="E25" i="5"/>
  <c r="C25" i="5"/>
  <c r="K21" i="5"/>
  <c r="L21" i="5" s="1"/>
  <c r="I21" i="5"/>
  <c r="J21" i="5" s="1"/>
  <c r="G21" i="5"/>
  <c r="E21" i="5"/>
  <c r="C21" i="5"/>
  <c r="L18" i="5"/>
  <c r="J18" i="5"/>
  <c r="F18" i="5"/>
  <c r="D18" i="5"/>
  <c r="L17" i="5"/>
  <c r="J17" i="5"/>
  <c r="L16" i="5"/>
  <c r="J16" i="5"/>
  <c r="L12" i="5"/>
  <c r="J12" i="5"/>
  <c r="K11" i="5"/>
  <c r="L11" i="5" s="1"/>
  <c r="I11" i="5"/>
  <c r="F4" i="29" s="1"/>
  <c r="G11" i="5"/>
  <c r="E4" i="29" s="1"/>
  <c r="E11" i="5"/>
  <c r="D4" i="29" s="1"/>
  <c r="C11" i="5"/>
  <c r="C4" i="29" s="1"/>
  <c r="L10" i="5"/>
  <c r="J10" i="5"/>
  <c r="H10" i="5"/>
  <c r="F10" i="5"/>
  <c r="D10" i="5"/>
  <c r="L9" i="5"/>
  <c r="J9" i="5"/>
  <c r="H9" i="5"/>
  <c r="F9" i="5"/>
  <c r="D9" i="5"/>
  <c r="L6" i="5"/>
  <c r="J6" i="5"/>
  <c r="L5" i="5"/>
  <c r="J5" i="5"/>
  <c r="I3" i="5"/>
  <c r="G3" i="5"/>
  <c r="B3" i="25" s="1"/>
  <c r="E3" i="5"/>
  <c r="C3" i="5"/>
  <c r="G43" i="4"/>
  <c r="F43" i="4"/>
  <c r="E43" i="4"/>
  <c r="D43" i="4"/>
  <c r="C43" i="4"/>
  <c r="G39" i="4"/>
  <c r="F39" i="4"/>
  <c r="E39" i="4"/>
  <c r="D39" i="4"/>
  <c r="C39" i="4"/>
  <c r="G35" i="4"/>
  <c r="F35" i="4"/>
  <c r="E35" i="4"/>
  <c r="D35" i="4"/>
  <c r="C35" i="4"/>
  <c r="G18" i="4"/>
  <c r="F18" i="4"/>
  <c r="E18" i="4"/>
  <c r="D18" i="4"/>
  <c r="C18" i="4"/>
  <c r="G5" i="4"/>
  <c r="F5" i="4"/>
  <c r="E5" i="4"/>
  <c r="D5" i="4"/>
  <c r="C5" i="4"/>
  <c r="G4" i="4"/>
  <c r="F4" i="4"/>
  <c r="E4" i="4"/>
  <c r="C4" i="16" s="1"/>
  <c r="D4" i="4"/>
  <c r="C4" i="4"/>
  <c r="F14" i="1"/>
  <c r="F13" i="1"/>
  <c r="E12" i="1"/>
  <c r="D12" i="1"/>
  <c r="D11" i="1"/>
  <c r="G56" i="3"/>
  <c r="F56" i="3"/>
  <c r="E56" i="3"/>
  <c r="D56" i="3"/>
  <c r="C56" i="3"/>
  <c r="G46" i="3"/>
  <c r="F46" i="3"/>
  <c r="E46" i="3"/>
  <c r="D46" i="3"/>
  <c r="C46" i="3"/>
  <c r="G35" i="3"/>
  <c r="F35" i="3"/>
  <c r="E35" i="3"/>
  <c r="D35" i="3"/>
  <c r="C35" i="3"/>
  <c r="G21" i="3"/>
  <c r="F21" i="3"/>
  <c r="E21" i="3"/>
  <c r="D21" i="3"/>
  <c r="C21" i="3"/>
  <c r="G5" i="3"/>
  <c r="F5" i="3"/>
  <c r="E5" i="3"/>
  <c r="D5" i="3"/>
  <c r="C5" i="3"/>
  <c r="K10" i="22" l="1"/>
  <c r="D5" i="29"/>
  <c r="U6" i="36"/>
  <c r="U5" i="36"/>
  <c r="Q36" i="23"/>
  <c r="Q25" i="23"/>
  <c r="E55" i="10"/>
  <c r="N30" i="21"/>
  <c r="E8" i="12"/>
  <c r="K48" i="21"/>
  <c r="N18" i="23"/>
  <c r="H25" i="23"/>
  <c r="H36" i="23"/>
  <c r="Q48" i="21"/>
  <c r="N25" i="23"/>
  <c r="E18" i="11"/>
  <c r="L12" i="31"/>
  <c r="L15" i="31"/>
  <c r="P20" i="21"/>
  <c r="P22" i="21" s="1"/>
  <c r="P36" i="21" s="1"/>
  <c r="P47" i="21" s="1"/>
  <c r="P51" i="21" s="1"/>
  <c r="E25" i="23"/>
  <c r="E36" i="23"/>
  <c r="F25" i="4"/>
  <c r="Q30" i="21"/>
  <c r="F12" i="1"/>
  <c r="M20" i="21"/>
  <c r="M22" i="21" s="1"/>
  <c r="M36" i="21" s="1"/>
  <c r="M47" i="21" s="1"/>
  <c r="M51" i="21" s="1"/>
  <c r="N23" i="21"/>
  <c r="D19" i="5"/>
  <c r="D20" i="5"/>
  <c r="M37" i="23"/>
  <c r="M39" i="23" s="1"/>
  <c r="M41" i="23" s="1"/>
  <c r="D20" i="3"/>
  <c r="D61" i="3" s="1"/>
  <c r="C25" i="4"/>
  <c r="G50" i="4"/>
  <c r="E5" i="16"/>
  <c r="D23" i="5"/>
  <c r="E35" i="10"/>
  <c r="E18" i="16"/>
  <c r="N48" i="21"/>
  <c r="E11" i="23"/>
  <c r="Q18" i="23"/>
  <c r="K36" i="23"/>
  <c r="D46" i="10"/>
  <c r="E46" i="10" s="1"/>
  <c r="H14" i="5"/>
  <c r="F21" i="5"/>
  <c r="N19" i="21"/>
  <c r="N39" i="22"/>
  <c r="G30" i="21"/>
  <c r="H30" i="21" s="1"/>
  <c r="H42" i="5"/>
  <c r="H49" i="5"/>
  <c r="C20" i="47"/>
  <c r="C61" i="47" s="1"/>
  <c r="D50" i="4"/>
  <c r="E25" i="4"/>
  <c r="K11" i="23"/>
  <c r="H34" i="5"/>
  <c r="H33" i="5"/>
  <c r="F42" i="5"/>
  <c r="C47" i="6"/>
  <c r="C49" i="6" s="1"/>
  <c r="E47" i="10"/>
  <c r="C5" i="20" s="1"/>
  <c r="C13" i="20" s="1"/>
  <c r="C4" i="25" s="1"/>
  <c r="H19" i="21"/>
  <c r="H17" i="21"/>
  <c r="D19" i="21"/>
  <c r="E19" i="21" s="1"/>
  <c r="E47" i="6"/>
  <c r="E48" i="6" s="1"/>
  <c r="F48" i="6" s="1"/>
  <c r="G47" i="6"/>
  <c r="H47" i="6" s="1"/>
  <c r="C20" i="21"/>
  <c r="C22" i="21" s="1"/>
  <c r="K22" i="5"/>
  <c r="G6" i="29" s="1"/>
  <c r="H14" i="6"/>
  <c r="E8" i="11"/>
  <c r="Q23" i="21"/>
  <c r="J37" i="21"/>
  <c r="K37" i="21" s="1"/>
  <c r="O37" i="23"/>
  <c r="C20" i="3"/>
  <c r="C61" i="3" s="1"/>
  <c r="K15" i="32"/>
  <c r="P37" i="23"/>
  <c r="P39" i="23" s="1"/>
  <c r="P41" i="23" s="1"/>
  <c r="D49" i="5"/>
  <c r="E8" i="14"/>
  <c r="E39" i="16"/>
  <c r="Q19" i="21"/>
  <c r="Q37" i="21"/>
  <c r="K25" i="23"/>
  <c r="F50" i="4"/>
  <c r="E9" i="15"/>
  <c r="F9" i="15" s="1"/>
  <c r="E18" i="23"/>
  <c r="J10" i="18"/>
  <c r="N42" i="21"/>
  <c r="H18" i="23"/>
  <c r="F19" i="5"/>
  <c r="H25" i="5"/>
  <c r="K47" i="6"/>
  <c r="L47" i="6" s="1"/>
  <c r="D14" i="5"/>
  <c r="F28" i="5"/>
  <c r="G25" i="4"/>
  <c r="D11" i="5"/>
  <c r="F14" i="5"/>
  <c r="D34" i="5"/>
  <c r="E35" i="16"/>
  <c r="D23" i="21"/>
  <c r="E23" i="21" s="1"/>
  <c r="H31" i="21"/>
  <c r="H48" i="21"/>
  <c r="K12" i="32"/>
  <c r="E52" i="47"/>
  <c r="F11" i="5"/>
  <c r="F29" i="5"/>
  <c r="F16" i="5"/>
  <c r="F20" i="21"/>
  <c r="F22" i="21" s="1"/>
  <c r="N11" i="23"/>
  <c r="H23" i="5"/>
  <c r="F20" i="3"/>
  <c r="F61" i="3" s="1"/>
  <c r="Q11" i="23"/>
  <c r="G20" i="3"/>
  <c r="G61" i="3" s="1"/>
  <c r="D5" i="5"/>
  <c r="D12" i="5"/>
  <c r="F17" i="5"/>
  <c r="F14" i="6"/>
  <c r="C20" i="10"/>
  <c r="C61" i="10" s="1"/>
  <c r="J30" i="21"/>
  <c r="K30" i="21" s="1"/>
  <c r="D37" i="23"/>
  <c r="D39" i="23" s="1"/>
  <c r="D41" i="23" s="1"/>
  <c r="K18" i="23"/>
  <c r="N36" i="23"/>
  <c r="F15" i="5"/>
  <c r="F20" i="5"/>
  <c r="G37" i="23"/>
  <c r="G39" i="23" s="1"/>
  <c r="G41" i="23" s="1"/>
  <c r="Q39" i="22"/>
  <c r="H5" i="5"/>
  <c r="D21" i="5"/>
  <c r="D27" i="5"/>
  <c r="F33" i="5"/>
  <c r="F43" i="5"/>
  <c r="F50" i="5"/>
  <c r="F57" i="5"/>
  <c r="C7" i="6"/>
  <c r="L20" i="21"/>
  <c r="G42" i="21"/>
  <c r="H42" i="21" s="1"/>
  <c r="D17" i="29"/>
  <c r="D33" i="5"/>
  <c r="C50" i="4"/>
  <c r="D25" i="5"/>
  <c r="H27" i="5"/>
  <c r="H57" i="5"/>
  <c r="G7" i="6"/>
  <c r="J42" i="21"/>
  <c r="K42" i="21" s="1"/>
  <c r="G8" i="32"/>
  <c r="E20" i="3"/>
  <c r="E61" i="3" s="1"/>
  <c r="H26" i="5"/>
  <c r="D14" i="6"/>
  <c r="I20" i="21"/>
  <c r="I22" i="21" s="1"/>
  <c r="J23" i="21"/>
  <c r="K23" i="21" s="1"/>
  <c r="D25" i="4"/>
  <c r="D13" i="5"/>
  <c r="F25" i="5"/>
  <c r="F31" i="5"/>
  <c r="I47" i="6"/>
  <c r="I48" i="6" s="1"/>
  <c r="F23" i="5"/>
  <c r="Q9" i="21"/>
  <c r="F58" i="5"/>
  <c r="F52" i="5"/>
  <c r="E5" i="29"/>
  <c r="F5" i="29"/>
  <c r="G20" i="21"/>
  <c r="H20" i="5"/>
  <c r="D53" i="5"/>
  <c r="E50" i="4"/>
  <c r="C4" i="24" s="1"/>
  <c r="F6" i="5"/>
  <c r="F13" i="5"/>
  <c r="H21" i="5"/>
  <c r="J14" i="6"/>
  <c r="E43" i="16"/>
  <c r="E18" i="19"/>
  <c r="Q42" i="21"/>
  <c r="G12" i="32"/>
  <c r="D46" i="47"/>
  <c r="F47" i="47"/>
  <c r="E66" i="47"/>
  <c r="C82" i="47"/>
  <c r="E5" i="47"/>
  <c r="E85" i="47"/>
  <c r="C95" i="47"/>
  <c r="G6" i="34"/>
  <c r="G7" i="34"/>
  <c r="E48" i="21"/>
  <c r="N37" i="21"/>
  <c r="E9" i="21"/>
  <c r="O20" i="21"/>
  <c r="H9" i="21"/>
  <c r="K9" i="21"/>
  <c r="N9" i="21"/>
  <c r="C52" i="16"/>
  <c r="C28" i="16"/>
  <c r="D28" i="16"/>
  <c r="E5" i="10"/>
  <c r="F13" i="20"/>
  <c r="C5" i="25" s="1"/>
  <c r="K19" i="21"/>
  <c r="J20" i="21"/>
  <c r="L46" i="6"/>
  <c r="G23" i="21"/>
  <c r="H23" i="21" s="1"/>
  <c r="D30" i="21"/>
  <c r="E30" i="21" s="1"/>
  <c r="E10" i="22"/>
  <c r="C37" i="23"/>
  <c r="K7" i="6"/>
  <c r="H6" i="5"/>
  <c r="F12" i="5"/>
  <c r="H15" i="5"/>
  <c r="G22" i="5"/>
  <c r="D26" i="5"/>
  <c r="H28" i="5"/>
  <c r="F53" i="5"/>
  <c r="H58" i="5"/>
  <c r="D37" i="21"/>
  <c r="E37" i="21" s="1"/>
  <c r="H12" i="5"/>
  <c r="D16" i="5"/>
  <c r="H18" i="5"/>
  <c r="F26" i="5"/>
  <c r="D31" i="5"/>
  <c r="F49" i="5"/>
  <c r="D51" i="5"/>
  <c r="H53" i="5"/>
  <c r="D57" i="5"/>
  <c r="I37" i="23"/>
  <c r="K32" i="21"/>
  <c r="D42" i="21"/>
  <c r="E42" i="21" s="1"/>
  <c r="E6" i="22"/>
  <c r="L37" i="23"/>
  <c r="I22" i="5"/>
  <c r="H16" i="5"/>
  <c r="D29" i="5"/>
  <c r="H31" i="5"/>
  <c r="F35" i="5"/>
  <c r="L14" i="6"/>
  <c r="E21" i="10"/>
  <c r="K17" i="21"/>
  <c r="E26" i="21"/>
  <c r="G37" i="21"/>
  <c r="H37" i="21" s="1"/>
  <c r="H44" i="21"/>
  <c r="H14" i="31"/>
  <c r="H10" i="31"/>
  <c r="H6" i="31"/>
  <c r="H13" i="31"/>
  <c r="H9" i="31"/>
  <c r="H5" i="31"/>
  <c r="H15" i="31"/>
  <c r="H11" i="31"/>
  <c r="H7" i="31"/>
  <c r="H29" i="5"/>
  <c r="C5" i="7"/>
  <c r="K44" i="21"/>
  <c r="C17" i="29"/>
  <c r="J14" i="31"/>
  <c r="J10" i="31"/>
  <c r="J6" i="31"/>
  <c r="J13" i="31"/>
  <c r="J9" i="31"/>
  <c r="J5" i="31"/>
  <c r="J15" i="31"/>
  <c r="J11" i="31"/>
  <c r="J7" i="31"/>
  <c r="I14" i="32"/>
  <c r="I10" i="32"/>
  <c r="I6" i="32"/>
  <c r="I13" i="32"/>
  <c r="I9" i="32"/>
  <c r="I5" i="32"/>
  <c r="I15" i="32"/>
  <c r="I11" i="32"/>
  <c r="I7" i="32"/>
  <c r="F5" i="5"/>
  <c r="H11" i="5"/>
  <c r="H13" i="5"/>
  <c r="D17" i="5"/>
  <c r="H19" i="5"/>
  <c r="F27" i="5"/>
  <c r="H43" i="5"/>
  <c r="D52" i="5"/>
  <c r="E5" i="7"/>
  <c r="F37" i="23"/>
  <c r="H11" i="23"/>
  <c r="L14" i="31"/>
  <c r="L10" i="31"/>
  <c r="L6" i="31"/>
  <c r="L13" i="31"/>
  <c r="L9" i="31"/>
  <c r="L5" i="31"/>
  <c r="K14" i="32"/>
  <c r="K10" i="32"/>
  <c r="K6" i="32"/>
  <c r="K13" i="32"/>
  <c r="K9" i="32"/>
  <c r="K5" i="32"/>
  <c r="G5" i="7"/>
  <c r="H40" i="7" s="1"/>
  <c r="F3" i="25"/>
  <c r="F3" i="24"/>
  <c r="G4" i="29"/>
  <c r="L7" i="31"/>
  <c r="K7" i="32"/>
  <c r="J11" i="5"/>
  <c r="H17" i="5"/>
  <c r="C22" i="5"/>
  <c r="H52" i="5"/>
  <c r="E7" i="6"/>
  <c r="I5" i="7"/>
  <c r="G39" i="22"/>
  <c r="G21" i="21" s="1"/>
  <c r="G3" i="24"/>
  <c r="H8" i="31"/>
  <c r="J46" i="6"/>
  <c r="K5" i="7"/>
  <c r="L40" i="7" s="1"/>
  <c r="H3" i="25"/>
  <c r="B3" i="24"/>
  <c r="J39" i="22"/>
  <c r="J37" i="23"/>
  <c r="J39" i="23" s="1"/>
  <c r="J41" i="23" s="1"/>
  <c r="H3" i="24"/>
  <c r="J8" i="31"/>
  <c r="I8" i="32"/>
  <c r="D6" i="5"/>
  <c r="D15" i="5"/>
  <c r="E22" i="5"/>
  <c r="D28" i="5"/>
  <c r="H30" i="5"/>
  <c r="F34" i="5"/>
  <c r="H50" i="5"/>
  <c r="D58" i="5"/>
  <c r="I7" i="6"/>
  <c r="E17" i="29"/>
  <c r="L8" i="31"/>
  <c r="K8" i="32"/>
  <c r="B7" i="44"/>
  <c r="C6" i="44"/>
  <c r="G7" i="32"/>
  <c r="G11" i="32"/>
  <c r="G15" i="32"/>
  <c r="G14" i="34"/>
  <c r="G5" i="34"/>
  <c r="G15" i="34"/>
  <c r="G5" i="32"/>
  <c r="G9" i="32"/>
  <c r="G13" i="32"/>
  <c r="G8" i="34"/>
  <c r="G9" i="34"/>
  <c r="C5" i="44"/>
  <c r="G10" i="34"/>
  <c r="G6" i="32"/>
  <c r="G10" i="32"/>
  <c r="G11" i="34"/>
  <c r="G12" i="34"/>
  <c r="D47" i="6" l="1"/>
  <c r="G51" i="4"/>
  <c r="G63" i="3" s="1"/>
  <c r="F51" i="4"/>
  <c r="F63" i="3" s="1"/>
  <c r="C51" i="4"/>
  <c r="C63" i="3" s="1"/>
  <c r="K24" i="5"/>
  <c r="K41" i="5" s="1"/>
  <c r="N20" i="21"/>
  <c r="Q37" i="23"/>
  <c r="F47" i="6"/>
  <c r="K20" i="21"/>
  <c r="D20" i="10"/>
  <c r="D61" i="10" s="1"/>
  <c r="D50" i="16" s="1"/>
  <c r="G7" i="29"/>
  <c r="D51" i="4"/>
  <c r="D53" i="4" s="1"/>
  <c r="L22" i="5"/>
  <c r="F4" i="25"/>
  <c r="C36" i="21"/>
  <c r="C47" i="21" s="1"/>
  <c r="F4" i="24"/>
  <c r="H20" i="21"/>
  <c r="E28" i="16"/>
  <c r="D20" i="21"/>
  <c r="E20" i="21" s="1"/>
  <c r="O39" i="23"/>
  <c r="O41" i="23" s="1"/>
  <c r="Q41" i="23" s="1"/>
  <c r="J47" i="6"/>
  <c r="G48" i="6"/>
  <c r="H48" i="6" s="1"/>
  <c r="E51" i="4"/>
  <c r="E53" i="4" s="1"/>
  <c r="J48" i="6"/>
  <c r="C53" i="16"/>
  <c r="C55" i="16" s="1"/>
  <c r="K48" i="6"/>
  <c r="I49" i="6"/>
  <c r="I50" i="6" s="1"/>
  <c r="L22" i="21"/>
  <c r="G22" i="21"/>
  <c r="G5" i="25" s="1"/>
  <c r="E49" i="6"/>
  <c r="E50" i="6" s="1"/>
  <c r="F50" i="6" s="1"/>
  <c r="E82" i="47"/>
  <c r="C96" i="47"/>
  <c r="F46" i="47"/>
  <c r="D20" i="47"/>
  <c r="E46" i="47"/>
  <c r="Q20" i="21"/>
  <c r="O22" i="21"/>
  <c r="D39" i="22"/>
  <c r="D21" i="21" s="1"/>
  <c r="H37" i="23"/>
  <c r="F39" i="23"/>
  <c r="E37" i="23"/>
  <c r="C39" i="23"/>
  <c r="J39" i="7"/>
  <c r="J27" i="7"/>
  <c r="J15" i="7"/>
  <c r="J34" i="7"/>
  <c r="J22" i="7"/>
  <c r="J10" i="7"/>
  <c r="J29" i="7"/>
  <c r="J17" i="7"/>
  <c r="J40" i="7"/>
  <c r="J36" i="7"/>
  <c r="J24" i="7"/>
  <c r="J12" i="7"/>
  <c r="J31" i="7"/>
  <c r="J19" i="7"/>
  <c r="J7" i="7"/>
  <c r="J38" i="7"/>
  <c r="J26" i="7"/>
  <c r="J14" i="7"/>
  <c r="J33" i="7"/>
  <c r="J21" i="7"/>
  <c r="J9" i="7"/>
  <c r="J28" i="7"/>
  <c r="J16" i="7"/>
  <c r="J35" i="7"/>
  <c r="J23" i="7"/>
  <c r="J11" i="7"/>
  <c r="J30" i="7"/>
  <c r="J18" i="7"/>
  <c r="J6" i="7"/>
  <c r="J37" i="7"/>
  <c r="J25" i="7"/>
  <c r="J13" i="7"/>
  <c r="J32" i="7"/>
  <c r="J20" i="7"/>
  <c r="J8" i="7"/>
  <c r="I39" i="23"/>
  <c r="K37" i="23"/>
  <c r="H32" i="7"/>
  <c r="H20" i="7"/>
  <c r="H8" i="7"/>
  <c r="H39" i="7"/>
  <c r="H27" i="7"/>
  <c r="H15" i="7"/>
  <c r="H34" i="7"/>
  <c r="H22" i="7"/>
  <c r="H10" i="7"/>
  <c r="H29" i="7"/>
  <c r="H17" i="7"/>
  <c r="H36" i="7"/>
  <c r="H24" i="7"/>
  <c r="H12" i="7"/>
  <c r="H31" i="7"/>
  <c r="H19" i="7"/>
  <c r="H7" i="7"/>
  <c r="H38" i="7"/>
  <c r="H26" i="7"/>
  <c r="H14" i="7"/>
  <c r="H33" i="7"/>
  <c r="H21" i="7"/>
  <c r="H9" i="7"/>
  <c r="H28" i="7"/>
  <c r="H16" i="7"/>
  <c r="H35" i="7"/>
  <c r="H23" i="7"/>
  <c r="H11" i="7"/>
  <c r="H30" i="7"/>
  <c r="H18" i="7"/>
  <c r="H6" i="7"/>
  <c r="H37" i="7"/>
  <c r="H25" i="7"/>
  <c r="H13" i="7"/>
  <c r="H39" i="22"/>
  <c r="D30" i="7"/>
  <c r="D18" i="7"/>
  <c r="D6" i="7"/>
  <c r="D37" i="7"/>
  <c r="D25" i="7"/>
  <c r="D13" i="7"/>
  <c r="D32" i="7"/>
  <c r="D20" i="7"/>
  <c r="D8" i="7"/>
  <c r="D39" i="7"/>
  <c r="D27" i="7"/>
  <c r="D15" i="7"/>
  <c r="D34" i="7"/>
  <c r="D22" i="7"/>
  <c r="D10" i="7"/>
  <c r="D29" i="7"/>
  <c r="D17" i="7"/>
  <c r="D36" i="7"/>
  <c r="D24" i="7"/>
  <c r="D12" i="7"/>
  <c r="D31" i="7"/>
  <c r="D19" i="7"/>
  <c r="D7" i="7"/>
  <c r="D38" i="7"/>
  <c r="D26" i="7"/>
  <c r="D14" i="7"/>
  <c r="D40" i="7"/>
  <c r="D33" i="7"/>
  <c r="D21" i="7"/>
  <c r="D9" i="7"/>
  <c r="D28" i="7"/>
  <c r="D16" i="7"/>
  <c r="D35" i="7"/>
  <c r="D23" i="7"/>
  <c r="D11" i="7"/>
  <c r="F6" i="29"/>
  <c r="F7" i="29" s="1"/>
  <c r="I24" i="5"/>
  <c r="J22" i="5"/>
  <c r="H4" i="24"/>
  <c r="H4" i="25"/>
  <c r="I36" i="21"/>
  <c r="D22" i="5"/>
  <c r="C6" i="29"/>
  <c r="C7" i="29" s="1"/>
  <c r="C24" i="5"/>
  <c r="F37" i="7"/>
  <c r="F25" i="7"/>
  <c r="F13" i="7"/>
  <c r="F32" i="7"/>
  <c r="F20" i="7"/>
  <c r="F8" i="7"/>
  <c r="F39" i="7"/>
  <c r="F27" i="7"/>
  <c r="F15" i="7"/>
  <c r="F34" i="7"/>
  <c r="F22" i="7"/>
  <c r="F10" i="7"/>
  <c r="F29" i="7"/>
  <c r="F17" i="7"/>
  <c r="F36" i="7"/>
  <c r="F24" i="7"/>
  <c r="F12" i="7"/>
  <c r="F31" i="7"/>
  <c r="F19" i="7"/>
  <c r="F7" i="7"/>
  <c r="F38" i="7"/>
  <c r="F26" i="7"/>
  <c r="F14" i="7"/>
  <c r="F33" i="7"/>
  <c r="F21" i="7"/>
  <c r="F9" i="7"/>
  <c r="F28" i="7"/>
  <c r="F16" i="7"/>
  <c r="F35" i="7"/>
  <c r="F23" i="7"/>
  <c r="F11" i="7"/>
  <c r="F30" i="7"/>
  <c r="F18" i="7"/>
  <c r="F6" i="7"/>
  <c r="L34" i="7"/>
  <c r="L22" i="7"/>
  <c r="L10" i="7"/>
  <c r="L29" i="7"/>
  <c r="L17" i="7"/>
  <c r="L36" i="7"/>
  <c r="L24" i="7"/>
  <c r="L12" i="7"/>
  <c r="L31" i="7"/>
  <c r="L19" i="7"/>
  <c r="L7" i="7"/>
  <c r="L38" i="7"/>
  <c r="L26" i="7"/>
  <c r="L14" i="7"/>
  <c r="L33" i="7"/>
  <c r="L21" i="7"/>
  <c r="L9" i="7"/>
  <c r="L28" i="7"/>
  <c r="L16" i="7"/>
  <c r="L35" i="7"/>
  <c r="L23" i="7"/>
  <c r="L11" i="7"/>
  <c r="L30" i="7"/>
  <c r="L18" i="7"/>
  <c r="L6" i="7"/>
  <c r="L37" i="7"/>
  <c r="L25" i="7"/>
  <c r="L13" i="7"/>
  <c r="L32" i="7"/>
  <c r="L20" i="7"/>
  <c r="L8" i="7"/>
  <c r="L39" i="7"/>
  <c r="L27" i="7"/>
  <c r="L15" i="7"/>
  <c r="C6" i="25"/>
  <c r="K6" i="25" s="1"/>
  <c r="K39" i="22"/>
  <c r="J21" i="21"/>
  <c r="K21" i="21" s="1"/>
  <c r="C15" i="20"/>
  <c r="C7" i="44"/>
  <c r="B8" i="44"/>
  <c r="L39" i="23"/>
  <c r="N37" i="23"/>
  <c r="D6" i="29"/>
  <c r="D7" i="29" s="1"/>
  <c r="E24" i="5"/>
  <c r="F22" i="5"/>
  <c r="G24" i="5"/>
  <c r="H22" i="5"/>
  <c r="E6" i="29"/>
  <c r="E7" i="29" s="1"/>
  <c r="F40" i="7"/>
  <c r="H21" i="21"/>
  <c r="D49" i="6"/>
  <c r="C51" i="6"/>
  <c r="D51" i="6" s="1"/>
  <c r="G4" i="25"/>
  <c r="G4" i="24"/>
  <c r="F36" i="21"/>
  <c r="G53" i="4" l="1"/>
  <c r="L24" i="5"/>
  <c r="G8" i="29"/>
  <c r="G9" i="29" s="1"/>
  <c r="C53" i="4"/>
  <c r="F53" i="4"/>
  <c r="D63" i="3"/>
  <c r="J49" i="6"/>
  <c r="E20" i="10"/>
  <c r="D49" i="16"/>
  <c r="D52" i="16" s="1"/>
  <c r="E52" i="16" s="1"/>
  <c r="E50" i="16"/>
  <c r="E61" i="10"/>
  <c r="G49" i="6"/>
  <c r="H49" i="6" s="1"/>
  <c r="Q39" i="23"/>
  <c r="E63" i="3"/>
  <c r="E39" i="22"/>
  <c r="E51" i="6"/>
  <c r="F51" i="6" s="1"/>
  <c r="J50" i="6"/>
  <c r="I51" i="6"/>
  <c r="J51" i="6" s="1"/>
  <c r="L48" i="6"/>
  <c r="K49" i="6"/>
  <c r="H22" i="21"/>
  <c r="L36" i="21"/>
  <c r="N22" i="21"/>
  <c r="G6" i="25"/>
  <c r="G8" i="25" s="1"/>
  <c r="F49" i="6"/>
  <c r="G36" i="21"/>
  <c r="G47" i="21" s="1"/>
  <c r="G51" i="21" s="1"/>
  <c r="G5" i="24"/>
  <c r="G6" i="24" s="1"/>
  <c r="F20" i="47"/>
  <c r="D61" i="47"/>
  <c r="E20" i="47"/>
  <c r="C98" i="47"/>
  <c r="O36" i="21"/>
  <c r="Q22" i="21"/>
  <c r="E41" i="5"/>
  <c r="F24" i="5"/>
  <c r="D8" i="29"/>
  <c r="C8" i="29"/>
  <c r="C41" i="5"/>
  <c r="D24" i="5"/>
  <c r="H24" i="5"/>
  <c r="E8" i="29"/>
  <c r="G41" i="5"/>
  <c r="C51" i="21"/>
  <c r="F8" i="29"/>
  <c r="I41" i="5"/>
  <c r="J24" i="5"/>
  <c r="C41" i="23"/>
  <c r="E41" i="23" s="1"/>
  <c r="E39" i="23"/>
  <c r="B9" i="44"/>
  <c r="C8" i="44"/>
  <c r="F47" i="21"/>
  <c r="J22" i="21"/>
  <c r="H5" i="25" s="1"/>
  <c r="K39" i="23"/>
  <c r="I41" i="23"/>
  <c r="K41" i="23" s="1"/>
  <c r="N39" i="23"/>
  <c r="L41" i="23"/>
  <c r="N41" i="23" s="1"/>
  <c r="K56" i="5"/>
  <c r="G10" i="29"/>
  <c r="G11" i="29" s="1"/>
  <c r="L41" i="5"/>
  <c r="D22" i="21"/>
  <c r="F5" i="25" s="1"/>
  <c r="E21" i="21"/>
  <c r="F41" i="23"/>
  <c r="H41" i="23" s="1"/>
  <c r="H39" i="23"/>
  <c r="I47" i="21"/>
  <c r="G36" i="29" l="1"/>
  <c r="E49" i="16"/>
  <c r="G50" i="6"/>
  <c r="H50" i="6" s="1"/>
  <c r="G7" i="24"/>
  <c r="G8" i="24" s="1"/>
  <c r="H36" i="21"/>
  <c r="L49" i="6"/>
  <c r="K50" i="6"/>
  <c r="N36" i="21"/>
  <c r="L47" i="21"/>
  <c r="F61" i="47"/>
  <c r="D94" i="47"/>
  <c r="E61" i="47"/>
  <c r="Q36" i="21"/>
  <c r="O47" i="21"/>
  <c r="I56" i="5"/>
  <c r="F10" i="29"/>
  <c r="F11" i="29" s="1"/>
  <c r="J41" i="5"/>
  <c r="D9" i="29"/>
  <c r="D36" i="29"/>
  <c r="K61" i="5"/>
  <c r="L56" i="5"/>
  <c r="D41" i="5"/>
  <c r="C10" i="29"/>
  <c r="C11" i="29" s="1"/>
  <c r="C56" i="5"/>
  <c r="C9" i="29"/>
  <c r="C36" i="29"/>
  <c r="H6" i="25"/>
  <c r="H8" i="25" s="1"/>
  <c r="H5" i="24"/>
  <c r="H6" i="24" s="1"/>
  <c r="H7" i="24" s="1"/>
  <c r="J36" i="21"/>
  <c r="K22" i="21"/>
  <c r="I51" i="21"/>
  <c r="D10" i="29"/>
  <c r="D11" i="29" s="1"/>
  <c r="E56" i="5"/>
  <c r="F41" i="5"/>
  <c r="F5" i="24"/>
  <c r="F6" i="24" s="1"/>
  <c r="F7" i="24" s="1"/>
  <c r="F6" i="25"/>
  <c r="F8" i="25" s="1"/>
  <c r="D36" i="21"/>
  <c r="E22" i="21"/>
  <c r="F51" i="21"/>
  <c r="H47" i="21"/>
  <c r="C54" i="21"/>
  <c r="E54" i="21" s="1"/>
  <c r="C5" i="24"/>
  <c r="C6" i="24" s="1"/>
  <c r="D53" i="16"/>
  <c r="E53" i="16" s="1"/>
  <c r="E10" i="29"/>
  <c r="E11" i="29" s="1"/>
  <c r="G56" i="5"/>
  <c r="H41" i="5"/>
  <c r="E9" i="29"/>
  <c r="E36" i="29"/>
  <c r="F9" i="29"/>
  <c r="F36" i="29"/>
  <c r="B10" i="44"/>
  <c r="C9" i="44"/>
  <c r="G51" i="6" l="1"/>
  <c r="H51" i="6" s="1"/>
  <c r="L50" i="6"/>
  <c r="K51" i="6"/>
  <c r="L51" i="6" s="1"/>
  <c r="N47" i="21"/>
  <c r="L51" i="21"/>
  <c r="N51" i="21" s="1"/>
  <c r="F94" i="47"/>
  <c r="E94" i="47"/>
  <c r="D95" i="47"/>
  <c r="H10" i="25"/>
  <c r="Q47" i="21"/>
  <c r="O51" i="21"/>
  <c r="Q51" i="21" s="1"/>
  <c r="F8" i="24"/>
  <c r="I54" i="21"/>
  <c r="K54" i="21" s="1"/>
  <c r="D47" i="21"/>
  <c r="E36" i="21"/>
  <c r="H56" i="5"/>
  <c r="G61" i="5"/>
  <c r="K4" i="24"/>
  <c r="D56" i="5"/>
  <c r="C61" i="5"/>
  <c r="F56" i="5"/>
  <c r="E61" i="5"/>
  <c r="G12" i="29"/>
  <c r="G13" i="29" s="1"/>
  <c r="L61" i="5"/>
  <c r="B11" i="44"/>
  <c r="C10" i="44"/>
  <c r="H8" i="24"/>
  <c r="J47" i="21"/>
  <c r="K36" i="21"/>
  <c r="F54" i="21"/>
  <c r="H54" i="21" s="1"/>
  <c r="H51" i="21"/>
  <c r="J56" i="5"/>
  <c r="I61" i="5"/>
  <c r="H10" i="24" l="1"/>
  <c r="K5" i="24" s="1"/>
  <c r="K6" i="24" s="1"/>
  <c r="C6" i="9" s="1"/>
  <c r="F95" i="47"/>
  <c r="D96" i="47"/>
  <c r="E95" i="47"/>
  <c r="C12" i="29"/>
  <c r="C13" i="29" s="1"/>
  <c r="D61" i="5"/>
  <c r="C64" i="5"/>
  <c r="B12" i="44"/>
  <c r="C11" i="44"/>
  <c r="D51" i="21"/>
  <c r="E51" i="21" s="1"/>
  <c r="E47" i="21"/>
  <c r="J51" i="21"/>
  <c r="K51" i="21" s="1"/>
  <c r="K47" i="21"/>
  <c r="E12" i="29"/>
  <c r="E13" i="29" s="1"/>
  <c r="H61" i="5"/>
  <c r="G64" i="5"/>
  <c r="F12" i="29"/>
  <c r="F13" i="29" s="1"/>
  <c r="J61" i="5"/>
  <c r="D12" i="29"/>
  <c r="D13" i="29" s="1"/>
  <c r="F61" i="5"/>
  <c r="E64" i="5"/>
  <c r="M4" i="25"/>
  <c r="M5" i="25" s="1"/>
  <c r="L4" i="25"/>
  <c r="L5" i="25" s="1"/>
  <c r="K4" i="25"/>
  <c r="K5" i="25" s="1"/>
  <c r="L5" i="24" l="1"/>
  <c r="L6" i="24" s="1"/>
  <c r="M5" i="24"/>
  <c r="M6" i="24" s="1"/>
  <c r="E6" i="9" s="1"/>
  <c r="D6" i="9" s="1"/>
  <c r="F96" i="47"/>
  <c r="F98" i="47" s="1"/>
  <c r="D98" i="47"/>
  <c r="E96" i="47"/>
  <c r="E98" i="47" s="1"/>
  <c r="B13" i="44"/>
  <c r="C12" i="44"/>
  <c r="K7" i="25"/>
  <c r="C5" i="9" s="1"/>
  <c r="M7" i="25"/>
  <c r="E5" i="9" s="1"/>
  <c r="L7" i="25"/>
  <c r="D5" i="9" l="1"/>
  <c r="C13" i="44"/>
  <c r="B14" i="44"/>
  <c r="B15" i="44" l="1"/>
  <c r="C14" i="44"/>
  <c r="B16" i="44" l="1"/>
  <c r="C15" i="44"/>
  <c r="B17" i="44" l="1"/>
  <c r="C16" i="44"/>
  <c r="B18" i="44" l="1"/>
  <c r="C17" i="44"/>
  <c r="B19" i="44" l="1"/>
  <c r="C18" i="44"/>
  <c r="C19" i="44" l="1"/>
  <c r="B20" i="44"/>
  <c r="B21" i="44" l="1"/>
  <c r="C20" i="44"/>
  <c r="B22" i="44" l="1"/>
  <c r="C21" i="44"/>
  <c r="B23" i="44" l="1"/>
  <c r="C22" i="44"/>
  <c r="B24" i="44" l="1"/>
  <c r="C23" i="44"/>
  <c r="B25" i="44" l="1"/>
  <c r="C24" i="44"/>
  <c r="C25" i="44" l="1"/>
  <c r="B26" i="44"/>
  <c r="B27" i="44" l="1"/>
  <c r="C26" i="44"/>
  <c r="B28" i="44" l="1"/>
  <c r="C27" i="44"/>
  <c r="B29" i="44" l="1"/>
  <c r="C28" i="44"/>
  <c r="B30" i="44" l="1"/>
  <c r="C29" i="44"/>
  <c r="B31" i="44" l="1"/>
  <c r="C30" i="44"/>
  <c r="C31" i="44" l="1"/>
  <c r="B32" i="44"/>
  <c r="B33" i="44" l="1"/>
  <c r="C32" i="44"/>
  <c r="B34" i="44" l="1"/>
  <c r="C33" i="44"/>
  <c r="B35" i="44" l="1"/>
  <c r="C34" i="44"/>
  <c r="B36" i="44" l="1"/>
  <c r="C35" i="44"/>
  <c r="B37" i="44" l="1"/>
  <c r="C36" i="44"/>
  <c r="C37" i="44" l="1"/>
  <c r="B38" i="44"/>
  <c r="B39" i="44" l="1"/>
  <c r="C38" i="44"/>
  <c r="B40" i="44" l="1"/>
  <c r="C39" i="44"/>
  <c r="B41" i="44" l="1"/>
  <c r="C40" i="44"/>
  <c r="B42" i="44" l="1"/>
  <c r="C41" i="44"/>
  <c r="B43" i="44" l="1"/>
  <c r="C42" i="44"/>
  <c r="C43" i="44" l="1"/>
  <c r="B44" i="44"/>
  <c r="B45" i="44" l="1"/>
  <c r="C44" i="44"/>
  <c r="B46" i="44" l="1"/>
  <c r="C45" i="44"/>
  <c r="B47" i="44" l="1"/>
  <c r="C46" i="44"/>
  <c r="B48" i="44" l="1"/>
  <c r="C47" i="44"/>
  <c r="B49" i="44" l="1"/>
  <c r="C48" i="44"/>
  <c r="C49" i="44" l="1"/>
  <c r="B50" i="44"/>
  <c r="B51" i="44" l="1"/>
  <c r="C50" i="44"/>
  <c r="B52" i="44" l="1"/>
  <c r="C51" i="44"/>
  <c r="B53" i="44" l="1"/>
  <c r="C52" i="44"/>
  <c r="B54" i="44" l="1"/>
  <c r="C53" i="44"/>
  <c r="B55" i="44" l="1"/>
  <c r="C54" i="44"/>
  <c r="C55" i="44" l="1"/>
  <c r="B56" i="44"/>
  <c r="B57" i="44" l="1"/>
  <c r="C56" i="44"/>
  <c r="B58" i="44" l="1"/>
  <c r="C57" i="44"/>
  <c r="B59" i="44" l="1"/>
  <c r="C58" i="44"/>
  <c r="B60" i="44" l="1"/>
  <c r="C59" i="44"/>
  <c r="B61" i="44" l="1"/>
  <c r="C60" i="44"/>
  <c r="C61" i="44" l="1"/>
  <c r="B62" i="44"/>
  <c r="B63" i="44" l="1"/>
  <c r="C62" i="44"/>
  <c r="B64" i="44" l="1"/>
  <c r="C63" i="44"/>
  <c r="B65" i="44" l="1"/>
  <c r="C64" i="44"/>
  <c r="B66" i="44" l="1"/>
  <c r="C65" i="44"/>
  <c r="B67" i="44" l="1"/>
  <c r="C66" i="44"/>
  <c r="C67" i="44" l="1"/>
  <c r="B68" i="44"/>
  <c r="B69" i="44" l="1"/>
  <c r="C68" i="44"/>
  <c r="B70" i="44" l="1"/>
  <c r="C69" i="44"/>
  <c r="B71" i="44" l="1"/>
  <c r="C70" i="44"/>
  <c r="B72" i="44" l="1"/>
  <c r="C71" i="44"/>
  <c r="B73" i="44" l="1"/>
  <c r="C72" i="44"/>
  <c r="C73" i="44" l="1"/>
  <c r="B74" i="44"/>
  <c r="B75" i="44" l="1"/>
  <c r="C74" i="44"/>
  <c r="B76" i="44" l="1"/>
  <c r="C75" i="44"/>
  <c r="B77" i="44" l="1"/>
  <c r="C76" i="44"/>
  <c r="B78" i="44" l="1"/>
  <c r="C77" i="44"/>
  <c r="B79" i="44" l="1"/>
  <c r="C78" i="44"/>
  <c r="C79" i="44" l="1"/>
  <c r="B80" i="44"/>
  <c r="B81" i="44" l="1"/>
  <c r="C80" i="44"/>
  <c r="B82" i="44" l="1"/>
  <c r="C81" i="44"/>
  <c r="B83" i="44" l="1"/>
  <c r="C82" i="44"/>
  <c r="B84" i="44" l="1"/>
  <c r="C83" i="44"/>
  <c r="B85" i="44" l="1"/>
  <c r="C84" i="44"/>
  <c r="C85" i="44" l="1"/>
  <c r="B86" i="44"/>
  <c r="B87" i="44" l="1"/>
  <c r="C86" i="44"/>
  <c r="B88" i="44" l="1"/>
  <c r="C87" i="44"/>
  <c r="B89" i="44" l="1"/>
  <c r="C88" i="44"/>
  <c r="B90" i="44" l="1"/>
  <c r="C89" i="44"/>
  <c r="B91" i="44" l="1"/>
  <c r="C90" i="44"/>
  <c r="C91" i="44" l="1"/>
  <c r="B92" i="44"/>
  <c r="B93" i="44" l="1"/>
  <c r="C92" i="44"/>
  <c r="B94" i="44" l="1"/>
  <c r="C93" i="44"/>
  <c r="B95" i="44" l="1"/>
  <c r="C94" i="44"/>
  <c r="B96" i="44" l="1"/>
  <c r="C95" i="44"/>
  <c r="B97" i="44" l="1"/>
  <c r="C96" i="44"/>
  <c r="C97" i="44" l="1"/>
  <c r="B98" i="44"/>
  <c r="B99" i="44" l="1"/>
  <c r="C98" i="44"/>
  <c r="B100" i="44" l="1"/>
  <c r="C99" i="44"/>
  <c r="B101" i="44" l="1"/>
  <c r="C100" i="44"/>
  <c r="B102" i="44" l="1"/>
  <c r="C101" i="44"/>
  <c r="B103" i="44" l="1"/>
  <c r="C102" i="44"/>
  <c r="C103" i="44" l="1"/>
  <c r="B104" i="44"/>
  <c r="B105" i="44" l="1"/>
  <c r="C104" i="44"/>
  <c r="B106" i="44" l="1"/>
  <c r="C105" i="44"/>
  <c r="B107" i="44" l="1"/>
  <c r="C106" i="44"/>
  <c r="B108" i="44" l="1"/>
  <c r="C107" i="44"/>
  <c r="B109" i="44" l="1"/>
  <c r="C108" i="44"/>
  <c r="C109" i="44" l="1"/>
  <c r="B110" i="44"/>
  <c r="B111" i="44" l="1"/>
  <c r="C110" i="44"/>
  <c r="B112" i="44" l="1"/>
  <c r="C111" i="44"/>
  <c r="B113" i="44" l="1"/>
  <c r="C112" i="44"/>
  <c r="B114" i="44" l="1"/>
  <c r="C113" i="44"/>
  <c r="B115" i="44" l="1"/>
  <c r="C114" i="44"/>
  <c r="C115" i="44" l="1"/>
  <c r="B116" i="44"/>
  <c r="B117" i="44" l="1"/>
  <c r="C116" i="44"/>
  <c r="B118" i="44" l="1"/>
  <c r="C117" i="44"/>
  <c r="B119" i="44" l="1"/>
  <c r="C118" i="44"/>
  <c r="B120" i="44" l="1"/>
  <c r="C119" i="44"/>
  <c r="B121" i="44" l="1"/>
  <c r="C120" i="44"/>
  <c r="C121" i="44" l="1"/>
  <c r="B122" i="44"/>
  <c r="B123" i="44" l="1"/>
  <c r="C122" i="44"/>
  <c r="B124" i="44" l="1"/>
  <c r="C123" i="44"/>
  <c r="B125" i="44" l="1"/>
  <c r="C124" i="44"/>
  <c r="B126" i="44" l="1"/>
  <c r="C125" i="44"/>
  <c r="B127" i="44" l="1"/>
  <c r="C126" i="44"/>
  <c r="C127" i="44" l="1"/>
  <c r="B128" i="44"/>
  <c r="B129" i="44" l="1"/>
  <c r="C128" i="44"/>
  <c r="B130" i="44" l="1"/>
  <c r="C129" i="44"/>
  <c r="B131" i="44" l="1"/>
  <c r="C130" i="44"/>
  <c r="B132" i="44" l="1"/>
  <c r="C131" i="44"/>
  <c r="B133" i="44" l="1"/>
  <c r="C132" i="44"/>
  <c r="C133" i="44" l="1"/>
  <c r="B134" i="44"/>
  <c r="B135" i="44" l="1"/>
  <c r="C134" i="44"/>
  <c r="B136" i="44" l="1"/>
  <c r="C135" i="44"/>
  <c r="B137" i="44" l="1"/>
  <c r="C136" i="44"/>
  <c r="B138" i="44" l="1"/>
  <c r="C137" i="44"/>
  <c r="B139" i="44" l="1"/>
  <c r="C138" i="44"/>
  <c r="C139" i="44" l="1"/>
  <c r="B140" i="44"/>
  <c r="B141" i="44" l="1"/>
  <c r="C140" i="44"/>
  <c r="B142" i="44" l="1"/>
  <c r="C141" i="44"/>
  <c r="B143" i="44" l="1"/>
  <c r="C142" i="44"/>
  <c r="B144" i="44" l="1"/>
  <c r="C143" i="44"/>
  <c r="B145" i="44" l="1"/>
  <c r="C144" i="44"/>
  <c r="C145" i="44" l="1"/>
  <c r="B146" i="44"/>
  <c r="B147" i="44" l="1"/>
  <c r="C146" i="44"/>
  <c r="B148" i="44" l="1"/>
  <c r="C147" i="44"/>
  <c r="B149" i="44" l="1"/>
  <c r="C148" i="44"/>
  <c r="B150" i="44" l="1"/>
  <c r="C149" i="44"/>
  <c r="B151" i="44" l="1"/>
  <c r="C150" i="44"/>
  <c r="C151" i="44" l="1"/>
  <c r="B152" i="44"/>
  <c r="B153" i="44" l="1"/>
  <c r="C152" i="44"/>
  <c r="B154" i="44" l="1"/>
  <c r="C153" i="44"/>
  <c r="B155" i="44" l="1"/>
  <c r="C154" i="44"/>
  <c r="B156" i="44" l="1"/>
  <c r="C155" i="44"/>
  <c r="B157" i="44" l="1"/>
  <c r="C156" i="44"/>
  <c r="C157" i="44" l="1"/>
  <c r="B158" i="44"/>
  <c r="B159" i="44" l="1"/>
  <c r="C158" i="44"/>
  <c r="B160" i="44" l="1"/>
  <c r="C159" i="44"/>
  <c r="B161" i="44" l="1"/>
  <c r="C160" i="44"/>
  <c r="B162" i="44" l="1"/>
  <c r="C161" i="44"/>
  <c r="B163" i="44" l="1"/>
  <c r="C162" i="44"/>
  <c r="C163" i="44" l="1"/>
  <c r="B164" i="44"/>
  <c r="B165" i="44" l="1"/>
  <c r="C164" i="44"/>
  <c r="B166" i="44" l="1"/>
  <c r="C165" i="44"/>
  <c r="B167" i="44" l="1"/>
  <c r="C166" i="44"/>
  <c r="B168" i="44" l="1"/>
  <c r="C167" i="44"/>
  <c r="B169" i="44" l="1"/>
  <c r="C168" i="44"/>
  <c r="C169" i="44" l="1"/>
  <c r="B170" i="44"/>
  <c r="B171" i="44" l="1"/>
  <c r="C170" i="44"/>
  <c r="B172" i="44" l="1"/>
  <c r="C171" i="44"/>
  <c r="B173" i="44" l="1"/>
  <c r="C172" i="44"/>
  <c r="B174" i="44" l="1"/>
  <c r="C173" i="44"/>
  <c r="B175" i="44" l="1"/>
  <c r="C174" i="44"/>
  <c r="C175" i="44" l="1"/>
  <c r="B176" i="44"/>
  <c r="B177" i="44" l="1"/>
  <c r="C176" i="44"/>
  <c r="B178" i="44" l="1"/>
  <c r="C177" i="44"/>
  <c r="B179" i="44" l="1"/>
  <c r="C178" i="44"/>
  <c r="B180" i="44" l="1"/>
  <c r="C179" i="44"/>
  <c r="B181" i="44" l="1"/>
  <c r="C180" i="44"/>
  <c r="C181" i="44" l="1"/>
  <c r="B182" i="44"/>
  <c r="B183" i="44" l="1"/>
  <c r="C182" i="44"/>
  <c r="B184" i="44" l="1"/>
  <c r="C183" i="44"/>
  <c r="B185" i="44" l="1"/>
  <c r="C184" i="44"/>
  <c r="B186" i="44" l="1"/>
  <c r="C185" i="44"/>
  <c r="B187" i="44" l="1"/>
  <c r="C186" i="44"/>
  <c r="C187" i="44" l="1"/>
  <c r="B188" i="44"/>
  <c r="B189" i="44" l="1"/>
  <c r="C188" i="44"/>
  <c r="B190" i="44" l="1"/>
  <c r="C189" i="44"/>
  <c r="B191" i="44" l="1"/>
  <c r="C190" i="44"/>
  <c r="B192" i="44" l="1"/>
  <c r="C191" i="44"/>
  <c r="B193" i="44" l="1"/>
  <c r="C192" i="44"/>
  <c r="C193" i="44" l="1"/>
  <c r="B194" i="44"/>
  <c r="B195" i="44" l="1"/>
  <c r="C194" i="44"/>
  <c r="B196" i="44" l="1"/>
  <c r="C195" i="44"/>
  <c r="B197" i="44" l="1"/>
  <c r="C196" i="44"/>
  <c r="B198" i="44" l="1"/>
  <c r="C197" i="44"/>
  <c r="B199" i="44" l="1"/>
  <c r="C198" i="44"/>
  <c r="C199" i="44" l="1"/>
  <c r="B200" i="44"/>
  <c r="B201" i="44" l="1"/>
  <c r="C200" i="44"/>
  <c r="B202" i="44" l="1"/>
  <c r="C201" i="44"/>
  <c r="B203" i="44" l="1"/>
  <c r="C202" i="44"/>
  <c r="B204" i="44" l="1"/>
  <c r="C203" i="44"/>
  <c r="B205" i="44" l="1"/>
  <c r="C204" i="44"/>
  <c r="C205" i="44" l="1"/>
  <c r="B206" i="44"/>
  <c r="B207" i="44" l="1"/>
  <c r="C206" i="44"/>
  <c r="B208" i="44" l="1"/>
  <c r="C207" i="44"/>
  <c r="B209" i="44" l="1"/>
  <c r="C208" i="44"/>
  <c r="B210" i="44" l="1"/>
  <c r="C209" i="44"/>
  <c r="B211" i="44" l="1"/>
  <c r="C210" i="44"/>
  <c r="C211" i="44" l="1"/>
  <c r="B212" i="44"/>
  <c r="B213" i="44" l="1"/>
  <c r="C212" i="44"/>
  <c r="B214" i="44" l="1"/>
  <c r="C213" i="44"/>
  <c r="B215" i="44" l="1"/>
  <c r="C214" i="44"/>
  <c r="B216" i="44" l="1"/>
  <c r="C215" i="44"/>
  <c r="B217" i="44" l="1"/>
  <c r="C216" i="44"/>
  <c r="C217" i="44" l="1"/>
  <c r="B218" i="44"/>
  <c r="B219" i="44" l="1"/>
  <c r="C218" i="44"/>
  <c r="B220" i="44" l="1"/>
  <c r="C219" i="44"/>
  <c r="B221" i="44" l="1"/>
  <c r="C220" i="44"/>
  <c r="B222" i="44" l="1"/>
  <c r="C221" i="44"/>
  <c r="B223" i="44" l="1"/>
  <c r="C222" i="44"/>
  <c r="C223" i="44" l="1"/>
  <c r="B224" i="44"/>
  <c r="B225" i="44" l="1"/>
  <c r="C224" i="44"/>
  <c r="B226" i="44" l="1"/>
  <c r="C225" i="44"/>
  <c r="B227" i="44" l="1"/>
  <c r="C226" i="44"/>
  <c r="B228" i="44" l="1"/>
  <c r="C227" i="44"/>
  <c r="B229" i="44" l="1"/>
  <c r="C228" i="44"/>
  <c r="C229" i="44" l="1"/>
  <c r="B230" i="44"/>
  <c r="B231" i="44" l="1"/>
  <c r="C230" i="44"/>
  <c r="B232" i="44" l="1"/>
  <c r="C231" i="44"/>
  <c r="B233" i="44" l="1"/>
  <c r="C232" i="44"/>
  <c r="B234" i="44" l="1"/>
  <c r="C233" i="44"/>
  <c r="B235" i="44" l="1"/>
  <c r="C234" i="44"/>
  <c r="C235" i="44" l="1"/>
  <c r="B236" i="44"/>
  <c r="B237" i="44" l="1"/>
  <c r="C236" i="44"/>
  <c r="B238" i="44" l="1"/>
  <c r="C237" i="44"/>
  <c r="B239" i="44" l="1"/>
  <c r="C238" i="44"/>
  <c r="B240" i="44" l="1"/>
  <c r="C239" i="44"/>
  <c r="B241" i="44" l="1"/>
  <c r="C240" i="44"/>
  <c r="C241" i="44" l="1"/>
  <c r="B242" i="44"/>
  <c r="B243" i="44" l="1"/>
  <c r="C242" i="44"/>
  <c r="B244" i="44" l="1"/>
  <c r="C243" i="44"/>
  <c r="B245" i="44" l="1"/>
  <c r="C244" i="44"/>
  <c r="B246" i="44" l="1"/>
  <c r="C245" i="44"/>
  <c r="B247" i="44" l="1"/>
  <c r="C246" i="44"/>
  <c r="C247" i="44" l="1"/>
  <c r="B248" i="44"/>
  <c r="B249" i="44" l="1"/>
  <c r="C248" i="44"/>
  <c r="B250" i="44" l="1"/>
  <c r="C249" i="44"/>
  <c r="B251" i="44" l="1"/>
  <c r="C250" i="44"/>
  <c r="B252" i="44" l="1"/>
  <c r="C251" i="44"/>
  <c r="B253" i="44" l="1"/>
  <c r="C252" i="44"/>
  <c r="C253" i="44" l="1"/>
  <c r="B254" i="44"/>
  <c r="B255" i="44" l="1"/>
  <c r="C254" i="44"/>
  <c r="B256" i="44" l="1"/>
  <c r="C255" i="44"/>
  <c r="B257" i="44" l="1"/>
  <c r="C256" i="44"/>
  <c r="B258" i="44" l="1"/>
  <c r="C257" i="44"/>
  <c r="B259" i="44" l="1"/>
  <c r="C258" i="44"/>
  <c r="C259" i="44" l="1"/>
  <c r="B260" i="44"/>
  <c r="B261" i="44" l="1"/>
  <c r="C260" i="44"/>
  <c r="B262" i="44" l="1"/>
  <c r="C261" i="44"/>
  <c r="B263" i="44" l="1"/>
  <c r="C262" i="44"/>
  <c r="B264" i="44" l="1"/>
  <c r="C263" i="44"/>
  <c r="B265" i="44" l="1"/>
  <c r="C264" i="44"/>
  <c r="C265" i="44" l="1"/>
  <c r="B266" i="44"/>
  <c r="B267" i="44" l="1"/>
  <c r="C266" i="44"/>
  <c r="B268" i="44" l="1"/>
  <c r="C267" i="44"/>
  <c r="B269" i="44" l="1"/>
  <c r="C268" i="44"/>
  <c r="B270" i="44" l="1"/>
  <c r="C269" i="44"/>
  <c r="B271" i="44" l="1"/>
  <c r="C270" i="44"/>
  <c r="C271" i="44" l="1"/>
  <c r="B272" i="44"/>
  <c r="B273" i="44" l="1"/>
  <c r="C272" i="44"/>
  <c r="B274" i="44" l="1"/>
  <c r="C273" i="44"/>
  <c r="B275" i="44" l="1"/>
  <c r="C274" i="44"/>
  <c r="B276" i="44" l="1"/>
  <c r="C275" i="44"/>
  <c r="B277" i="44" l="1"/>
  <c r="C276" i="44"/>
  <c r="C277" i="44" l="1"/>
  <c r="B278" i="44"/>
  <c r="B279" i="44" l="1"/>
  <c r="C278" i="44"/>
  <c r="B280" i="44" l="1"/>
  <c r="C279" i="44"/>
  <c r="B281" i="44" l="1"/>
  <c r="C280" i="44"/>
  <c r="B282" i="44" l="1"/>
  <c r="C281" i="44"/>
  <c r="B283" i="44" l="1"/>
  <c r="C282" i="44"/>
  <c r="C283" i="44" l="1"/>
  <c r="B284" i="44"/>
  <c r="B285" i="44" l="1"/>
  <c r="C284" i="44"/>
  <c r="B286" i="44" l="1"/>
  <c r="C285" i="44"/>
  <c r="B287" i="44" l="1"/>
  <c r="C286" i="44"/>
  <c r="B288" i="44" l="1"/>
  <c r="C287" i="44"/>
  <c r="B289" i="44" l="1"/>
  <c r="C288" i="44"/>
  <c r="C289" i="44" l="1"/>
  <c r="B290" i="44"/>
  <c r="B291" i="44" l="1"/>
  <c r="C290" i="44"/>
  <c r="B292" i="44" l="1"/>
  <c r="C291" i="44"/>
  <c r="B293" i="44" l="1"/>
  <c r="C292" i="44"/>
  <c r="B294" i="44" l="1"/>
  <c r="C293" i="44"/>
  <c r="B295" i="44" l="1"/>
  <c r="C294" i="44"/>
  <c r="C295" i="44" l="1"/>
  <c r="B296" i="44"/>
  <c r="B297" i="44" l="1"/>
  <c r="C296" i="44"/>
  <c r="B298" i="44" l="1"/>
  <c r="C297" i="44"/>
  <c r="B299" i="44" l="1"/>
  <c r="C298" i="44"/>
  <c r="B300" i="44" l="1"/>
  <c r="C299" i="44"/>
  <c r="B301" i="44" l="1"/>
  <c r="C300" i="44"/>
  <c r="C301" i="44" l="1"/>
  <c r="B302" i="44"/>
  <c r="B303" i="44" l="1"/>
  <c r="C302" i="44"/>
  <c r="B304" i="44" l="1"/>
  <c r="C303" i="44"/>
  <c r="B305" i="44" l="1"/>
  <c r="C304" i="44"/>
  <c r="B306" i="44" l="1"/>
  <c r="C305" i="44"/>
  <c r="B307" i="44" l="1"/>
  <c r="C306" i="44"/>
  <c r="C307" i="44" l="1"/>
  <c r="B308" i="44"/>
  <c r="B309" i="44" l="1"/>
  <c r="C308" i="44"/>
  <c r="B310" i="44" l="1"/>
  <c r="C309" i="44"/>
  <c r="B311" i="44" l="1"/>
  <c r="C310" i="44"/>
  <c r="B312" i="44" l="1"/>
  <c r="C311" i="44"/>
  <c r="B313" i="44" l="1"/>
  <c r="C312" i="44"/>
  <c r="C313" i="44" l="1"/>
  <c r="B314" i="44"/>
  <c r="B315" i="44" l="1"/>
  <c r="C314" i="44"/>
  <c r="B316" i="44" l="1"/>
  <c r="C315" i="44"/>
  <c r="B317" i="44" l="1"/>
  <c r="C316" i="44"/>
  <c r="B318" i="44" l="1"/>
  <c r="C317" i="44"/>
  <c r="B319" i="44" l="1"/>
  <c r="C318" i="44"/>
  <c r="C319" i="44" l="1"/>
  <c r="B320" i="44"/>
  <c r="B321" i="44" l="1"/>
  <c r="C320" i="44"/>
  <c r="B322" i="44" l="1"/>
  <c r="C321" i="44"/>
  <c r="B323" i="44" l="1"/>
  <c r="C322" i="44"/>
  <c r="B324" i="44" l="1"/>
  <c r="C323" i="44"/>
  <c r="B325" i="44" l="1"/>
  <c r="C324" i="44"/>
  <c r="C325" i="44" l="1"/>
  <c r="B326" i="44"/>
  <c r="B327" i="44" l="1"/>
  <c r="C326" i="44"/>
  <c r="B328" i="44" l="1"/>
  <c r="C327" i="44"/>
  <c r="B329" i="44" l="1"/>
  <c r="C328" i="44"/>
  <c r="B330" i="44" l="1"/>
  <c r="C329" i="44"/>
  <c r="B331" i="44" l="1"/>
  <c r="C330" i="44"/>
  <c r="C331" i="44" l="1"/>
  <c r="B332" i="44"/>
  <c r="B333" i="44" l="1"/>
  <c r="C332" i="44"/>
  <c r="B334" i="44" l="1"/>
  <c r="C333" i="44"/>
  <c r="B335" i="44" l="1"/>
  <c r="C334" i="44"/>
  <c r="B336" i="44" l="1"/>
  <c r="C335" i="44"/>
  <c r="B337" i="44" l="1"/>
  <c r="C337" i="44" s="1"/>
  <c r="C336" i="44"/>
  <c r="F14" i="30"/>
  <c r="F21" i="3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8" authorId="0" shapeId="0" xr:uid="{00000000-0006-0000-0900-000001000000}">
      <text>
        <r>
          <rPr>
            <sz val="10"/>
            <rFont val="WenQuanYi Zen Hei"/>
            <family val="2"/>
          </rPr>
          <t>売掛債権は個別に回収可能性を判断するため、貸倒引当金は全額控除（戻入）する。</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7" authorId="0" shapeId="0" xr:uid="{00000000-0006-0000-1400-000001000000}">
      <text>
        <r>
          <rPr>
            <sz val="10"/>
            <rFont val="WenQuanYi Zen Hei"/>
            <family val="2"/>
          </rPr>
          <t>棚卸資産廃棄損は</t>
        </r>
        <r>
          <rPr>
            <sz val="10"/>
            <rFont val="Arial"/>
            <family val="2"/>
          </rPr>
          <t>3</t>
        </r>
        <r>
          <rPr>
            <sz val="10"/>
            <rFont val="WenQuanYi Zen Hei"/>
            <family val="2"/>
          </rPr>
          <t>期連続で発生し、かつ増加傾向にある。版権グッズ事業に構造的に内在する費用と判断し、
他勘定振替高を戻し入れ（＝売上原価に算入）、特別損失計上額を控除することで営業費用として認識する。</t>
        </r>
      </text>
    </comment>
    <comment ref="D24" authorId="0" shapeId="0" xr:uid="{00000000-0006-0000-1400-000002000000}">
      <text>
        <r>
          <rPr>
            <sz val="10"/>
            <rFont val="WenQuanYi Zen Hei"/>
            <family val="2"/>
          </rPr>
          <t>受取利息・受取配当金は非事業用資産（投資有価証券）からの収益であり、事業の正常収益力から除外する。</t>
        </r>
      </text>
    </comment>
    <comment ref="D31" authorId="0" shapeId="0" xr:uid="{00000000-0006-0000-1400-000003000000}">
      <text>
        <r>
          <rPr>
            <sz val="10"/>
            <rFont val="WenQuanYi Zen Hei"/>
            <family val="2"/>
          </rPr>
          <t>資金の調達方法から独立した会社財産の収益獲得力を評価するため控除する。</t>
        </r>
      </text>
    </comment>
    <comment ref="D46" authorId="0" shapeId="0" xr:uid="{00000000-0006-0000-1400-000004000000}">
      <text>
        <r>
          <rPr>
            <sz val="10"/>
            <rFont val="WenQuanYi Zen Hei"/>
            <family val="2"/>
          </rPr>
          <t>特別保険料はオーナー一族に係る保険料と推定され、譲渡後は発生しない見込みのため控除する。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8" authorId="0" shapeId="0" xr:uid="{30FEC22F-EB75-454B-9FFF-B461BA357B2B}">
      <text>
        <r>
          <rPr>
            <sz val="10"/>
            <rFont val="WenQuanYi Zen Hei"/>
            <family val="2"/>
          </rPr>
          <t>売掛債権は個別に回収可能性を判断するため、貸倒引当金は全額控除（戻入）する。</t>
        </r>
      </text>
    </comment>
    <comment ref="D47" authorId="0" shapeId="0" xr:uid="{CE90F002-4946-47B0-B4BA-30D5E59C42C8}">
      <text>
        <r>
          <rPr>
            <sz val="10"/>
            <rFont val="WenQuanYi Zen Hei"/>
            <family val="2"/>
          </rPr>
          <t>新設分割により新設会社へ承継する非事業用資産。</t>
        </r>
      </text>
    </comment>
    <comment ref="B94" authorId="0" shapeId="0" xr:uid="{E6114B4F-07F0-4293-A2B6-3E1700B26B60}">
      <text>
        <r>
          <rPr>
            <sz val="10"/>
            <rFont val="WenQuanYi Zen Hei"/>
            <family val="2"/>
          </rPr>
          <t>新設分割により新設会社へ承継する純資産（承継資産－承継負債）。
分割型（人的）分割を前提とし、分割会社の純資産が同額減少するものとしている。</t>
        </r>
      </text>
    </comment>
  </commentList>
</comments>
</file>

<file path=xl/sharedStrings.xml><?xml version="1.0" encoding="utf-8"?>
<sst xmlns="http://schemas.openxmlformats.org/spreadsheetml/2006/main" count="1353" uniqueCount="603">
  <si>
    <t>文字は「游ゴシック」、数字は「Arial」を基本。備考欄などの細かい文章は「游ゴシック Medium」。</t>
  </si>
  <si>
    <t>タイトル、合計欄は太字</t>
  </si>
  <si>
    <t>数字は円単位で入力、表示は千円単位に設定済み</t>
  </si>
  <si>
    <t>基本の背景は以下の通り。紺、水色、グレー、白、青。パレットの上部の色。</t>
  </si>
  <si>
    <t>線は紺か白か青。</t>
  </si>
  <si>
    <t>資産の部</t>
  </si>
  <si>
    <t>科目</t>
  </si>
  <si>
    <t>調整額</t>
  </si>
  <si>
    <t>調整後</t>
  </si>
  <si>
    <t>【流動資産】</t>
  </si>
  <si>
    <t>現金及び預金</t>
  </si>
  <si>
    <t>←基本的にはここをつかう→</t>
  </si>
  <si>
    <t>（4期目）</t>
  </si>
  <si>
    <t>進行期</t>
  </si>
  <si>
    <t>●●年●月期</t>
  </si>
  <si>
    <t>●●年●月
（●か月TB）</t>
  </si>
  <si>
    <t>売掛金</t>
  </si>
  <si>
    <t>貸倒引当金</t>
  </si>
  <si>
    <t>商品</t>
  </si>
  <si>
    <t>証紙</t>
  </si>
  <si>
    <t>前渡金</t>
  </si>
  <si>
    <t>立替金</t>
  </si>
  <si>
    <t>前払費用</t>
  </si>
  <si>
    <t>未収入金</t>
  </si>
  <si>
    <t>仮払税</t>
  </si>
  <si>
    <t>【固定資産】</t>
  </si>
  <si>
    <t>［有形固定資産］</t>
  </si>
  <si>
    <t>建物附属設備</t>
  </si>
  <si>
    <t>車両運搬具</t>
  </si>
  <si>
    <t>工具器具備品</t>
  </si>
  <si>
    <t>［無形固定資産］</t>
  </si>
  <si>
    <t>ソフトウェア</t>
  </si>
  <si>
    <t>［投資その他資産］</t>
  </si>
  <si>
    <t>投資有価証券</t>
  </si>
  <si>
    <t>出資金</t>
  </si>
  <si>
    <t>敷金</t>
  </si>
  <si>
    <t>差入保証金</t>
  </si>
  <si>
    <t>預託金</t>
  </si>
  <si>
    <t>保険積立金</t>
  </si>
  <si>
    <t>長期前払費用</t>
  </si>
  <si>
    <t>【繰延資産】</t>
  </si>
  <si>
    <t>資産合計</t>
  </si>
  <si>
    <t>バランスチェック</t>
  </si>
  <si>
    <r>
      <rPr>
        <sz val="11"/>
        <color theme="1"/>
        <rFont val="游ゴシック"/>
        <family val="3"/>
        <charset val="128"/>
      </rPr>
      <t>(</t>
    </r>
    <r>
      <rPr>
        <sz val="11"/>
        <color theme="1"/>
        <rFont val="WenQuanYi Zen Hei"/>
        <family val="2"/>
      </rPr>
      <t>単位：千円</t>
    </r>
    <r>
      <rPr>
        <sz val="11"/>
        <color theme="1"/>
        <rFont val="游ゴシック"/>
        <family val="3"/>
        <charset val="128"/>
      </rPr>
      <t>)</t>
    </r>
  </si>
  <si>
    <t>負債の部</t>
  </si>
  <si>
    <t>【流動負債】</t>
  </si>
  <si>
    <t>買掛金</t>
  </si>
  <si>
    <t>未払金</t>
  </si>
  <si>
    <t>未払法人税等</t>
  </si>
  <si>
    <t>未払消費税等</t>
  </si>
  <si>
    <t>預り金</t>
  </si>
  <si>
    <t>仮受金</t>
  </si>
  <si>
    <t>一年以内返済長期借入金</t>
  </si>
  <si>
    <t>【固定負債】</t>
  </si>
  <si>
    <t>長期借入金</t>
  </si>
  <si>
    <t>負債合計</t>
  </si>
  <si>
    <t>純資産の部</t>
  </si>
  <si>
    <t>【資本金】</t>
  </si>
  <si>
    <t>資本金</t>
  </si>
  <si>
    <t>【資本剰余金】</t>
  </si>
  <si>
    <t>【利益剰余金】</t>
  </si>
  <si>
    <t>繰越利益剰余金</t>
  </si>
  <si>
    <t>【自己株式】</t>
  </si>
  <si>
    <t>純資産合計</t>
  </si>
  <si>
    <t>負債・純資産合計</t>
  </si>
  <si>
    <t>●年●月期</t>
  </si>
  <si>
    <t>帳簿価額</t>
  </si>
  <si>
    <t>売上高比</t>
  </si>
  <si>
    <t>売上高</t>
  </si>
  <si>
    <t>輸出売上</t>
  </si>
  <si>
    <t>期首商品棚卸高</t>
  </si>
  <si>
    <t>当期商品仕入高</t>
  </si>
  <si>
    <t>（製）支払手数料</t>
  </si>
  <si>
    <t>（製）サンプル</t>
  </si>
  <si>
    <t>試作費</t>
  </si>
  <si>
    <t>（製）外注費</t>
  </si>
  <si>
    <t>仕入値引高</t>
  </si>
  <si>
    <t>他勘定振替高</t>
  </si>
  <si>
    <t>期末商品棚卸高</t>
  </si>
  <si>
    <t>売上原価</t>
  </si>
  <si>
    <t>売上総利益</t>
  </si>
  <si>
    <t>販売費及び一般管理費</t>
  </si>
  <si>
    <t>営業利益</t>
  </si>
  <si>
    <t>営業外収益</t>
  </si>
  <si>
    <t>受取利息</t>
  </si>
  <si>
    <t>受取配当金</t>
  </si>
  <si>
    <t>貸倒引当金戻入額</t>
  </si>
  <si>
    <t>雑収入</t>
  </si>
  <si>
    <t>仕入割引</t>
  </si>
  <si>
    <t>為替差益</t>
  </si>
  <si>
    <t>営業外費用</t>
  </si>
  <si>
    <t>支払利息</t>
  </si>
  <si>
    <t>雑損失</t>
  </si>
  <si>
    <t>経常利益</t>
  </si>
  <si>
    <t>特別利益</t>
  </si>
  <si>
    <t>投資有価証券売却益</t>
  </si>
  <si>
    <t>特別損失</t>
  </si>
  <si>
    <t>投資有価証券売却損</t>
  </si>
  <si>
    <t>固定資産除却損</t>
  </si>
  <si>
    <t>棚卸資産廃棄損</t>
  </si>
  <si>
    <t>特別保険料</t>
  </si>
  <si>
    <t>税引前当期純利益</t>
  </si>
  <si>
    <t>法人税等</t>
  </si>
  <si>
    <t>税引後当期純利益</t>
  </si>
  <si>
    <r>
      <rPr>
        <sz val="12"/>
        <color rgb="FFFF0000"/>
        <rFont val="Arial"/>
        <family val="2"/>
        <charset val="1"/>
      </rPr>
      <t>IM</t>
    </r>
    <r>
      <rPr>
        <sz val="12"/>
        <color rgb="FFFF0000"/>
        <rFont val="WenQuanYi Zen Hei"/>
        <family val="2"/>
      </rPr>
      <t>に貼るときは非表示→</t>
    </r>
  </si>
  <si>
    <t>売上</t>
  </si>
  <si>
    <t>-</t>
  </si>
  <si>
    <t>材料費</t>
  </si>
  <si>
    <t>労務費</t>
  </si>
  <si>
    <t>外注加工費</t>
  </si>
  <si>
    <t>経費</t>
  </si>
  <si>
    <t>当期製造費用</t>
  </si>
  <si>
    <t>期首仕掛品棚卸高</t>
  </si>
  <si>
    <t>合計</t>
  </si>
  <si>
    <t>期末仕掛品棚卸高</t>
  </si>
  <si>
    <t>当期製造原価</t>
  </si>
  <si>
    <t>役員報酬</t>
  </si>
  <si>
    <t>役員賞与</t>
  </si>
  <si>
    <t>給料手当</t>
  </si>
  <si>
    <t>雑給</t>
  </si>
  <si>
    <t>賞与</t>
  </si>
  <si>
    <t>法定福利費</t>
  </si>
  <si>
    <t>福利厚生費</t>
  </si>
  <si>
    <t>採用教育費</t>
  </si>
  <si>
    <t>荷造運賃</t>
  </si>
  <si>
    <t>広告宣伝費</t>
  </si>
  <si>
    <t>接待交際費</t>
  </si>
  <si>
    <t>会議費</t>
  </si>
  <si>
    <t>旅費交通費</t>
  </si>
  <si>
    <t>通信費</t>
  </si>
  <si>
    <t>販売促進費</t>
  </si>
  <si>
    <t>事務用消耗品費</t>
  </si>
  <si>
    <t>修繕費</t>
  </si>
  <si>
    <t>水道光熱費</t>
  </si>
  <si>
    <t>諸会費</t>
  </si>
  <si>
    <t>支払手数料</t>
  </si>
  <si>
    <t>車両費</t>
  </si>
  <si>
    <t>地代家賃</t>
  </si>
  <si>
    <t>リース料</t>
  </si>
  <si>
    <t>保険料</t>
  </si>
  <si>
    <t>租税公課</t>
  </si>
  <si>
    <t>支払報酬料</t>
  </si>
  <si>
    <t>寄付金</t>
  </si>
  <si>
    <t>研究開発費</t>
  </si>
  <si>
    <t>減価償却費</t>
  </si>
  <si>
    <t>貸倒引当金繰入額</t>
  </si>
  <si>
    <t>通勤</t>
  </si>
  <si>
    <t>販売費および一般管理費合計</t>
  </si>
  <si>
    <t>作業不要（自動作成）</t>
  </si>
  <si>
    <t>min</t>
  </si>
  <si>
    <t>差（グラフ作成用）</t>
  </si>
  <si>
    <t>max</t>
  </si>
  <si>
    <t>インカム</t>
  </si>
  <si>
    <t>ｚ</t>
  </si>
  <si>
    <t>マーケット</t>
  </si>
  <si>
    <t>コスト</t>
  </si>
  <si>
    <t>修正額</t>
  </si>
  <si>
    <t>修正後</t>
  </si>
  <si>
    <t>【繰延税金資産】</t>
  </si>
  <si>
    <t>相手先</t>
  </si>
  <si>
    <t>評価差額</t>
  </si>
  <si>
    <t>評価額</t>
  </si>
  <si>
    <t>調整事由</t>
  </si>
  <si>
    <t>（相手先別内訳 未受領）</t>
  </si>
  <si>
    <t>売掛金年齢表・補助残高一覧表が未受領のため個別の回収可能性判断は未実施。帳簿価額により評価する（要確認）。なお貸倒引当金201千円は全額戻入。</t>
  </si>
  <si>
    <t>商品在庫</t>
  </si>
  <si>
    <t>令和8年1月期末残高は205千円と僅少。棚卸資産廃棄損が3期連続で計上されており期末在庫は整理済と判断し、帳簿価額により評価する。</t>
  </si>
  <si>
    <t>僅少につき帳簿価額により評価する。</t>
  </si>
  <si>
    <t>資産</t>
  </si>
  <si>
    <t>減価償却台帳（令和8年1月期）が画像PDFのため個別資産の償却過不足の検証は未実施。有形固定資産・無形固定資産の残高は合計3,169千円と僅少であり、帳簿価額により評価する（要確認）。</t>
  </si>
  <si>
    <t>内容・所在地</t>
  </si>
  <si>
    <t>地積(㎡)</t>
  </si>
  <si>
    <t>時価評価額</t>
  </si>
  <si>
    <t>該当なし</t>
  </si>
  <si>
    <t>対象会社は土地・建物等の不動産を保有していない（令和8年1月期BSに計上なし、本社は賃借）。したがって不動産の時価評価は実施していない。</t>
  </si>
  <si>
    <t>保険商品</t>
  </si>
  <si>
    <t>保険積立金（保険会社・商品名 未確認）</t>
  </si>
  <si>
    <t>解約返戻金額の資料が未受領のため帳簿価額により評価する。解約返戻金額の判明後、時価へ更新予定（要確認）。3期連続で特別保険料を計上しており、簿外の返戻金相当額が存在する可能性がある。</t>
  </si>
  <si>
    <t>銘柄</t>
  </si>
  <si>
    <t>数量</t>
  </si>
  <si>
    <t>投資有価証券（銘柄別内訳 未受領）</t>
  </si>
  <si>
    <t>有価証券内訳明細書・証券会社残高証明書が未受領のため帳簿価額により評価する。評価実施日の時価判明後に更新予定（要確認）。総資産の約50%を占める重要科目。</t>
  </si>
  <si>
    <t>【繰延税金負債】</t>
  </si>
  <si>
    <t>【評価修正額】</t>
  </si>
  <si>
    <t>修正税効果</t>
  </si>
  <si>
    <t>給与（令和8年1月期）</t>
  </si>
  <si>
    <t>未払日数</t>
  </si>
  <si>
    <t>未払給与引当額</t>
  </si>
  <si>
    <t>概算社会保険料</t>
  </si>
  <si>
    <t>－</t>
  </si>
  <si>
    <t>就業規則・賃金規程（給与の締日・支払日）が未受領のため、未払給与の引当不足額は算定不能。要確認事項として整理し、本評価では未計上とする。</t>
  </si>
  <si>
    <t>賞与（令和8年1月期）</t>
  </si>
  <si>
    <t>支給対象月数</t>
  </si>
  <si>
    <t>経過月数</t>
  </si>
  <si>
    <t>引当額</t>
  </si>
  <si>
    <t>社保考慮後引当不足</t>
  </si>
  <si>
    <t>決算期末（1月31日）時点で夏季賞与の支給対象期間は経過しておらず、冬季賞与は令和7年12月に支給済（給与台帳により確認）。したがって賞与引当不足は生じないものと判断し、追加引当は行わない。</t>
  </si>
  <si>
    <t>№</t>
  </si>
  <si>
    <t>氏名</t>
  </si>
  <si>
    <t>勤続年数(年)</t>
  </si>
  <si>
    <t>基本給</t>
  </si>
  <si>
    <t>支給倍率</t>
  </si>
  <si>
    <t>退職理由率</t>
  </si>
  <si>
    <t>要支給額</t>
  </si>
  <si>
    <t>中退共積立額</t>
  </si>
  <si>
    <t>引当不足</t>
  </si>
  <si>
    <t>退職金規程が未受領であり、中小企業退職金共済等の外部積立の有無も未確認のため、退職給付引当不足額は算定不能。要確認事項として整理し、本評価では未計上とする（従業員7名・平均勤続年数約5年）。</t>
  </si>
  <si>
    <t>修正科目</t>
  </si>
  <si>
    <t>適用判定</t>
  </si>
  <si>
    <t>繰延税金資産/負債</t>
  </si>
  <si>
    <t>備考</t>
  </si>
  <si>
    <t>〇</t>
  </si>
  <si>
    <t>棚卸資産</t>
  </si>
  <si>
    <t>評価差額なし</t>
  </si>
  <si>
    <t>減価償却資産</t>
  </si>
  <si>
    <t>償却過不足未検証のため未評価（要確認）</t>
  </si>
  <si>
    <t>時価資料未受領のため簿価評価（要確認）</t>
  </si>
  <si>
    <t>解約返戻金資料未受領のため簿価評価（要確認）</t>
  </si>
  <si>
    <t>差入保証金・敷金</t>
  </si>
  <si>
    <t>賃貸借契約書の返還条件未確認のため簿価評価（要確認）</t>
  </si>
  <si>
    <t>未払給与</t>
  </si>
  <si>
    <t>賃金規程未受領のため未計上（要確認）</t>
  </si>
  <si>
    <t>賞与引当金</t>
  </si>
  <si>
    <t>期末時点で引当不足なし</t>
  </si>
  <si>
    <t>退職給付引当金</t>
  </si>
  <si>
    <t>退職金規程未受領のため未計上（要確認）</t>
  </si>
  <si>
    <t>修正額は貸倒引当金の戻入201千円のみであり重要性が乏しいことから、修正貸借対照表上は繰延税金資産／負債を認識せず、「年買法」シートの時価純資産算定において実効税率34%で一括して考慮している。</t>
  </si>
  <si>
    <t>キャッシュライクアイテム</t>
  </si>
  <si>
    <t>金額</t>
  </si>
  <si>
    <t>デットライクアイテム</t>
  </si>
  <si>
    <t>ネットキャッシュ</t>
  </si>
  <si>
    <t>期首原材料棚卸高</t>
  </si>
  <si>
    <t>原材料仕入高</t>
  </si>
  <si>
    <t>小計</t>
  </si>
  <si>
    <t>期末原材料棚卸高</t>
  </si>
  <si>
    <t>営業権倍率</t>
  </si>
  <si>
    <t>x1</t>
  </si>
  <si>
    <t>x2</t>
  </si>
  <si>
    <t>x3</t>
  </si>
  <si>
    <t>簿価純資産額</t>
  </si>
  <si>
    <t>簿価営業利益</t>
  </si>
  <si>
    <t>時価純資産</t>
  </si>
  <si>
    <t>営業権</t>
  </si>
  <si>
    <t>修正後営業利益</t>
  </si>
  <si>
    <t>想定株式価値</t>
  </si>
  <si>
    <t>税考慮額</t>
  </si>
  <si>
    <t>修正後税考慮後営業利益</t>
  </si>
  <si>
    <t>基準営業利益</t>
  </si>
  <si>
    <t>マルチプル倍率</t>
  </si>
  <si>
    <t>x4</t>
  </si>
  <si>
    <t>x5</t>
  </si>
  <si>
    <t>キャッシュライク</t>
  </si>
  <si>
    <t>デットライク</t>
  </si>
  <si>
    <t>非流動性ディスカウント</t>
  </si>
  <si>
    <t>修正後EBITDA</t>
  </si>
  <si>
    <t>基準EBITDA</t>
  </si>
  <si>
    <t>企業名</t>
  </si>
  <si>
    <t>所在地</t>
  </si>
  <si>
    <t>事業内容</t>
  </si>
  <si>
    <r>
      <rPr>
        <b/>
        <sz val="12"/>
        <color theme="0"/>
        <rFont val="游ゴシック"/>
        <family val="3"/>
        <charset val="128"/>
      </rPr>
      <t>EV/EVIDA</t>
    </r>
    <r>
      <rPr>
        <b/>
        <sz val="12"/>
        <color theme="0"/>
        <rFont val="WenQuanYi Zen Hei"/>
        <family val="2"/>
      </rPr>
      <t>倍率</t>
    </r>
  </si>
  <si>
    <t>㈱エスケイジャパン（7608）</t>
  </si>
  <si>
    <t>大阪府大阪市</t>
  </si>
  <si>
    <t>アミューズメント景品・キャラクター雑貨の企画・製造・販売</t>
  </si>
  <si>
    <t>㈱ハピネット（7552）</t>
  </si>
  <si>
    <t>東京都台東区</t>
  </si>
  <si>
    <t>玩具・キャラクターグッズ・映像音楽ソフトの企画卸売</t>
  </si>
  <si>
    <t>㈱タカラトミー（7867）</t>
  </si>
  <si>
    <t>東京都葛飾区</t>
  </si>
  <si>
    <t>玩具・キャラクター商品の企画・製造・販売</t>
  </si>
  <si>
    <t>㈱サンリオ（8136）</t>
  </si>
  <si>
    <t>東京都品川区</t>
  </si>
  <si>
    <t>キャラクターの企画・ライセンス供与、関連商品の企画販売</t>
  </si>
  <si>
    <t>㈱ブシロード（7803）</t>
  </si>
  <si>
    <t>東京都中野区</t>
  </si>
  <si>
    <r>
      <rPr>
        <sz val="12"/>
        <color theme="1"/>
        <rFont val="游ゴシック"/>
        <family val="3"/>
        <charset val="128"/>
      </rPr>
      <t>IP</t>
    </r>
    <r>
      <rPr>
        <sz val="12"/>
        <color theme="1"/>
        <rFont val="WenQuanYi Zen Hei"/>
        <family val="2"/>
      </rPr>
      <t>の創出・許諾、カードゲーム・キャラクターグッズの企画販売</t>
    </r>
  </si>
  <si>
    <t>㈱KADOKAWA（9468）</t>
  </si>
  <si>
    <t>東京都千代田区</t>
  </si>
  <si>
    <t>出版・映像・ゲーム及びIPを活用したライセンス・物販事業</t>
  </si>
  <si>
    <t>㈱東映アニメーション（4816）</t>
  </si>
  <si>
    <t>アニメーション制作、版権許諾・商品化権事業</t>
  </si>
  <si>
    <t>㈱IGポート（3791）</t>
  </si>
  <si>
    <t>東京都武蔵野市</t>
  </si>
  <si>
    <t>アニメーション制作、版権事業・商品販売</t>
  </si>
  <si>
    <t>㈱マーベラス（7844）</t>
  </si>
  <si>
    <t>ゲーム・音楽映像・ライブ及びキャラクターMD事業</t>
  </si>
  <si>
    <t>㈱ドウシシャ（7483）</t>
  </si>
  <si>
    <t>生活用品・キャラクター雑貨の企画開発・卸売</t>
  </si>
  <si>
    <t>平均値</t>
  </si>
  <si>
    <t>中央値</t>
  </si>
  <si>
    <t>※ 上記は事業内容・顧客基盤の観点から選定した類似上場会社。EV/EBITDA倍率は算定日時点の株価等に基づき更新のうえ入力する。</t>
  </si>
  <si>
    <t>※ 本評価では、国内中小企業M&amp;Aの実務上のボリュームゾーンである3.0～5.0倍を採用している。</t>
  </si>
  <si>
    <t>項目</t>
  </si>
  <si>
    <t>内容</t>
  </si>
  <si>
    <t>会社名</t>
  </si>
  <si>
    <t>株式会社カナリア</t>
  </si>
  <si>
    <t>本社所在地</t>
  </si>
  <si>
    <t>東京都台東区東上野一丁目20番5号 サスガビル4階</t>
  </si>
  <si>
    <t>代表者</t>
  </si>
  <si>
    <t>従業員数</t>
  </si>
  <si>
    <t>調整後EBITDA</t>
  </si>
  <si>
    <t>譲渡理由</t>
  </si>
  <si>
    <t>令和6年1月期</t>
  </si>
  <si>
    <t>令和7年1月期</t>
  </si>
  <si>
    <t>令和8年1月期</t>
  </si>
  <si>
    <t>進行期(令和9年1月期・実績5ヶ月分TB)</t>
  </si>
  <si>
    <t>前期比</t>
  </si>
  <si>
    <t>利益率</t>
  </si>
  <si>
    <t>調整項目 合計</t>
  </si>
  <si>
    <t>社会保険料</t>
  </si>
  <si>
    <t>流動資産</t>
  </si>
  <si>
    <t>流動負債</t>
  </si>
  <si>
    <t>その他</t>
  </si>
  <si>
    <t>固定資産</t>
  </si>
  <si>
    <t>固定負債</t>
  </si>
  <si>
    <t>得意先</t>
  </si>
  <si>
    <t>取引内容</t>
  </si>
  <si>
    <t>業種等</t>
  </si>
  <si>
    <t>構成比</t>
  </si>
  <si>
    <t>㈱セガ</t>
  </si>
  <si>
    <t>キャラクターグッズ商品化(版権使用)</t>
  </si>
  <si>
    <t>不明（要確認）</t>
  </si>
  <si>
    <t>ゲーム・アニメ関連</t>
  </si>
  <si>
    <t>㈱KADOKAWA Game Linkag</t>
  </si>
  <si>
    <t>㈱ムービック</t>
  </si>
  <si>
    <t>㈱ｽﾓｰﾙﾌﾟﾗﾈｯﾄ</t>
  </si>
  <si>
    <t>杭州迷萌文化創意</t>
  </si>
  <si>
    <t>海外製造委託パートナー</t>
  </si>
  <si>
    <t>㈱ｿﾙ･インターナショナル</t>
  </si>
  <si>
    <t>㈱ケンメディア</t>
  </si>
  <si>
    <t>㈱KADOKAWA</t>
  </si>
  <si>
    <t>㈱PHP JAPAN</t>
  </si>
  <si>
    <t>花禾㈱</t>
  </si>
  <si>
    <t>その他（上位10社圏外の顧客群）</t>
  </si>
  <si>
    <t>各期の全社売上高(税抜)から上位10社実績を控除した差引額。上位社の入替りが激しく、直近期の非上位企業も含む</t>
  </si>
  <si>
    <t>仕入先</t>
  </si>
  <si>
    <t>仕入内容</t>
  </si>
  <si>
    <t>仕入高</t>
  </si>
  <si>
    <t>非開示（相手先名称は現時点で未提供）</t>
  </si>
  <si>
    <t>貿易商社　主に中国製のものを作成依頼</t>
  </si>
  <si>
    <t>アパレル商品の日本メーカー</t>
  </si>
  <si>
    <t>アパレル商品の貿易商社</t>
  </si>
  <si>
    <t>アクリルの日本メーカー</t>
  </si>
  <si>
    <t>アクリル、缶バッジ、紙類の日本メーカー</t>
  </si>
  <si>
    <t>成形品、ぬいぐるみの中国メーカー</t>
  </si>
  <si>
    <t>缶バッジの特殊加工の日本メーカー</t>
  </si>
  <si>
    <t>デジタル機能付きのグッズの日本メーカー</t>
  </si>
  <si>
    <t>紙類の日本商社</t>
  </si>
  <si>
    <t>ロイヤリティー支払い先</t>
  </si>
  <si>
    <t>その他（上位10項目以外）</t>
  </si>
  <si>
    <t>実績表(01_IP/03_営業)は仕入・外注支払の概ね8割程度を捕捉したデータ。上位10項目以外の合計。金額は税込ベース</t>
  </si>
  <si>
    <t>外注先</t>
  </si>
  <si>
    <t>外注内容</t>
  </si>
  <si>
    <t>外注費</t>
  </si>
  <si>
    <t>外注先別の内訳は仕入先データと一体で管理されており分離不可（01_IP/03_営業「取引先・外注先 実績.xlsx」は仕入・外注を合算した「仕入等支払実績」として提供されている）。実績は「仕入先」シートを参照。製造委託費・外注費のみの分離把握には総勘定元帳等の追加資料が必要。</t>
  </si>
  <si>
    <t>役職</t>
  </si>
  <si>
    <t>保有株式数</t>
  </si>
  <si>
    <t>保有割合</t>
  </si>
  <si>
    <t>代表者との関係</t>
  </si>
  <si>
    <t>業務範囲</t>
  </si>
  <si>
    <t>野口 紘</t>
  </si>
  <si>
    <t>代表取締役</t>
  </si>
  <si>
    <t>本人</t>
  </si>
  <si>
    <t>野口 文枝</t>
  </si>
  <si>
    <t>取締役</t>
  </si>
  <si>
    <t>野口 聰江</t>
  </si>
  <si>
    <t>基準日→適宜変更</t>
  </si>
  <si>
    <t>YYYY/MM/DD</t>
  </si>
  <si>
    <t>イニシャル</t>
  </si>
  <si>
    <t>雇用形態</t>
  </si>
  <si>
    <t>性別</t>
  </si>
  <si>
    <t>生年月日</t>
  </si>
  <si>
    <t>年齢
（歳）</t>
  </si>
  <si>
    <t>入社年月日</t>
  </si>
  <si>
    <t>勤続年数
（年）</t>
  </si>
  <si>
    <t>部署</t>
  </si>
  <si>
    <t>●年夏季賞与</t>
  </si>
  <si>
    <t>●年冬季賞与</t>
  </si>
  <si>
    <t>●年総支給額</t>
  </si>
  <si>
    <t>A</t>
  </si>
  <si>
    <t>正社員</t>
  </si>
  <si>
    <t>男</t>
  </si>
  <si>
    <t>制作部</t>
  </si>
  <si>
    <t>B</t>
  </si>
  <si>
    <t>女</t>
  </si>
  <si>
    <t>C</t>
  </si>
  <si>
    <t>D</t>
  </si>
  <si>
    <t>E</t>
  </si>
  <si>
    <t>F</t>
  </si>
  <si>
    <t>営業部</t>
  </si>
  <si>
    <t>G</t>
  </si>
  <si>
    <t>契約形態</t>
  </si>
  <si>
    <t>延床面積
(㎡)</t>
  </si>
  <si>
    <t>月間賃料
(千円)</t>
  </si>
  <si>
    <t>敷金
(千円)</t>
  </si>
  <si>
    <t>アクセス</t>
  </si>
  <si>
    <t>土地は0.7割戻し</t>
  </si>
  <si>
    <t>事業所名</t>
  </si>
  <si>
    <t>所在地
地番・家屋番号</t>
  </si>
  <si>
    <t>面積
(㎡)</t>
  </si>
  <si>
    <t>区分
・構造</t>
  </si>
  <si>
    <t>所有（建築）
年月・事由</t>
  </si>
  <si>
    <t>前期末簿価
(千円)</t>
  </si>
  <si>
    <t>時価</t>
  </si>
  <si>
    <t>固定資産税
評価額</t>
  </si>
  <si>
    <t>該当なし。BS明細（月次試算表）上、有形固定資産に土地・建物の勘定科目が計上されておらず、附属設備700,993円・車両運搬具264,868円・工具器具備品91,059円のみ。本社は賃借。</t>
  </si>
  <si>
    <t>契約内容</t>
  </si>
  <si>
    <t>貸主</t>
  </si>
  <si>
    <t>本社</t>
  </si>
  <si>
    <t>事務所（サスガビル4階）</t>
  </si>
  <si>
    <t>東京都台東区東上野一丁目20番5号</t>
  </si>
  <si>
    <t>普通賃貸借と推定（契約書原本[画像PDF]の目視確認要）</t>
  </si>
  <si>
    <t>不明（要確認。契約書原本は画像PDFのため貸主名は未確認）</t>
  </si>
  <si>
    <t>月間賃料は令和8年1月期PL地代家賃(年5,500,911円)÷12の推定値。敷金はBS差入保証金より。原契約書の目視確認により正確な金額へ要更新</t>
  </si>
  <si>
    <t>資産名</t>
  </si>
  <si>
    <t>償却方法</t>
  </si>
  <si>
    <t>取得年</t>
  </si>
  <si>
    <t>取得月</t>
  </si>
  <si>
    <t>耐用年数</t>
  </si>
  <si>
    <t>取得原価</t>
  </si>
  <si>
    <t>期末帳簿価額</t>
  </si>
  <si>
    <t>ああああああああああああああああああああああああああああああああ</t>
  </si>
  <si>
    <r>
      <rPr>
        <b/>
        <sz val="12"/>
        <color rgb="FFFF0000"/>
        <rFont val="游ゴシック"/>
        <family val="3"/>
        <charset val="128"/>
      </rPr>
      <t>IM</t>
    </r>
    <r>
      <rPr>
        <b/>
        <sz val="12"/>
        <color rgb="FFFF0000"/>
        <rFont val="WenQuanYi Zen Hei"/>
        <family val="2"/>
      </rPr>
      <t>の財務詳細ページのデータは財務入力のシートから流用してください</t>
    </r>
  </si>
  <si>
    <t>要確認事項・ネクストステップ（本ファイル転記時点の未解消論点）</t>
  </si>
  <si>
    <r>
      <rPr>
        <sz val="11"/>
        <color theme="1"/>
        <rFont val="游ゴシック Medium"/>
        <family val="2"/>
        <charset val="128"/>
      </rPr>
      <t xml:space="preserve">1. </t>
    </r>
    <r>
      <rPr>
        <sz val="11"/>
        <color theme="1"/>
        <rFont val="WenQuanYi Zen Hei"/>
        <family val="2"/>
      </rPr>
      <t>譲渡理由：オーナーへの直接ヒアリングが未実施（面談メモ・資料からは確認不可）</t>
    </r>
  </si>
  <si>
    <r>
      <rPr>
        <sz val="11"/>
        <color theme="1"/>
        <rFont val="游ゴシック Medium"/>
        <family val="2"/>
        <charset val="128"/>
      </rPr>
      <t xml:space="preserve">2. </t>
    </r>
    <r>
      <rPr>
        <sz val="11"/>
        <color theme="1"/>
        <rFont val="WenQuanYi Zen Hei"/>
        <family val="2"/>
      </rPr>
      <t>株主構成・持株比率：株主名簿未受領のため不明（登記簿では役員</t>
    </r>
    <r>
      <rPr>
        <sz val="11"/>
        <color theme="1"/>
        <rFont val="游ゴシック Medium"/>
        <family val="2"/>
        <charset val="128"/>
      </rPr>
      <t>3</t>
    </r>
    <r>
      <rPr>
        <sz val="11"/>
        <color theme="1"/>
        <rFont val="WenQuanYi Zen Hei"/>
        <family val="2"/>
      </rPr>
      <t>名のみ判明）</t>
    </r>
  </si>
  <si>
    <r>
      <rPr>
        <sz val="11"/>
        <color theme="1"/>
        <rFont val="游ゴシック Medium"/>
        <family val="2"/>
        <charset val="128"/>
      </rPr>
      <t xml:space="preserve">3. </t>
    </r>
    <r>
      <rPr>
        <sz val="11"/>
        <color theme="1"/>
        <rFont val="WenQuanYi Zen Hei"/>
        <family val="2"/>
      </rPr>
      <t>定款・許認可の有無：未受領（必要資料一覧 項目</t>
    </r>
    <r>
      <rPr>
        <sz val="11"/>
        <color theme="1"/>
        <rFont val="游ゴシック Medium"/>
        <family val="2"/>
        <charset val="128"/>
      </rPr>
      <t>1</t>
    </r>
    <r>
      <rPr>
        <sz val="11"/>
        <color theme="1"/>
        <rFont val="WenQuanYi Zen Hei"/>
        <family val="2"/>
      </rPr>
      <t>・</t>
    </r>
    <r>
      <rPr>
        <sz val="11"/>
        <color theme="1"/>
        <rFont val="游ゴシック Medium"/>
        <family val="2"/>
        <charset val="128"/>
      </rPr>
      <t>3</t>
    </r>
    <r>
      <rPr>
        <sz val="11"/>
        <color theme="1"/>
        <rFont val="WenQuanYi Zen Hei"/>
        <family val="2"/>
      </rPr>
      <t>参照）</t>
    </r>
  </si>
  <si>
    <r>
      <rPr>
        <sz val="11"/>
        <color theme="1"/>
        <rFont val="游ゴシック Medium"/>
        <family val="2"/>
        <charset val="128"/>
      </rPr>
      <t xml:space="preserve">4. </t>
    </r>
    <r>
      <rPr>
        <sz val="11"/>
        <color theme="1"/>
        <rFont val="WenQuanYi Zen Hei"/>
        <family val="2"/>
      </rPr>
      <t>事業別売上高構成（ライセンス商品と</t>
    </r>
    <r>
      <rPr>
        <sz val="11"/>
        <color theme="1"/>
        <rFont val="游ゴシック Medium"/>
        <family val="2"/>
        <charset val="128"/>
      </rPr>
      <t>OEM</t>
    </r>
    <r>
      <rPr>
        <sz val="11"/>
        <color theme="1"/>
        <rFont val="WenQuanYi Zen Hei"/>
        <family val="2"/>
      </rPr>
      <t>の構成比等）：未受領。面談メモにも同様の論点あり</t>
    </r>
  </si>
  <si>
    <r>
      <rPr>
        <sz val="11"/>
        <color theme="1"/>
        <rFont val="游ゴシック Medium"/>
        <family val="2"/>
        <charset val="128"/>
      </rPr>
      <t xml:space="preserve">5. </t>
    </r>
    <r>
      <rPr>
        <sz val="11"/>
        <color theme="1"/>
        <rFont val="WenQuanYi Zen Hei"/>
        <family val="2"/>
      </rPr>
      <t>賃貸借契約の詳細条件：契約書が画像</t>
    </r>
    <r>
      <rPr>
        <sz val="11"/>
        <color theme="1"/>
        <rFont val="游ゴシック Medium"/>
        <family val="2"/>
        <charset val="128"/>
      </rPr>
      <t>PDF</t>
    </r>
    <r>
      <rPr>
        <sz val="11"/>
        <color theme="1"/>
        <rFont val="WenQuanYi Zen Hei"/>
        <family val="2"/>
      </rPr>
      <t>のため月額賃料・敷金以外の更新条件・貸主名等は未確認。</t>
    </r>
    <r>
      <rPr>
        <sz val="11"/>
        <color theme="1"/>
        <rFont val="游ゴシック Medium"/>
        <family val="2"/>
        <charset val="128"/>
      </rPr>
      <t>PL</t>
    </r>
    <r>
      <rPr>
        <sz val="11"/>
        <color theme="1"/>
        <rFont val="WenQuanYi Zen Hei"/>
        <family val="2"/>
      </rPr>
      <t>地代家賃</t>
    </r>
    <r>
      <rPr>
        <sz val="11"/>
        <color theme="1"/>
        <rFont val="游ゴシック Medium"/>
        <family val="2"/>
        <charset val="128"/>
      </rPr>
      <t>(</t>
    </r>
    <r>
      <rPr>
        <sz val="11"/>
        <color theme="1"/>
        <rFont val="WenQuanYi Zen Hei"/>
        <family val="2"/>
      </rPr>
      <t>年</t>
    </r>
    <r>
      <rPr>
        <sz val="11"/>
        <color theme="1"/>
        <rFont val="游ゴシック Medium"/>
        <family val="2"/>
        <charset val="128"/>
      </rPr>
      <t>5,500,911</t>
    </r>
    <r>
      <rPr>
        <sz val="11"/>
        <color theme="1"/>
        <rFont val="WenQuanYi Zen Hei"/>
        <family val="2"/>
      </rPr>
      <t>円</t>
    </r>
    <r>
      <rPr>
        <sz val="11"/>
        <color theme="1"/>
        <rFont val="游ゴシック Medium"/>
        <family val="2"/>
        <charset val="128"/>
      </rPr>
      <t>)</t>
    </r>
    <r>
      <rPr>
        <sz val="11"/>
        <color theme="1"/>
        <rFont val="WenQuanYi Zen Hei"/>
        <family val="2"/>
      </rPr>
      <t>からの推定値で仮置き</t>
    </r>
  </si>
  <si>
    <r>
      <rPr>
        <sz val="11"/>
        <color theme="1"/>
        <rFont val="游ゴシック Medium"/>
        <family val="2"/>
        <charset val="128"/>
      </rPr>
      <t xml:space="preserve">6. </t>
    </r>
    <r>
      <rPr>
        <sz val="11"/>
        <color theme="1"/>
        <rFont val="WenQuanYi Zen Hei"/>
        <family val="2"/>
      </rPr>
      <t>決算書・勘定科目内訳明細・法人税</t>
    </r>
    <r>
      <rPr>
        <sz val="11"/>
        <color theme="1"/>
        <rFont val="游ゴシック Medium"/>
        <family val="2"/>
        <charset val="128"/>
      </rPr>
      <t>/</t>
    </r>
    <r>
      <rPr>
        <sz val="11"/>
        <color theme="1"/>
        <rFont val="WenQuanYi Zen Hei"/>
        <family val="2"/>
      </rPr>
      <t>消費税申告書・減価償却台帳：いずれも画像</t>
    </r>
    <r>
      <rPr>
        <sz val="11"/>
        <color theme="1"/>
        <rFont val="游ゴシック Medium"/>
        <family val="2"/>
        <charset val="128"/>
      </rPr>
      <t>PDF</t>
    </r>
    <r>
      <rPr>
        <sz val="11"/>
        <color theme="1"/>
        <rFont val="WenQuanYi Zen Hei"/>
        <family val="2"/>
      </rPr>
      <t>で</t>
    </r>
    <r>
      <rPr>
        <sz val="11"/>
        <color theme="1"/>
        <rFont val="游ゴシック Medium"/>
        <family val="2"/>
        <charset val="128"/>
      </rPr>
      <t>OCR</t>
    </r>
    <r>
      <rPr>
        <sz val="11"/>
        <color theme="1"/>
        <rFont val="WenQuanYi Zen Hei"/>
        <family val="2"/>
      </rPr>
      <t>未実施。個別科目の特記事項</t>
    </r>
    <r>
      <rPr>
        <sz val="11"/>
        <color theme="1"/>
        <rFont val="游ゴシック Medium"/>
        <family val="2"/>
        <charset val="128"/>
      </rPr>
      <t>(</t>
    </r>
    <r>
      <rPr>
        <sz val="11"/>
        <color theme="1"/>
        <rFont val="WenQuanYi Zen Hei"/>
        <family val="2"/>
      </rPr>
      <t>含み損益等</t>
    </r>
    <r>
      <rPr>
        <sz val="11"/>
        <color theme="1"/>
        <rFont val="游ゴシック Medium"/>
        <family val="2"/>
        <charset val="128"/>
      </rPr>
      <t>)</t>
    </r>
    <r>
      <rPr>
        <sz val="11"/>
        <color theme="1"/>
        <rFont val="WenQuanYi Zen Hei"/>
        <family val="2"/>
      </rPr>
      <t>は目視確認が必要</t>
    </r>
  </si>
  <si>
    <r>
      <rPr>
        <sz val="11"/>
        <color theme="1"/>
        <rFont val="游ゴシック Medium"/>
        <family val="2"/>
        <charset val="128"/>
      </rPr>
      <t xml:space="preserve">7. </t>
    </r>
    <r>
      <rPr>
        <sz val="11"/>
        <color theme="1"/>
        <rFont val="WenQuanYi Zen Hei"/>
        <family val="2"/>
      </rPr>
      <t>投資有価証券残高</t>
    </r>
    <r>
      <rPr>
        <sz val="11"/>
        <color theme="1"/>
        <rFont val="游ゴシック Medium"/>
        <family val="2"/>
        <charset val="128"/>
      </rPr>
      <t>275,896,334</t>
    </r>
    <r>
      <rPr>
        <sz val="11"/>
        <color theme="1"/>
        <rFont val="WenQuanYi Zen Hei"/>
        <family val="2"/>
      </rPr>
      <t>円が資産合計の約</t>
    </r>
    <r>
      <rPr>
        <sz val="11"/>
        <color theme="1"/>
        <rFont val="游ゴシック Medium"/>
        <family val="2"/>
        <charset val="128"/>
      </rPr>
      <t>50%</t>
    </r>
    <r>
      <rPr>
        <sz val="11"/>
        <color theme="1"/>
        <rFont val="WenQuanYi Zen Hei"/>
        <family val="2"/>
      </rPr>
      <t>を占める。事業性資産か非事業性資産</t>
    </r>
    <r>
      <rPr>
        <sz val="11"/>
        <color theme="1"/>
        <rFont val="游ゴシック Medium"/>
        <family val="2"/>
        <charset val="128"/>
      </rPr>
      <t>(</t>
    </r>
    <r>
      <rPr>
        <sz val="11"/>
        <color theme="1"/>
        <rFont val="WenQuanYi Zen Hei"/>
        <family val="2"/>
      </rPr>
      <t>運用資産</t>
    </r>
    <r>
      <rPr>
        <sz val="11"/>
        <color theme="1"/>
        <rFont val="游ゴシック Medium"/>
        <family val="2"/>
        <charset val="128"/>
      </rPr>
      <t>)</t>
    </r>
    <r>
      <rPr>
        <sz val="11"/>
        <color theme="1"/>
        <rFont val="WenQuanYi Zen Hei"/>
        <family val="2"/>
      </rPr>
      <t>かの確認が必要。</t>
    </r>
    <r>
      <rPr>
        <sz val="11"/>
        <color theme="1"/>
        <rFont val="游ゴシック Medium"/>
        <family val="2"/>
        <charset val="128"/>
      </rPr>
      <t>EBITDA</t>
    </r>
    <r>
      <rPr>
        <sz val="11"/>
        <color theme="1"/>
        <rFont val="WenQuanYi Zen Hei"/>
        <family val="2"/>
      </rPr>
      <t>調整・企業価値評価上の重要論点</t>
    </r>
  </si>
  <si>
    <r>
      <rPr>
        <sz val="11"/>
        <color theme="1"/>
        <rFont val="游ゴシック Medium"/>
        <family val="2"/>
        <charset val="128"/>
      </rPr>
      <t>8. PL</t>
    </r>
    <r>
      <rPr>
        <sz val="11"/>
        <color theme="1"/>
        <rFont val="WenQuanYi Zen Hei"/>
        <family val="2"/>
      </rPr>
      <t>ハイライトシートの調整項目「役員報酬</t>
    </r>
    <r>
      <rPr>
        <sz val="11"/>
        <color theme="1"/>
        <rFont val="游ゴシック Medium"/>
        <family val="2"/>
        <charset val="128"/>
      </rPr>
      <t>(</t>
    </r>
    <r>
      <rPr>
        <sz val="11"/>
        <color theme="1"/>
        <rFont val="WenQuanYi Zen Hei"/>
        <family val="2"/>
      </rPr>
      <t>退任予定</t>
    </r>
    <r>
      <rPr>
        <sz val="11"/>
        <color theme="1"/>
        <rFont val="游ゴシック Medium"/>
        <family val="2"/>
        <charset val="128"/>
      </rPr>
      <t>)20,000</t>
    </r>
    <r>
      <rPr>
        <sz val="11"/>
        <color theme="1"/>
        <rFont val="WenQuanYi Zen Hei"/>
        <family val="2"/>
      </rPr>
      <t>千円」が</t>
    </r>
    <r>
      <rPr>
        <sz val="11"/>
        <color theme="1"/>
        <rFont val="游ゴシック Medium"/>
        <family val="2"/>
        <charset val="128"/>
      </rPr>
      <t>C</t>
    </r>
    <r>
      <rPr>
        <sz val="11"/>
        <color theme="1"/>
        <rFont val="WenQuanYi Zen Hei"/>
        <family val="2"/>
      </rPr>
      <t>列</t>
    </r>
    <r>
      <rPr>
        <sz val="11"/>
        <color theme="1"/>
        <rFont val="游ゴシック Medium"/>
        <family val="2"/>
        <charset val="128"/>
      </rPr>
      <t>(</t>
    </r>
    <r>
      <rPr>
        <sz val="11"/>
        <color theme="1"/>
        <rFont val="WenQuanYi Zen Hei"/>
        <family val="2"/>
      </rPr>
      <t>令和</t>
    </r>
    <r>
      <rPr>
        <sz val="11"/>
        <color theme="1"/>
        <rFont val="游ゴシック Medium"/>
        <family val="2"/>
        <charset val="128"/>
      </rPr>
      <t>6</t>
    </r>
    <r>
      <rPr>
        <sz val="11"/>
        <color theme="1"/>
        <rFont val="WenQuanYi Zen Hei"/>
        <family val="2"/>
      </rPr>
      <t>年</t>
    </r>
    <r>
      <rPr>
        <sz val="11"/>
        <color theme="1"/>
        <rFont val="游ゴシック Medium"/>
        <family val="2"/>
        <charset val="128"/>
      </rPr>
      <t>1</t>
    </r>
    <r>
      <rPr>
        <sz val="11"/>
        <color theme="1"/>
        <rFont val="WenQuanYi Zen Hei"/>
        <family val="2"/>
      </rPr>
      <t>月期</t>
    </r>
    <r>
      <rPr>
        <sz val="11"/>
        <color theme="1"/>
        <rFont val="游ゴシック Medium"/>
        <family val="2"/>
        <charset val="128"/>
      </rPr>
      <t>)</t>
    </r>
    <r>
      <rPr>
        <sz val="11"/>
        <color theme="1"/>
        <rFont val="WenQuanYi Zen Hei"/>
        <family val="2"/>
      </rPr>
      <t>に計上されているが、給与台帳では野口紘への役員賞与</t>
    </r>
    <r>
      <rPr>
        <sz val="11"/>
        <color theme="1"/>
        <rFont val="游ゴシック Medium"/>
        <family val="2"/>
        <charset val="128"/>
      </rPr>
      <t>20,000,000</t>
    </r>
    <r>
      <rPr>
        <sz val="11"/>
        <color theme="1"/>
        <rFont val="WenQuanYi Zen Hei"/>
        <family val="2"/>
      </rPr>
      <t>円は令和</t>
    </r>
    <r>
      <rPr>
        <sz val="11"/>
        <color theme="1"/>
        <rFont val="游ゴシック Medium"/>
        <family val="2"/>
        <charset val="128"/>
      </rPr>
      <t>8</t>
    </r>
    <r>
      <rPr>
        <sz val="11"/>
        <color theme="1"/>
        <rFont val="WenQuanYi Zen Hei"/>
        <family val="2"/>
      </rPr>
      <t>年</t>
    </r>
    <r>
      <rPr>
        <sz val="11"/>
        <color theme="1"/>
        <rFont val="游ゴシック Medium"/>
        <family val="2"/>
        <charset val="128"/>
      </rPr>
      <t>1</t>
    </r>
    <r>
      <rPr>
        <sz val="11"/>
        <color theme="1"/>
        <rFont val="WenQuanYi Zen Hei"/>
        <family val="2"/>
      </rPr>
      <t>月期</t>
    </r>
    <r>
      <rPr>
        <sz val="11"/>
        <color theme="1"/>
        <rFont val="游ゴシック Medium"/>
        <family val="2"/>
        <charset val="128"/>
      </rPr>
      <t>(2025</t>
    </r>
    <r>
      <rPr>
        <sz val="11"/>
        <color theme="1"/>
        <rFont val="WenQuanYi Zen Hei"/>
        <family val="2"/>
      </rPr>
      <t>年</t>
    </r>
    <r>
      <rPr>
        <sz val="11"/>
        <color theme="1"/>
        <rFont val="游ゴシック Medium"/>
        <family val="2"/>
        <charset val="128"/>
      </rPr>
      <t>12</t>
    </r>
    <r>
      <rPr>
        <sz val="11"/>
        <color theme="1"/>
        <rFont val="WenQuanYi Zen Hei"/>
        <family val="2"/>
      </rPr>
      <t>月</t>
    </r>
    <r>
      <rPr>
        <sz val="11"/>
        <color theme="1"/>
        <rFont val="游ゴシック Medium"/>
        <family val="2"/>
        <charset val="128"/>
      </rPr>
      <t>9</t>
    </r>
    <r>
      <rPr>
        <sz val="11"/>
        <color theme="1"/>
        <rFont val="WenQuanYi Zen Hei"/>
        <family val="2"/>
      </rPr>
      <t>日支給</t>
    </r>
    <r>
      <rPr>
        <sz val="11"/>
        <color theme="1"/>
        <rFont val="游ゴシック Medium"/>
        <family val="2"/>
        <charset val="128"/>
      </rPr>
      <t>)</t>
    </r>
    <r>
      <rPr>
        <sz val="11"/>
        <color theme="1"/>
        <rFont val="WenQuanYi Zen Hei"/>
        <family val="2"/>
      </rPr>
      <t>分。列位置の確認・修正が必要</t>
    </r>
  </si>
  <si>
    <r>
      <rPr>
        <sz val="11"/>
        <color theme="1"/>
        <rFont val="游ゴシック Medium"/>
        <family val="2"/>
        <charset val="128"/>
      </rPr>
      <t xml:space="preserve">9. </t>
    </r>
    <r>
      <rPr>
        <sz val="11"/>
        <color theme="1"/>
        <rFont val="WenQuanYi Zen Hei"/>
        <family val="2"/>
      </rPr>
      <t>役員報酬水準が低い</t>
    </r>
    <r>
      <rPr>
        <sz val="11"/>
        <color theme="1"/>
        <rFont val="游ゴシック Medium"/>
        <family val="2"/>
        <charset val="128"/>
      </rPr>
      <t>(</t>
    </r>
    <r>
      <rPr>
        <sz val="11"/>
        <color theme="1"/>
        <rFont val="WenQuanYi Zen Hei"/>
        <family val="2"/>
      </rPr>
      <t>代表取締役 月</t>
    </r>
    <r>
      <rPr>
        <sz val="11"/>
        <color theme="1"/>
        <rFont val="游ゴシック Medium"/>
        <family val="2"/>
        <charset val="128"/>
      </rPr>
      <t>92,000</t>
    </r>
    <r>
      <rPr>
        <sz val="11"/>
        <color theme="1"/>
        <rFont val="WenQuanYi Zen Hei"/>
        <family val="2"/>
      </rPr>
      <t>円等</t>
    </r>
    <r>
      <rPr>
        <sz val="11"/>
        <color theme="1"/>
        <rFont val="游ゴシック Medium"/>
        <family val="2"/>
        <charset val="128"/>
      </rPr>
      <t>)</t>
    </r>
    <r>
      <rPr>
        <sz val="11"/>
        <color theme="1"/>
        <rFont val="WenQuanYi Zen Hei"/>
        <family val="2"/>
      </rPr>
      <t>一方、従業員</t>
    </r>
    <r>
      <rPr>
        <sz val="11"/>
        <color theme="1"/>
        <rFont val="游ゴシック Medium"/>
        <family val="2"/>
        <charset val="128"/>
      </rPr>
      <t>A(</t>
    </r>
    <r>
      <rPr>
        <sz val="11"/>
        <color theme="1"/>
        <rFont val="WenQuanYi Zen Hei"/>
        <family val="2"/>
      </rPr>
      <t>制作部部長・勤続</t>
    </r>
    <r>
      <rPr>
        <sz val="11"/>
        <color theme="1"/>
        <rFont val="游ゴシック Medium"/>
        <family val="2"/>
        <charset val="128"/>
      </rPr>
      <t>13</t>
    </r>
    <r>
      <rPr>
        <sz val="11"/>
        <color theme="1"/>
        <rFont val="WenQuanYi Zen Hei"/>
        <family val="2"/>
      </rPr>
      <t>年・年収</t>
    </r>
    <r>
      <rPr>
        <sz val="11"/>
        <color theme="1"/>
        <rFont val="游ゴシック Medium"/>
        <family val="2"/>
        <charset val="128"/>
      </rPr>
      <t>682</t>
    </r>
    <r>
      <rPr>
        <sz val="11"/>
        <color theme="1"/>
        <rFont val="WenQuanYi Zen Hei"/>
        <family val="2"/>
      </rPr>
      <t>万円</t>
    </r>
    <r>
      <rPr>
        <sz val="11"/>
        <color theme="1"/>
        <rFont val="游ゴシック Medium"/>
        <family val="2"/>
        <charset val="128"/>
      </rPr>
      <t>)</t>
    </r>
    <r>
      <rPr>
        <sz val="11"/>
        <color theme="1"/>
        <rFont val="WenQuanYi Zen Hei"/>
        <family val="2"/>
      </rPr>
      <t>の報酬水準が役員を上回る。実質的な経営リソースが</t>
    </r>
    <r>
      <rPr>
        <sz val="11"/>
        <color theme="1"/>
        <rFont val="游ゴシック Medium"/>
        <family val="2"/>
        <charset val="128"/>
      </rPr>
      <t>A</t>
    </r>
    <r>
      <rPr>
        <sz val="11"/>
        <color theme="1"/>
        <rFont val="WenQuanYi Zen Hei"/>
        <family val="2"/>
      </rPr>
      <t>に集中している可能性があり、キーパーソンリスクとして要ヒアリング</t>
    </r>
  </si>
  <si>
    <r>
      <rPr>
        <sz val="11"/>
        <color theme="1"/>
        <rFont val="游ゴシック Medium"/>
        <family val="2"/>
        <charset val="128"/>
      </rPr>
      <t xml:space="preserve">10. </t>
    </r>
    <r>
      <rPr>
        <sz val="11"/>
        <color theme="1"/>
        <rFont val="WenQuanYi Zen Hei"/>
        <family val="2"/>
      </rPr>
      <t>自社オリジナル</t>
    </r>
    <r>
      <rPr>
        <sz val="11"/>
        <color theme="1"/>
        <rFont val="游ゴシック Medium"/>
        <family val="2"/>
        <charset val="128"/>
      </rPr>
      <t>IP</t>
    </r>
    <r>
      <rPr>
        <sz val="11"/>
        <color theme="1"/>
        <rFont val="WenQuanYi Zen Hei"/>
        <family val="2"/>
      </rPr>
      <t>「スターくじ」「あたりツキ！」の売上構成比・権利関係：未確認。版権依存を補う強みとして訴求できる可能性があり、要ヒアリング（面談メモの論点）</t>
    </r>
  </si>
  <si>
    <r>
      <rPr>
        <sz val="11"/>
        <color theme="1"/>
        <rFont val="游ゴシック Medium"/>
        <family val="2"/>
        <charset val="128"/>
      </rPr>
      <t xml:space="preserve">11. </t>
    </r>
    <r>
      <rPr>
        <sz val="11"/>
        <color theme="1"/>
        <rFont val="WenQuanYi Zen Hei"/>
        <family val="2"/>
      </rPr>
      <t>総勘定元帳・社内規程・取引基本契約書・営業活動での提案資料・制作実績資料・進行中の受注残情報：いずれも未受領（必要資料一覧参照）</t>
    </r>
  </si>
  <si>
    <t>【Web・公開情報からの補足（2026-07 弊社調査）】</t>
  </si>
  <si>
    <t>・コーポレートサイト: https://canaria-tokyo.co.jp/ （会社概要・OEM・制作実績・制作の流れ・FAQを掲載）</t>
  </si>
  <si>
    <t>・主な取引銀行: 朝日信用金庫、みずほ銀行（コーポレートサイト会社概要より）</t>
  </si>
  <si>
    <t>・従業員: サイト表記は「9人」（IM上は制作部5・営業部2の正社員7名＋役員3名を採用。パート等の差異は要確認）</t>
  </si>
  <si>
    <t>・自社ブランド商品: 「スターくじ」（例: 俺だけレベルアップな件／2.5次元の誘惑／東京リベンジャーズ 等）、「あたりツキ！」缶バッジ（例: 五等分の花嫁／モブサイコ100／ぽんのみち／テンプレ 等）。版権依存を補う自社企画商材。</t>
  </si>
  <si>
    <t>・OEM商品ラインナップ(サイト掲載): ブランケット／メガネケース／タペストリー／スマホケース／ストラップ／ラバー小物／缶バッジ／ポーチ／マグネットシート 等</t>
  </si>
  <si>
    <t>・制作実績IP(サイト掲載・一部): ソードアート・オンライン、東京喰種、ハイキュー!!、PSYCHO-PASS、暗殺教室、四月は君の嘘、ノーゲーム・ノーライフ、月刊少女野崎くん、ダイヤのA、神様はじめました、蒼き鋼のアルペジオ、PERSONA Q、DIABOLIK LOVERS、オオカミ少女と黒王子、ワールドトリガー、SHOW BY ROCK!!、暗殺教室、繰繰れ！コックリさん、少女革命ウテナ、幕末Rock、まじっく快斗、学園K 等（多数）</t>
  </si>
  <si>
    <t>・制作フロー(サイト掲載): ①お問い合わせ→②ご提案(予算・ロット)→③お見積り→④ご発注→⑤デザイン確認→⑥サンプル確認→⑦本生産・納品</t>
  </si>
  <si>
    <t>※ 上記IPの著作権は各権利者に帰属。IMのポートフォリオ掲載はNDA下の検討資料としての参考提示。</t>
  </si>
  <si>
    <t>TODO</t>
  </si>
  <si>
    <r>
      <rPr>
        <b/>
        <sz val="11"/>
        <color theme="0"/>
        <rFont val="游ゴシック"/>
        <family val="3"/>
        <charset val="128"/>
      </rPr>
      <t>2</t>
    </r>
    <r>
      <rPr>
        <b/>
        <sz val="11"/>
        <color theme="0"/>
        <rFont val="WenQuanYi Zen Hei"/>
        <family val="2"/>
      </rPr>
      <t>月</t>
    </r>
  </si>
  <si>
    <r>
      <rPr>
        <b/>
        <sz val="11"/>
        <color theme="0"/>
        <rFont val="游ゴシック"/>
        <family val="3"/>
        <charset val="128"/>
      </rPr>
      <t>3</t>
    </r>
    <r>
      <rPr>
        <b/>
        <sz val="11"/>
        <color theme="0"/>
        <rFont val="WenQuanYi Zen Hei"/>
        <family val="2"/>
      </rPr>
      <t>月</t>
    </r>
  </si>
  <si>
    <r>
      <rPr>
        <b/>
        <sz val="11"/>
        <color theme="0"/>
        <rFont val="游ゴシック"/>
        <family val="3"/>
        <charset val="128"/>
      </rPr>
      <t>4</t>
    </r>
    <r>
      <rPr>
        <b/>
        <sz val="11"/>
        <color theme="0"/>
        <rFont val="WenQuanYi Zen Hei"/>
        <family val="2"/>
      </rPr>
      <t>月</t>
    </r>
  </si>
  <si>
    <r>
      <rPr>
        <b/>
        <sz val="11"/>
        <color theme="0"/>
        <rFont val="游ゴシック"/>
        <family val="3"/>
        <charset val="128"/>
      </rPr>
      <t>5</t>
    </r>
    <r>
      <rPr>
        <b/>
        <sz val="11"/>
        <color theme="0"/>
        <rFont val="WenQuanYi Zen Hei"/>
        <family val="2"/>
      </rPr>
      <t>月</t>
    </r>
  </si>
  <si>
    <t>交渉</t>
  </si>
  <si>
    <r>
      <rPr>
        <sz val="11"/>
        <color theme="1"/>
        <rFont val="游ゴシック"/>
        <family val="3"/>
        <charset val="128"/>
      </rPr>
      <t>TOP</t>
    </r>
    <r>
      <rPr>
        <sz val="11"/>
        <color theme="1"/>
        <rFont val="WenQuanYi Zen Hei"/>
        <family val="2"/>
      </rPr>
      <t>面談</t>
    </r>
  </si>
  <si>
    <r>
      <rPr>
        <sz val="11"/>
        <color theme="1"/>
        <rFont val="游ゴシック"/>
        <family val="3"/>
        <charset val="128"/>
      </rPr>
      <t>LOI</t>
    </r>
    <r>
      <rPr>
        <sz val="11"/>
        <color theme="1"/>
        <rFont val="WenQuanYi Zen Hei"/>
        <family val="2"/>
      </rPr>
      <t>ドラフト作成</t>
    </r>
  </si>
  <si>
    <r>
      <rPr>
        <sz val="11"/>
        <color theme="1"/>
        <rFont val="游ゴシック"/>
        <family val="3"/>
        <charset val="128"/>
      </rPr>
      <t>LOI</t>
    </r>
    <r>
      <rPr>
        <sz val="11"/>
        <color theme="1"/>
        <rFont val="WenQuanYi Zen Hei"/>
        <family val="2"/>
      </rPr>
      <t>提出</t>
    </r>
  </si>
  <si>
    <r>
      <rPr>
        <sz val="11"/>
        <color theme="1"/>
        <rFont val="游ゴシック"/>
        <family val="3"/>
        <charset val="128"/>
      </rPr>
      <t>LOI</t>
    </r>
    <r>
      <rPr>
        <sz val="11"/>
        <color theme="1"/>
        <rFont val="WenQuanYi Zen Hei"/>
        <family val="2"/>
      </rPr>
      <t>受領</t>
    </r>
    <r>
      <rPr>
        <sz val="11"/>
        <color theme="1"/>
        <rFont val="游ゴシック"/>
        <family val="3"/>
        <charset val="128"/>
      </rPr>
      <t>(</t>
    </r>
    <r>
      <rPr>
        <sz val="11"/>
        <color theme="1"/>
        <rFont val="WenQuanYi Zen Hei"/>
        <family val="2"/>
      </rPr>
      <t>独占交渉権</t>
    </r>
    <r>
      <rPr>
        <sz val="11"/>
        <color theme="1"/>
        <rFont val="游ゴシック"/>
        <family val="3"/>
        <charset val="128"/>
      </rPr>
      <t>)</t>
    </r>
  </si>
  <si>
    <t>DD</t>
  </si>
  <si>
    <r>
      <rPr>
        <sz val="11"/>
        <color theme="1"/>
        <rFont val="游ゴシック"/>
        <family val="3"/>
        <charset val="128"/>
      </rPr>
      <t>DD</t>
    </r>
    <r>
      <rPr>
        <sz val="11"/>
        <color theme="1"/>
        <rFont val="WenQuanYi Zen Hei"/>
        <family val="2"/>
      </rPr>
      <t>スコープ・依頼先選定</t>
    </r>
  </si>
  <si>
    <r>
      <rPr>
        <sz val="11"/>
        <color theme="1"/>
        <rFont val="游ゴシック"/>
        <family val="3"/>
        <charset val="128"/>
      </rPr>
      <t>IRL</t>
    </r>
    <r>
      <rPr>
        <sz val="11"/>
        <color theme="1"/>
        <rFont val="WenQuanYi Zen Hei"/>
        <family val="2"/>
      </rPr>
      <t>提出</t>
    </r>
  </si>
  <si>
    <r>
      <rPr>
        <sz val="11"/>
        <color theme="1"/>
        <rFont val="游ゴシック"/>
        <family val="3"/>
        <charset val="128"/>
      </rPr>
      <t>QA</t>
    </r>
    <r>
      <rPr>
        <sz val="11"/>
        <color theme="1"/>
        <rFont val="WenQuanYi Zen Hei"/>
        <family val="2"/>
      </rPr>
      <t>ラリー</t>
    </r>
  </si>
  <si>
    <t>マネジメントインタビュー</t>
  </si>
  <si>
    <t>L</t>
  </si>
  <si>
    <r>
      <rPr>
        <sz val="11"/>
        <color theme="1"/>
        <rFont val="游ゴシック"/>
        <family val="3"/>
        <charset val="128"/>
      </rPr>
      <t>DD</t>
    </r>
    <r>
      <rPr>
        <sz val="11"/>
        <color theme="1"/>
        <rFont val="WenQuanYi Zen Hei"/>
        <family val="2"/>
      </rPr>
      <t>結果報告</t>
    </r>
  </si>
  <si>
    <t>契約</t>
  </si>
  <si>
    <r>
      <rPr>
        <sz val="11"/>
        <color theme="1"/>
        <rFont val="游ゴシック"/>
        <family val="3"/>
        <charset val="128"/>
      </rPr>
      <t>SPA</t>
    </r>
    <r>
      <rPr>
        <sz val="11"/>
        <color theme="1"/>
        <rFont val="WenQuanYi Zen Hei"/>
        <family val="2"/>
      </rPr>
      <t>内容調整</t>
    </r>
  </si>
  <si>
    <r>
      <rPr>
        <sz val="11"/>
        <color theme="1"/>
        <rFont val="游ゴシック"/>
        <family val="3"/>
        <charset val="128"/>
      </rPr>
      <t>SPA</t>
    </r>
    <r>
      <rPr>
        <sz val="11"/>
        <color theme="1"/>
        <rFont val="WenQuanYi Zen Hei"/>
        <family val="2"/>
      </rPr>
      <t>締結</t>
    </r>
  </si>
  <si>
    <r>
      <rPr>
        <sz val="11"/>
        <color theme="1"/>
        <rFont val="游ゴシック"/>
        <family val="3"/>
        <charset val="128"/>
      </rPr>
      <t>CoC</t>
    </r>
    <r>
      <rPr>
        <sz val="11"/>
        <color theme="1"/>
        <rFont val="WenQuanYi Zen Hei"/>
        <family val="2"/>
      </rPr>
      <t>対応等</t>
    </r>
  </si>
  <si>
    <t>クロージング</t>
  </si>
  <si>
    <t>役員変更登記申請</t>
  </si>
  <si>
    <t>PMI</t>
  </si>
  <si>
    <t>従業員・取引先開示</t>
  </si>
  <si>
    <t>連帯保証解除等</t>
  </si>
  <si>
    <r>
      <rPr>
        <sz val="11"/>
        <rFont val="游ゴシック"/>
        <family val="3"/>
        <charset val="128"/>
      </rPr>
      <t>PMI</t>
    </r>
    <r>
      <rPr>
        <sz val="11"/>
        <rFont val="WenQuanYi Zen Hei"/>
        <family val="2"/>
      </rPr>
      <t>・グループ連携</t>
    </r>
  </si>
  <si>
    <t>●</t>
  </si>
  <si>
    <t>報酬発生</t>
  </si>
  <si>
    <t>スケジュール表</t>
  </si>
  <si>
    <t>日付</t>
  </si>
  <si>
    <t>曜日</t>
  </si>
  <si>
    <t>【売主】　●●●様</t>
  </si>
  <si>
    <t>【買主】　●●●様</t>
  </si>
  <si>
    <r>
      <rPr>
        <b/>
        <sz val="11"/>
        <color theme="0" tint="-4.9989318521683403E-2"/>
        <rFont val="游ゴシック"/>
        <family val="3"/>
        <charset val="128"/>
      </rPr>
      <t>M&amp;A</t>
    </r>
    <r>
      <rPr>
        <b/>
        <sz val="11"/>
        <color theme="0" tint="-4.9989318521683403E-2"/>
        <rFont val="WenQuanYi Zen Hei"/>
        <family val="2"/>
      </rPr>
      <t>承継機構</t>
    </r>
  </si>
  <si>
    <r>
      <rPr>
        <sz val="11"/>
        <color theme="1"/>
        <rFont val="游ゴシック"/>
        <family val="3"/>
        <charset val="128"/>
      </rPr>
      <t>2025</t>
    </r>
    <r>
      <rPr>
        <sz val="11"/>
        <color theme="1"/>
        <rFont val="WenQuanYi Zen Hei"/>
        <family val="2"/>
      </rPr>
      <t>年</t>
    </r>
  </si>
  <si>
    <t>本日　お打ち合わせ</t>
  </si>
  <si>
    <r>
      <rPr>
        <sz val="11"/>
        <color theme="1"/>
        <rFont val="游ゴシック"/>
        <family val="3"/>
        <charset val="128"/>
      </rPr>
      <t>TOP</t>
    </r>
    <r>
      <rPr>
        <sz val="11"/>
        <color theme="1"/>
        <rFont val="WenQuanYi Zen Hei"/>
        <family val="2"/>
      </rPr>
      <t>面談準備</t>
    </r>
  </si>
  <si>
    <r>
      <rPr>
        <sz val="11"/>
        <color theme="1"/>
        <rFont val="游ゴシック"/>
        <family val="3"/>
        <charset val="128"/>
      </rPr>
      <t>LOI</t>
    </r>
    <r>
      <rPr>
        <sz val="11"/>
        <color theme="1"/>
        <rFont val="WenQuanYi Zen Hei"/>
        <family val="2"/>
      </rPr>
      <t>内容検討</t>
    </r>
  </si>
  <si>
    <r>
      <rPr>
        <sz val="11"/>
        <color theme="1"/>
        <rFont val="游ゴシック"/>
        <family val="3"/>
        <charset val="128"/>
      </rPr>
      <t>LOI</t>
    </r>
    <r>
      <rPr>
        <sz val="11"/>
        <color theme="1"/>
        <rFont val="WenQuanYi Zen Hei"/>
        <family val="2"/>
      </rPr>
      <t>ドラフト提示</t>
    </r>
  </si>
  <si>
    <r>
      <rPr>
        <sz val="11"/>
        <color theme="1"/>
        <rFont val="游ゴシック"/>
        <family val="3"/>
        <charset val="128"/>
      </rPr>
      <t>DD</t>
    </r>
    <r>
      <rPr>
        <sz val="11"/>
        <color theme="1"/>
        <rFont val="WenQuanYi Zen Hei"/>
        <family val="2"/>
      </rPr>
      <t>スコープ・依頼先検討</t>
    </r>
  </si>
  <si>
    <r>
      <rPr>
        <sz val="11"/>
        <color theme="1"/>
        <rFont val="游ゴシック"/>
        <family val="3"/>
        <charset val="128"/>
      </rPr>
      <t>LOI</t>
    </r>
    <r>
      <rPr>
        <sz val="11"/>
        <color theme="1"/>
        <rFont val="WenQuanYi Zen Hei"/>
        <family val="2"/>
      </rPr>
      <t>回答</t>
    </r>
    <r>
      <rPr>
        <sz val="11"/>
        <color theme="1"/>
        <rFont val="游ゴシック"/>
        <family val="3"/>
        <charset val="128"/>
      </rPr>
      <t>(</t>
    </r>
    <r>
      <rPr>
        <sz val="11"/>
        <color theme="1"/>
        <rFont val="WenQuanYi Zen Hei"/>
        <family val="2"/>
      </rPr>
      <t>独占交渉権付与</t>
    </r>
    <r>
      <rPr>
        <sz val="11"/>
        <color theme="1"/>
        <rFont val="游ゴシック"/>
        <family val="3"/>
        <charset val="128"/>
      </rPr>
      <t>)</t>
    </r>
  </si>
  <si>
    <t>※独占交渉権獲得</t>
  </si>
  <si>
    <r>
      <rPr>
        <sz val="11"/>
        <color theme="1"/>
        <rFont val="游ゴシック"/>
        <family val="3"/>
        <charset val="128"/>
      </rPr>
      <t>LOI</t>
    </r>
    <r>
      <rPr>
        <sz val="11"/>
        <color theme="1"/>
        <rFont val="WenQuanYi Zen Hei"/>
        <family val="2"/>
      </rPr>
      <t>内容説明</t>
    </r>
  </si>
  <si>
    <r>
      <rPr>
        <sz val="11"/>
        <color theme="1"/>
        <rFont val="游ゴシック"/>
        <family val="3"/>
        <charset val="128"/>
      </rPr>
      <t>DD</t>
    </r>
    <r>
      <rPr>
        <sz val="11"/>
        <color theme="1"/>
        <rFont val="WenQuanYi Zen Hei"/>
        <family val="2"/>
      </rPr>
      <t>スコープ・依頼先確定</t>
    </r>
  </si>
  <si>
    <r>
      <rPr>
        <sz val="11"/>
        <color theme="1"/>
        <rFont val="游ゴシック"/>
        <family val="3"/>
        <charset val="128"/>
      </rPr>
      <t>DD</t>
    </r>
    <r>
      <rPr>
        <sz val="11"/>
        <color theme="1"/>
        <rFont val="WenQuanYi Zen Hei"/>
        <family val="2"/>
      </rPr>
      <t>キックオフミーティング</t>
    </r>
  </si>
  <si>
    <r>
      <rPr>
        <sz val="11"/>
        <color theme="1"/>
        <rFont val="游ゴシック"/>
        <family val="3"/>
        <charset val="128"/>
      </rPr>
      <t>DD</t>
    </r>
    <r>
      <rPr>
        <sz val="11"/>
        <color theme="1"/>
        <rFont val="WenQuanYi Zen Hei"/>
        <family val="2"/>
      </rPr>
      <t>資料提出・</t>
    </r>
    <r>
      <rPr>
        <sz val="11"/>
        <color theme="1"/>
        <rFont val="游ゴシック"/>
        <family val="3"/>
        <charset val="128"/>
      </rPr>
      <t>QA</t>
    </r>
    <r>
      <rPr>
        <sz val="11"/>
        <color theme="1"/>
        <rFont val="WenQuanYi Zen Hei"/>
        <family val="2"/>
      </rPr>
      <t>対応</t>
    </r>
  </si>
  <si>
    <r>
      <rPr>
        <sz val="11"/>
        <color theme="1"/>
        <rFont val="游ゴシック"/>
        <family val="3"/>
        <charset val="128"/>
      </rPr>
      <t>IRL</t>
    </r>
    <r>
      <rPr>
        <sz val="11"/>
        <color theme="1"/>
        <rFont val="WenQuanYi Zen Hei"/>
        <family val="2"/>
      </rPr>
      <t>提出※</t>
    </r>
    <r>
      <rPr>
        <sz val="11"/>
        <color theme="1"/>
        <rFont val="游ゴシック"/>
        <family val="3"/>
        <charset val="128"/>
      </rPr>
      <t>DD</t>
    </r>
    <r>
      <rPr>
        <sz val="11"/>
        <color theme="1"/>
        <rFont val="WenQuanYi Zen Hei"/>
        <family val="2"/>
      </rPr>
      <t>依頼先</t>
    </r>
  </si>
  <si>
    <r>
      <rPr>
        <sz val="11"/>
        <color theme="1"/>
        <rFont val="游ゴシック"/>
        <family val="3"/>
        <charset val="128"/>
      </rPr>
      <t>DDQA</t>
    </r>
    <r>
      <rPr>
        <sz val="11"/>
        <color theme="1"/>
        <rFont val="WenQuanYi Zen Hei"/>
        <family val="2"/>
      </rPr>
      <t>対応※</t>
    </r>
    <r>
      <rPr>
        <sz val="11"/>
        <color theme="1"/>
        <rFont val="游ゴシック"/>
        <family val="3"/>
        <charset val="128"/>
      </rPr>
      <t>DD</t>
    </r>
    <r>
      <rPr>
        <sz val="11"/>
        <color theme="1"/>
        <rFont val="WenQuanYi Zen Hei"/>
        <family val="2"/>
      </rPr>
      <t>依頼先</t>
    </r>
  </si>
  <si>
    <r>
      <rPr>
        <sz val="11"/>
        <color theme="1"/>
        <rFont val="游ゴシック"/>
        <family val="3"/>
        <charset val="128"/>
      </rPr>
      <t>DD</t>
    </r>
    <r>
      <rPr>
        <sz val="11"/>
        <color theme="1"/>
        <rFont val="WenQuanYi Zen Hei"/>
        <family val="2"/>
      </rPr>
      <t>マネジメントインタビュー</t>
    </r>
  </si>
  <si>
    <r>
      <rPr>
        <sz val="11"/>
        <color theme="1"/>
        <rFont val="游ゴシック"/>
        <family val="3"/>
        <charset val="128"/>
      </rPr>
      <t>SPA</t>
    </r>
    <r>
      <rPr>
        <sz val="11"/>
        <color theme="1"/>
        <rFont val="WenQuanYi Zen Hei"/>
        <family val="2"/>
      </rPr>
      <t>内容検討</t>
    </r>
  </si>
  <si>
    <r>
      <rPr>
        <sz val="11"/>
        <color theme="1"/>
        <rFont val="游ゴシック"/>
        <family val="3"/>
        <charset val="128"/>
      </rPr>
      <t>SPA</t>
    </r>
    <r>
      <rPr>
        <sz val="11"/>
        <color theme="1"/>
        <rFont val="WenQuanYi Zen Hei"/>
        <family val="2"/>
      </rPr>
      <t>ドラフト提出</t>
    </r>
  </si>
  <si>
    <r>
      <rPr>
        <sz val="11"/>
        <color theme="1"/>
        <rFont val="游ゴシック"/>
        <family val="3"/>
        <charset val="128"/>
      </rPr>
      <t>DD</t>
    </r>
    <r>
      <rPr>
        <sz val="11"/>
        <color theme="1"/>
        <rFont val="WenQuanYi Zen Hei"/>
        <family val="2"/>
      </rPr>
      <t>結果確認</t>
    </r>
    <r>
      <rPr>
        <sz val="11"/>
        <color theme="1"/>
        <rFont val="游ゴシック"/>
        <family val="3"/>
        <charset val="128"/>
      </rPr>
      <t>(DD</t>
    </r>
    <r>
      <rPr>
        <sz val="11"/>
        <color theme="1"/>
        <rFont val="WenQuanYi Zen Hei"/>
        <family val="2"/>
      </rPr>
      <t>報告会</t>
    </r>
    <r>
      <rPr>
        <sz val="11"/>
        <color theme="1"/>
        <rFont val="游ゴシック"/>
        <family val="3"/>
        <charset val="128"/>
      </rPr>
      <t>)</t>
    </r>
  </si>
  <si>
    <r>
      <rPr>
        <sz val="11"/>
        <color theme="1"/>
        <rFont val="游ゴシック"/>
        <family val="3"/>
        <charset val="128"/>
      </rPr>
      <t>SPA</t>
    </r>
    <r>
      <rPr>
        <sz val="11"/>
        <color theme="1"/>
        <rFont val="WenQuanYi Zen Hei"/>
        <family val="2"/>
      </rPr>
      <t>案ご提出</t>
    </r>
  </si>
  <si>
    <r>
      <rPr>
        <sz val="11"/>
        <color theme="1"/>
        <rFont val="游ゴシック"/>
        <family val="3"/>
        <charset val="128"/>
      </rPr>
      <t>SPA</t>
    </r>
    <r>
      <rPr>
        <sz val="11"/>
        <color theme="1"/>
        <rFont val="WenQuanYi Zen Hei"/>
        <family val="2"/>
      </rPr>
      <t>調整</t>
    </r>
  </si>
  <si>
    <t>株式譲渡契約書締結</t>
  </si>
  <si>
    <r>
      <rPr>
        <sz val="11"/>
        <color theme="1"/>
        <rFont val="游ゴシック"/>
        <family val="3"/>
        <charset val="128"/>
      </rPr>
      <t>COC</t>
    </r>
    <r>
      <rPr>
        <sz val="11"/>
        <color theme="1"/>
        <rFont val="WenQuanYi Zen Hei"/>
        <family val="2"/>
      </rPr>
      <t>対応等</t>
    </r>
  </si>
  <si>
    <t>クロージング（資金決済、株主名簿書換、役員変更登記申請)</t>
  </si>
  <si>
    <t>従業員・取引先への開示、PMI</t>
  </si>
  <si>
    <r>
      <rPr>
        <sz val="11"/>
        <color theme="1"/>
        <rFont val="游ゴシック"/>
        <family val="3"/>
        <charset val="128"/>
      </rPr>
      <t>2026</t>
    </r>
    <r>
      <rPr>
        <sz val="11"/>
        <color theme="1"/>
        <rFont val="WenQuanYi Zen Hei"/>
        <family val="2"/>
      </rPr>
      <t>年</t>
    </r>
  </si>
  <si>
    <t xml:space="preserve"> </t>
  </si>
  <si>
    <t>第1四半期</t>
  </si>
  <si>
    <t>第2四半期</t>
  </si>
  <si>
    <t>第3四半期</t>
  </si>
  <si>
    <t>第4四半期</t>
  </si>
  <si>
    <t>ｂ</t>
  </si>
  <si>
    <r>
      <rPr>
        <sz val="11"/>
        <color theme="1"/>
        <rFont val="游ゴシック Medium"/>
        <family val="2"/>
        <charset val="128"/>
      </rPr>
      <t>1</t>
    </r>
    <r>
      <rPr>
        <sz val="11"/>
        <color theme="1"/>
        <rFont val="WenQuanYi Zen Hei"/>
        <family val="2"/>
      </rPr>
      <t>ヶ月目</t>
    </r>
  </si>
  <si>
    <r>
      <rPr>
        <sz val="11"/>
        <color theme="1"/>
        <rFont val="游ゴシック Medium"/>
        <family val="2"/>
        <charset val="128"/>
      </rPr>
      <t>2</t>
    </r>
    <r>
      <rPr>
        <sz val="11"/>
        <color theme="1"/>
        <rFont val="WenQuanYi Zen Hei"/>
        <family val="2"/>
      </rPr>
      <t>ヶ月目</t>
    </r>
  </si>
  <si>
    <r>
      <rPr>
        <sz val="11"/>
        <color theme="1"/>
        <rFont val="游ゴシック Medium"/>
        <family val="2"/>
        <charset val="128"/>
      </rPr>
      <t>3</t>
    </r>
    <r>
      <rPr>
        <sz val="11"/>
        <color theme="1"/>
        <rFont val="WenQuanYi Zen Hei"/>
        <family val="2"/>
      </rPr>
      <t>か月目</t>
    </r>
  </si>
  <si>
    <r>
      <rPr>
        <sz val="11"/>
        <color theme="1"/>
        <rFont val="游ゴシック Medium"/>
        <family val="2"/>
        <charset val="128"/>
      </rPr>
      <t>4</t>
    </r>
    <r>
      <rPr>
        <sz val="11"/>
        <color theme="1"/>
        <rFont val="WenQuanYi Zen Hei"/>
        <family val="2"/>
      </rPr>
      <t>か月目</t>
    </r>
  </si>
  <si>
    <r>
      <rPr>
        <sz val="11"/>
        <color theme="1"/>
        <rFont val="游ゴシック Medium"/>
        <family val="2"/>
        <charset val="128"/>
      </rPr>
      <t>5</t>
    </r>
    <r>
      <rPr>
        <sz val="11"/>
        <color theme="1"/>
        <rFont val="WenQuanYi Zen Hei"/>
        <family val="2"/>
      </rPr>
      <t>か月目</t>
    </r>
  </si>
  <si>
    <t>グラフタイトル</t>
  </si>
  <si>
    <t>X</t>
  </si>
  <si>
    <t>Y</t>
  </si>
  <si>
    <t>Z</t>
  </si>
  <si>
    <t>あああ</t>
  </si>
  <si>
    <t>あああああ</t>
  </si>
  <si>
    <t>XXXXX</t>
  </si>
  <si>
    <t>1期目</t>
  </si>
  <si>
    <t>2期目</t>
  </si>
  <si>
    <t>3期目</t>
  </si>
  <si>
    <t>24年1月期</t>
  </si>
  <si>
    <t>25年1月期</t>
  </si>
  <si>
    <t>26年1月期</t>
  </si>
  <si>
    <t>(単位：千円)</t>
  </si>
  <si>
    <t>【繰延資産】</t>
    <phoneticPr fontId="60"/>
  </si>
  <si>
    <t>←IMに貼るときは非表示</t>
  </si>
  <si>
    <t>EV（EBITDA×倍率）</t>
  </si>
  <si>
    <t>野口　紘</t>
    <rPh sb="0" eb="2">
      <t>ノグチ</t>
    </rPh>
    <rPh sb="3" eb="4">
      <t>ヒロシ</t>
    </rPh>
    <phoneticPr fontId="60"/>
  </si>
  <si>
    <t>代表取締役</t>
    <rPh sb="0" eb="5">
      <t>ダイヒョウトリシマリヤク</t>
    </rPh>
    <phoneticPr fontId="60"/>
  </si>
  <si>
    <t>役員報酬
（2026年1月期）</t>
    <phoneticPr fontId="60"/>
  </si>
  <si>
    <t>継続勤務予定</t>
    <rPh sb="0" eb="2">
      <t>ケイゾク</t>
    </rPh>
    <rPh sb="2" eb="4">
      <t>キンム</t>
    </rPh>
    <rPh sb="4" eb="6">
      <t>ヨテイ</t>
    </rPh>
    <phoneticPr fontId="60"/>
  </si>
  <si>
    <t>母</t>
    <rPh sb="0" eb="1">
      <t>ハハ</t>
    </rPh>
    <phoneticPr fontId="60"/>
  </si>
  <si>
    <t>配偶者</t>
    <rPh sb="0" eb="3">
      <t>ハイグウシャ</t>
    </rPh>
    <phoneticPr fontId="60"/>
  </si>
  <si>
    <t>業務関与無し</t>
    <rPh sb="2" eb="4">
      <t>カンヨ</t>
    </rPh>
    <rPh sb="4" eb="5">
      <t>ナ</t>
    </rPh>
    <phoneticPr fontId="60"/>
  </si>
  <si>
    <t>経営管理、OEM事業の管掌</t>
    <rPh sb="0" eb="2">
      <t>ケイエイ</t>
    </rPh>
    <rPh sb="8" eb="10">
      <t>ジギョウ</t>
    </rPh>
    <rPh sb="11" eb="13">
      <t>カンショウ</t>
    </rPh>
    <phoneticPr fontId="60"/>
  </si>
  <si>
    <t>2025年4月1日就任</t>
    <phoneticPr fontId="60"/>
  </si>
  <si>
    <t>部長</t>
    <phoneticPr fontId="60"/>
  </si>
  <si>
    <t>課長</t>
    <phoneticPr fontId="60"/>
  </si>
  <si>
    <t>主任</t>
    <phoneticPr fontId="60"/>
  </si>
  <si>
    <t>2026年5月分
総支給</t>
    <phoneticPr fontId="60"/>
  </si>
  <si>
    <t>2026年5月より育休から復帰。</t>
    <rPh sb="6" eb="7">
      <t>ガツ</t>
    </rPh>
    <rPh sb="9" eb="11">
      <t>イクキュウ</t>
    </rPh>
    <rPh sb="13" eb="15">
      <t>フッキ</t>
    </rPh>
    <phoneticPr fontId="60"/>
  </si>
  <si>
    <t>2026年4月入社。</t>
    <phoneticPr fontId="60"/>
  </si>
  <si>
    <t>（単位：円）</t>
    <rPh sb="1" eb="3">
      <t>タンイ</t>
    </rPh>
    <rPh sb="4" eb="5">
      <t>エン</t>
    </rPh>
    <phoneticPr fontId="60"/>
  </si>
  <si>
    <t>東京都台東区東上野一丁目20番5号 
サスガビル4階</t>
    <phoneticPr fontId="60"/>
  </si>
  <si>
    <t>賃借</t>
    <phoneticPr fontId="60"/>
  </si>
  <si>
    <t>仲御徒町駅徒歩4分、上野御徒町駅徒歩6分、
御徒町駅徒歩6分</t>
    <phoneticPr fontId="60"/>
  </si>
  <si>
    <t>修正後BS（分割前）</t>
  </si>
  <si>
    <t>分割承継額</t>
  </si>
  <si>
    <t>分割後BS（分割会社）</t>
  </si>
  <si>
    <t>新設会社BS</t>
  </si>
  <si>
    <t>【分割承継純資産】</t>
  </si>
  <si>
    <t>【前提条件】</t>
  </si>
  <si>
    <t>1. 本タブは「修正BS(借方)」「修正BS(貸方) 」の修正後残高（令和8年1月期・評価基準日）を分割前BSとしている。</t>
  </si>
  <si>
    <t>2. 新設分割により、非事業用資産である投資有価証券275,896千円及び保険積立金43,327千円（計319,223千円）を新設会社へ承継する。</t>
  </si>
  <si>
    <t>3. 分割型（人的）分割を前提とし、承継純資産と同額だけ分割会社の純資産が減少するものとしている。</t>
  </si>
  <si>
    <t xml:space="preserve">   分社型（物的）分割による場合は、分割会社に新設会社株式が資産計上され純資産は減少しないため、別途、株式の現物配当等が必要となる。</t>
  </si>
  <si>
    <t>4. 適格分割（簿価承継）を前提とし、承継資産の含み損益に対する課税は考慮していない。非適格分割となる場合、投資有価証券の含み損益に対し課税が生じる。</t>
  </si>
  <si>
    <t>5. 承継資産に対応する負債（借入金等）の承継は想定していない。投資有価証券等が借入金の担保に供されている場合、金融機関の同意及び担保差替えの要否を要確認。</t>
  </si>
  <si>
    <t>【要確認事項】</t>
  </si>
  <si>
    <t>・分割の形態（分割型／分社型）、分割期日、適格要件の充足状況</t>
  </si>
  <si>
    <t>・投資有価証券・保険積立金の時価（含み損益）— 時価資料受領後、承継純資産額の見直しが必要</t>
  </si>
  <si>
    <t>・保険契約の契約者変更の可否（保険積立金を新設会社へ承継する場合の実務上の取扱い）</t>
  </si>
  <si>
    <t>・分割に伴う債権者保護手続、金融機関のチェンジオブコントロール条項への抵触の有無</t>
  </si>
  <si>
    <t>【株式価値評価への影響】</t>
  </si>
  <si>
    <t>・投資有価証券・保険積立金はネットキャッシュのキャッシュライクアイテムに算入しているため、分割後は当該319,223千円が除外される。</t>
  </si>
  <si>
    <t>・時価純資産も同額減少するため、コスト／マーケット両アプローチの試算結果を分割後ベースで再計算する必要がある。</t>
  </si>
  <si>
    <t>備考</t>
    <rPh sb="0" eb="2">
      <t>ビコウ</t>
    </rPh>
    <phoneticPr fontId="60"/>
  </si>
  <si>
    <t>パーテション一式</t>
  </si>
  <si>
    <t>定額法</t>
  </si>
  <si>
    <t>レクサス RXHV</t>
  </si>
  <si>
    <t>定率法</t>
  </si>
  <si>
    <t>要確認。（私用車の可能性あり）</t>
    <rPh sb="0" eb="3">
      <t>ヨウカクニン</t>
    </rPh>
    <rPh sb="5" eb="8">
      <t>シヨウシャ</t>
    </rPh>
    <rPh sb="9" eb="12">
      <t>カノウセイ</t>
    </rPh>
    <phoneticPr fontId="60"/>
  </si>
  <si>
    <t>FREED HYBRID FF</t>
  </si>
  <si>
    <t>サーバー Alrit5</t>
  </si>
  <si>
    <t>CAUL RX販売仕入在庫システム</t>
  </si>
  <si>
    <t>弥生会計24プロフェッショナル</t>
  </si>
  <si>
    <t>10,000千円（発行済株式総数1,000株）</t>
  </si>
  <si>
    <t>設立</t>
    <phoneticPr fontId="60"/>
  </si>
  <si>
    <t>2014年2月12日（第12期）</t>
    <rPh sb="11" eb="12">
      <t>ダイ</t>
    </rPh>
    <rPh sb="14" eb="15">
      <t>キ</t>
    </rPh>
    <phoneticPr fontId="60"/>
  </si>
  <si>
    <t>野口 紘（48歳）</t>
    <rPh sb="7" eb="8">
      <t>サイ</t>
    </rPh>
    <phoneticPr fontId="60"/>
  </si>
  <si>
    <t>野口 紘（1,000株/100.0%）</t>
    <rPh sb="10" eb="11">
      <t>カブ</t>
    </rPh>
    <phoneticPr fontId="60"/>
  </si>
  <si>
    <t>株主</t>
    <phoneticPr fontId="60"/>
  </si>
  <si>
    <t>アニメ・ゲーム版権(IP)を活用したキャラクターグッズの企画・製造・販売、及びOEM受託。自社オリジナルのキャラクターくじ「スターくじ」「あたりツキ！」シリーズを展開。缶バッジ・アクリル・タペストリー・ブランケット・スマホケース・ストラップ・ラバー小物・メガネケース・マグネットシート等、多品目のグッズを取り扱う。製造は中国等海外メーカー及び国内専門メーカーへ委託するファブレス型のB2Bモデル。自社サイト(canaria-tokyo.co.jp)で制作実績・OEMラインナップを公開。</t>
    <phoneticPr fontId="60"/>
  </si>
  <si>
    <t>・キャラクターグッズ企画・製造販売事業
（ライセンス／版権商品）
・OEM受託事業</t>
    <phoneticPr fontId="60"/>
  </si>
  <si>
    <t>10名（うち役員3名、正社員7名）※2026年6月時点</t>
    <rPh sb="2" eb="3">
      <t>メイ</t>
    </rPh>
    <rPh sb="6" eb="8">
      <t>ヤクイン</t>
    </rPh>
    <rPh sb="9" eb="10">
      <t>メイ</t>
    </rPh>
    <rPh sb="11" eb="14">
      <t>セイシャイン</t>
    </rPh>
    <rPh sb="15" eb="16">
      <t>メイ</t>
    </rPh>
    <phoneticPr fontId="60"/>
  </si>
  <si>
    <t>422,475千円（2026年1月期実績）
443,868千円（2025年1月期実績）</t>
    <rPh sb="18" eb="20">
      <t>ジッセキ</t>
    </rPh>
    <rPh sb="29" eb="31">
      <t>センエン</t>
    </rPh>
    <rPh sb="36" eb="37">
      <t>ネン</t>
    </rPh>
    <rPh sb="38" eb="39">
      <t>ガツ</t>
    </rPh>
    <rPh sb="39" eb="40">
      <t>キ</t>
    </rPh>
    <rPh sb="40" eb="42">
      <t>ジッセキ</t>
    </rPh>
    <phoneticPr fontId="60"/>
  </si>
  <si>
    <t>43,541千円  （2026年1月期実績）
62,064千円  （2025年1月期実績）</t>
    <rPh sb="6" eb="8">
      <t>センエン</t>
    </rPh>
    <rPh sb="29" eb="31">
      <t>センエン</t>
    </rPh>
    <phoneticPr fontId="60"/>
  </si>
  <si>
    <t>後継者不在、更なる事業の発展</t>
    <rPh sb="0" eb="3">
      <t>コウケイシャ</t>
    </rPh>
    <rPh sb="3" eb="5">
      <t>フザイ</t>
    </rPh>
    <rPh sb="6" eb="7">
      <t>サラ</t>
    </rPh>
    <rPh sb="9" eb="11">
      <t>ジギョウ</t>
    </rPh>
    <rPh sb="12" eb="14">
      <t>ハッテン</t>
    </rPh>
    <phoneticPr fontId="60"/>
  </si>
  <si>
    <t>平均年齢</t>
    <rPh sb="0" eb="4">
      <t>ヘイキンネンレイ</t>
    </rPh>
    <phoneticPr fontId="60"/>
  </si>
  <si>
    <t>平均勤続年数</t>
    <rPh sb="0" eb="2">
      <t>ヘイキン</t>
    </rPh>
    <rPh sb="2" eb="6">
      <t>キンゾクネンスウ</t>
    </rPh>
    <phoneticPr fontId="60"/>
  </si>
  <si>
    <t>(該当データなし)</t>
  </si>
  <si>
    <t>2024年1月期</t>
    <phoneticPr fontId="60"/>
  </si>
  <si>
    <t>2025年1月期</t>
    <phoneticPr fontId="60"/>
  </si>
  <si>
    <t>2026年1月期</t>
    <phoneticPr fontId="60"/>
  </si>
  <si>
    <t>役員報酬（退任予定）</t>
    <phoneticPr fontId="60"/>
  </si>
  <si>
    <t>棚卸資産廃棄損
（営業費用化）</t>
    <phoneticPr fontId="60"/>
  </si>
  <si>
    <t>商品</t>
    <phoneticPr fontId="60"/>
  </si>
  <si>
    <t>その他</t>
    <phoneticPr fontId="60"/>
  </si>
  <si>
    <t>短期借入金</t>
    <rPh sb="0" eb="2">
      <t>タンキ</t>
    </rPh>
    <phoneticPr fontId="6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</si>
</sst>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0,"/>
    <numFmt numFmtId="177" formatCode="#,##0,;\△#,##0,;0"/>
    <numFmt numFmtId="178" formatCode="0.0%"/>
    <numFmt numFmtId="179" formatCode="#,##0.00_ "/>
    <numFmt numFmtId="180" formatCode="#,##0_);[Red]\(#,##0\)"/>
    <numFmt numFmtId="181" formatCode="#,##0_ "/>
    <numFmt numFmtId="182" formatCode="#,##0.0_ "/>
    <numFmt numFmtId="183" formatCode="#,##0;&quot;△ &quot;#,##0"/>
    <numFmt numFmtId="184" formatCode="m/d/yyyy"/>
    <numFmt numFmtId="185" formatCode="0_);[Red]\(0\)"/>
    <numFmt numFmtId="186" formatCode="0.00_);[Red]\(0.00\)"/>
    <numFmt numFmtId="187" formatCode="m&quot;月&quot;d&quot;日&quot;;@"/>
    <numFmt numFmtId="188" formatCode="#,##0.0;&quot;△ &quot;#,##0.0"/>
    <numFmt numFmtId="189" formatCode="General&quot;年&quot;"/>
    <numFmt numFmtId="190" formatCode="#,##0,;\△#,##0,;\-"/>
    <numFmt numFmtId="191" formatCode="0.0_);[Red]\(0.0\)"/>
  </numFmts>
  <fonts count="63">
    <font>
      <sz val="11"/>
      <color theme="1"/>
      <name val="游ゴシック Medium"/>
      <family val="2"/>
      <charset val="128"/>
    </font>
    <font>
      <sz val="10"/>
      <color theme="1"/>
      <name val="Meiryo UI"/>
      <family val="2"/>
      <charset val="128"/>
    </font>
    <font>
      <sz val="11"/>
      <color theme="1"/>
      <name val="WenQuanYi Zen Hei"/>
      <family val="2"/>
      <charset val="1"/>
    </font>
    <font>
      <b/>
      <sz val="12"/>
      <color theme="0"/>
      <name val="WenQuanYi Zen Hei"/>
      <family val="2"/>
      <charset val="1"/>
    </font>
    <font>
      <b/>
      <sz val="12"/>
      <color theme="0"/>
      <name val="游ゴシック"/>
      <family val="3"/>
      <charset val="128"/>
    </font>
    <font>
      <b/>
      <sz val="12"/>
      <color theme="1"/>
      <name val="WenQuanYi Zen Hei"/>
      <family val="2"/>
      <charset val="1"/>
    </font>
    <font>
      <b/>
      <sz val="12"/>
      <color theme="1"/>
      <name val="Arial"/>
      <family val="2"/>
      <charset val="1"/>
    </font>
    <font>
      <sz val="12"/>
      <color theme="1"/>
      <name val="WenQuanYi Zen Hei"/>
      <family val="2"/>
      <charset val="1"/>
    </font>
    <font>
      <sz val="12"/>
      <color theme="1"/>
      <name val="Arial"/>
      <family val="2"/>
      <charset val="1"/>
    </font>
    <font>
      <b/>
      <sz val="11"/>
      <color rgb="FFFF0000"/>
      <name val="WenQuanYi Zen Hei"/>
      <family val="2"/>
      <charset val="1"/>
    </font>
    <font>
      <b/>
      <sz val="11"/>
      <color rgb="FFFF0000"/>
      <name val="游ゴシック Medium"/>
      <family val="3"/>
      <charset val="128"/>
    </font>
    <font>
      <b/>
      <sz val="12"/>
      <color theme="0"/>
      <name val="WenQuanYi Zen Hei"/>
      <family val="2"/>
    </font>
    <font>
      <sz val="12"/>
      <color theme="1"/>
      <name val="游ゴシック"/>
      <family val="3"/>
      <charset val="128"/>
    </font>
    <font>
      <b/>
      <sz val="12"/>
      <color theme="0"/>
      <name val="Arial"/>
      <family val="2"/>
      <charset val="1"/>
    </font>
    <font>
      <b/>
      <sz val="10"/>
      <color rgb="FFFF0000"/>
      <name val="游ゴシック"/>
      <family val="3"/>
      <charset val="128"/>
    </font>
    <font>
      <sz val="11"/>
      <color theme="1"/>
      <name val="游ゴシック"/>
      <family val="3"/>
      <charset val="128"/>
    </font>
    <font>
      <sz val="11"/>
      <color theme="1"/>
      <name val="WenQuanYi Zen Hei"/>
      <family val="2"/>
    </font>
    <font>
      <sz val="12"/>
      <color theme="1"/>
      <name val="游ゴシック"/>
      <family val="2"/>
      <charset val="128"/>
    </font>
    <font>
      <b/>
      <sz val="12"/>
      <color theme="1"/>
      <name val="游ゴシック"/>
      <family val="3"/>
      <charset val="128"/>
    </font>
    <font>
      <sz val="12"/>
      <color rgb="FFFF0000"/>
      <name val="Arial"/>
      <family val="2"/>
      <charset val="1"/>
    </font>
    <font>
      <sz val="12"/>
      <color rgb="FFFF0000"/>
      <name val="WenQuanYi Zen Hei"/>
      <family val="2"/>
    </font>
    <font>
      <sz val="12"/>
      <name val="WenQuanYi Zen Hei"/>
      <family val="2"/>
      <charset val="1"/>
    </font>
    <font>
      <sz val="12"/>
      <name val="Arial"/>
      <family val="2"/>
      <charset val="1"/>
    </font>
    <font>
      <sz val="12"/>
      <color theme="0" tint="-0.14999847407452621"/>
      <name val="Arial"/>
      <family val="2"/>
      <charset val="1"/>
    </font>
    <font>
      <sz val="11"/>
      <color theme="1"/>
      <name val="Arial"/>
      <family val="2"/>
      <charset val="1"/>
    </font>
    <font>
      <sz val="10"/>
      <name val="WenQuanYi Zen Hei"/>
      <family val="2"/>
    </font>
    <font>
      <sz val="9"/>
      <color theme="1"/>
      <name val="WenQuanYi Zen Hei"/>
      <family val="2"/>
      <charset val="1"/>
    </font>
    <font>
      <sz val="9"/>
      <color theme="1"/>
      <name val="游ゴシック Medium"/>
      <family val="3"/>
      <charset val="128"/>
    </font>
    <font>
      <b/>
      <sz val="14"/>
      <color theme="1"/>
      <name val="Arial"/>
      <family val="2"/>
      <charset val="1"/>
    </font>
    <font>
      <sz val="11"/>
      <color theme="1"/>
      <name val="游ゴシック Medium"/>
      <family val="3"/>
      <charset val="128"/>
    </font>
    <font>
      <sz val="12"/>
      <color theme="1"/>
      <name val="ＭＳ Ｐゴシック"/>
      <family val="2"/>
      <charset val="128"/>
    </font>
    <font>
      <b/>
      <sz val="14"/>
      <color theme="1"/>
      <name val="游ゴシック"/>
      <family val="3"/>
      <charset val="128"/>
    </font>
    <font>
      <sz val="10"/>
      <name val="Arial"/>
      <family val="2"/>
    </font>
    <font>
      <sz val="12"/>
      <color theme="1"/>
      <name val="WenQuanYi Zen Hei"/>
      <family val="2"/>
    </font>
    <font>
      <sz val="12"/>
      <color theme="0"/>
      <name val="游ゴシック"/>
      <family val="3"/>
      <charset val="128"/>
    </font>
    <font>
      <sz val="11"/>
      <color rgb="FFFF0000"/>
      <name val="游ゴシック"/>
      <family val="3"/>
      <charset val="128"/>
    </font>
    <font>
      <i/>
      <sz val="9"/>
      <color theme="1"/>
      <name val="游ゴシック"/>
      <family val="3"/>
      <charset val="128"/>
    </font>
    <font>
      <b/>
      <sz val="11"/>
      <color theme="1"/>
      <name val="游ゴシック"/>
      <family val="3"/>
      <charset val="128"/>
    </font>
    <font>
      <sz val="10"/>
      <color theme="1"/>
      <name val="游ゴシック"/>
      <family val="3"/>
      <charset val="128"/>
    </font>
    <font>
      <b/>
      <sz val="11"/>
      <color theme="1"/>
      <name val="WenQuanYi Zen Hei"/>
      <family val="2"/>
      <charset val="1"/>
    </font>
    <font>
      <sz val="9"/>
      <color theme="1"/>
      <name val="游ゴシック"/>
      <family val="3"/>
      <charset val="128"/>
    </font>
    <font>
      <sz val="11"/>
      <color rgb="FFFF0000"/>
      <name val="游ゴシック Medium"/>
      <family val="2"/>
      <charset val="128"/>
    </font>
    <font>
      <b/>
      <sz val="12"/>
      <color rgb="FFFF0000"/>
      <name val="游ゴシック"/>
      <family val="3"/>
      <charset val="128"/>
    </font>
    <font>
      <b/>
      <sz val="12"/>
      <color rgb="FFFF0000"/>
      <name val="WenQuanYi Zen Hei"/>
      <family val="2"/>
    </font>
    <font>
      <b/>
      <sz val="12"/>
      <color theme="1"/>
      <name val="游ゴシック"/>
      <family val="2"/>
      <charset val="128"/>
    </font>
    <font>
      <sz val="11"/>
      <name val="游ゴシック"/>
      <family val="3"/>
      <charset val="128"/>
    </font>
    <font>
      <sz val="12"/>
      <name val="游ゴシック"/>
      <family val="3"/>
      <charset val="128"/>
    </font>
    <font>
      <b/>
      <sz val="11"/>
      <color theme="0"/>
      <name val="游ゴシック"/>
      <family val="3"/>
      <charset val="128"/>
    </font>
    <font>
      <b/>
      <sz val="11"/>
      <color theme="0"/>
      <name val="WenQuanYi Zen Hei"/>
      <family val="2"/>
    </font>
    <font>
      <sz val="8"/>
      <color theme="0"/>
      <name val="游ゴシック"/>
      <family val="3"/>
      <charset val="128"/>
    </font>
    <font>
      <sz val="8"/>
      <name val="游ゴシック"/>
      <family val="3"/>
      <charset val="128"/>
    </font>
    <font>
      <sz val="8"/>
      <color theme="1"/>
      <name val="游ゴシック"/>
      <family val="3"/>
      <charset val="128"/>
    </font>
    <font>
      <sz val="10"/>
      <color theme="1"/>
      <name val="WenQuanYi Zen Hei"/>
      <family val="2"/>
      <charset val="1"/>
    </font>
    <font>
      <sz val="11"/>
      <color theme="9"/>
      <name val="游ゴシック"/>
      <family val="3"/>
      <charset val="128"/>
    </font>
    <font>
      <sz val="11"/>
      <name val="WenQuanYi Zen Hei"/>
      <family val="2"/>
    </font>
    <font>
      <sz val="11"/>
      <name val="WenQuanYi Zen Hei"/>
      <family val="2"/>
      <charset val="1"/>
    </font>
    <font>
      <b/>
      <sz val="11"/>
      <color theme="0" tint="-4.9989318521683403E-2"/>
      <name val="WenQuanYi Zen Hei"/>
      <family val="2"/>
      <charset val="1"/>
    </font>
    <font>
      <b/>
      <sz val="11"/>
      <color theme="0" tint="-4.9989318521683403E-2"/>
      <name val="游ゴシック"/>
      <family val="3"/>
      <charset val="128"/>
    </font>
    <font>
      <b/>
      <sz val="11"/>
      <color theme="0" tint="-4.9989318521683403E-2"/>
      <name val="WenQuanYi Zen Hei"/>
      <family val="2"/>
    </font>
    <font>
      <b/>
      <sz val="11"/>
      <color rgb="FFFF0000"/>
      <name val="游ゴシック"/>
      <family val="3"/>
      <charset val="128"/>
    </font>
    <font>
      <sz val="6"/>
      <name val="游ゴシック Medium"/>
      <family val="2"/>
      <charset val="128"/>
    </font>
    <font>
      <sz val="12"/>
      <color rgb="FFFF0000"/>
      <name val="游ゴシック"/>
      <family val="3"/>
      <charset val="128"/>
    </font>
    <font>
      <b/>
      <sz val="9"/>
      <color theme="1"/>
      <name val="游ゴシック"/>
      <family val="3"/>
      <charset val="128"/>
    </font>
  </fonts>
  <fills count="16">
    <fill>
      <patternFill patternType="none"/>
    </fill>
    <fill>
      <patternFill patternType="gray125"/>
    </fill>
    <fill>
      <patternFill patternType="solid">
        <fgColor theme="3"/>
        <bgColor rgb="FF002060"/>
      </patternFill>
    </fill>
    <fill>
      <patternFill patternType="solid">
        <fgColor theme="5"/>
        <bgColor rgb="FFE1F2FB"/>
      </patternFill>
    </fill>
    <fill>
      <patternFill patternType="solid">
        <fgColor theme="2"/>
        <bgColor rgb="FFE3E5E7"/>
      </patternFill>
    </fill>
    <fill>
      <patternFill patternType="solid">
        <fgColor theme="0"/>
        <bgColor rgb="FFF2F2F2"/>
      </patternFill>
    </fill>
    <fill>
      <patternFill patternType="solid">
        <fgColor theme="7"/>
        <bgColor rgb="FF008080"/>
      </patternFill>
    </fill>
    <fill>
      <patternFill patternType="solid">
        <fgColor rgb="FFFFFF00"/>
        <bgColor rgb="FF99CC00"/>
      </patternFill>
    </fill>
    <fill>
      <patternFill patternType="solid">
        <fgColor theme="4"/>
        <bgColor rgb="FF8B8B8B"/>
      </patternFill>
    </fill>
    <fill>
      <patternFill patternType="solid">
        <fgColor rgb="FFE1F2FB"/>
        <bgColor rgb="FFE1F3FB"/>
      </patternFill>
    </fill>
    <fill>
      <patternFill patternType="solid">
        <fgColor theme="6" tint="0.79989013336588644"/>
        <bgColor rgb="FFE1F3FB"/>
      </patternFill>
    </fill>
    <fill>
      <patternFill patternType="solid">
        <fgColor rgb="FFFF0000"/>
        <bgColor rgb="FF993300"/>
      </patternFill>
    </fill>
    <fill>
      <patternFill patternType="solid">
        <fgColor rgb="FFCCECFF"/>
        <bgColor rgb="FFE1F2FB"/>
      </patternFill>
    </fill>
    <fill>
      <patternFill patternType="solid">
        <fgColor rgb="FFFFCCCC"/>
        <bgColor rgb="FFD9D9D9"/>
      </patternFill>
    </fill>
    <fill>
      <patternFill patternType="solid">
        <fgColor theme="4" tint="0.79989013336588644"/>
        <bgColor rgb="FFE3E7E9"/>
      </patternFill>
    </fill>
    <fill>
      <patternFill patternType="solid">
        <fgColor rgb="FFFFFF00"/>
        <bgColor rgb="FFE3E5E7"/>
      </patternFill>
    </fill>
  </fills>
  <borders count="103">
    <border>
      <left/>
      <right/>
      <top/>
      <bottom/>
      <diagonal/>
    </border>
    <border>
      <left style="thin">
        <color theme="0"/>
      </left>
      <right/>
      <top/>
      <bottom style="thin">
        <color theme="0" tint="-0.34998626667073579"/>
      </bottom>
      <diagonal/>
    </border>
    <border>
      <left style="thin">
        <color theme="0"/>
      </left>
      <right style="thin">
        <color theme="0"/>
      </right>
      <top/>
      <bottom/>
      <diagonal/>
    </border>
    <border>
      <left style="thin">
        <color theme="0"/>
      </left>
      <right style="thin">
        <color theme="0"/>
      </right>
      <top style="thin">
        <color theme="0" tint="-0.34998626667073579"/>
      </top>
      <bottom/>
      <diagonal/>
    </border>
    <border>
      <left style="thin">
        <color theme="0"/>
      </left>
      <right/>
      <top style="thin">
        <color theme="0" tint="-0.34998626667073579"/>
      </top>
      <bottom/>
      <diagonal/>
    </border>
    <border>
      <left style="medium">
        <color theme="7"/>
      </left>
      <right style="medium">
        <color theme="7"/>
      </right>
      <top style="medium">
        <color theme="7"/>
      </top>
      <bottom/>
      <diagonal/>
    </border>
    <border>
      <left style="thin">
        <color theme="0"/>
      </left>
      <right style="thin">
        <color theme="0"/>
      </right>
      <top/>
      <bottom style="thin">
        <color theme="3"/>
      </bottom>
      <diagonal/>
    </border>
    <border>
      <left style="thin">
        <color theme="0"/>
      </left>
      <right/>
      <top/>
      <bottom style="thin">
        <color theme="3"/>
      </bottom>
      <diagonal/>
    </border>
    <border>
      <left style="medium">
        <color theme="7"/>
      </left>
      <right style="medium">
        <color theme="7"/>
      </right>
      <top/>
      <bottom style="thin">
        <color theme="3"/>
      </bottom>
      <diagonal/>
    </border>
    <border>
      <left style="medium">
        <color theme="7"/>
      </left>
      <right style="medium">
        <color theme="7"/>
      </right>
      <top/>
      <bottom/>
      <diagonal/>
    </border>
    <border>
      <left style="thin">
        <color theme="0"/>
      </left>
      <right style="thin">
        <color theme="0"/>
      </right>
      <top/>
      <bottom style="thin">
        <color theme="0"/>
      </bottom>
      <diagonal/>
    </border>
    <border>
      <left style="thin">
        <color theme="0"/>
      </left>
      <right style="thin">
        <color theme="0"/>
      </right>
      <top style="thin">
        <color theme="0"/>
      </top>
      <bottom/>
      <diagonal/>
    </border>
    <border>
      <left style="thin">
        <color theme="0"/>
      </left>
      <right style="thin">
        <color theme="0"/>
      </right>
      <top style="thin">
        <color rgb="FF0B3041"/>
      </top>
      <bottom style="thin">
        <color rgb="FF0B3041"/>
      </bottom>
      <diagonal/>
    </border>
    <border>
      <left style="thin">
        <color theme="0"/>
      </left>
      <right style="thin">
        <color theme="0"/>
      </right>
      <top style="thin">
        <color theme="3"/>
      </top>
      <bottom style="thin">
        <color theme="0"/>
      </bottom>
      <diagonal/>
    </border>
    <border>
      <left style="thin">
        <color theme="0"/>
      </left>
      <right/>
      <top/>
      <bottom/>
      <diagonal/>
    </border>
    <border>
      <left style="thin">
        <color theme="0"/>
      </left>
      <right style="medium">
        <color theme="0"/>
      </right>
      <top/>
      <bottom style="thin">
        <color theme="0"/>
      </bottom>
      <diagonal/>
    </border>
    <border>
      <left style="thin">
        <color theme="0"/>
      </left>
      <right style="medium">
        <color theme="0"/>
      </right>
      <top style="thin">
        <color theme="0"/>
      </top>
      <bottom/>
      <diagonal/>
    </border>
    <border>
      <left/>
      <right/>
      <top/>
      <bottom style="thin">
        <color theme="3"/>
      </bottom>
      <diagonal/>
    </border>
    <border>
      <left/>
      <right style="thin">
        <color theme="0"/>
      </right>
      <top/>
      <bottom/>
      <diagonal/>
    </border>
    <border>
      <left style="thin">
        <color theme="0"/>
      </left>
      <right style="medium">
        <color theme="0"/>
      </right>
      <top/>
      <bottom style="thin">
        <color theme="0" tint="-0.34998626667073579"/>
      </bottom>
      <diagonal/>
    </border>
    <border>
      <left/>
      <right style="thin">
        <color theme="0"/>
      </right>
      <top/>
      <bottom style="thin">
        <color theme="3"/>
      </bottom>
      <diagonal/>
    </border>
    <border>
      <left/>
      <right style="thin">
        <color theme="0"/>
      </right>
      <top style="thin">
        <color theme="0"/>
      </top>
      <bottom style="thin">
        <color theme="3"/>
      </bottom>
      <diagonal/>
    </border>
    <border>
      <left style="thin">
        <color theme="0"/>
      </left>
      <right style="thin">
        <color theme="0"/>
      </right>
      <top style="thin">
        <color theme="0"/>
      </top>
      <bottom style="thin">
        <color theme="3"/>
      </bottom>
      <diagonal/>
    </border>
    <border>
      <left style="thin">
        <color theme="0"/>
      </left>
      <right/>
      <top style="thin">
        <color rgb="FF0B3041"/>
      </top>
      <bottom style="thin">
        <color theme="3"/>
      </bottom>
      <diagonal/>
    </border>
    <border>
      <left style="thin">
        <color theme="0"/>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top/>
      <bottom style="thin">
        <color theme="0"/>
      </bottom>
      <diagonal/>
    </border>
    <border>
      <left style="thin">
        <color theme="0"/>
      </left>
      <right style="thin">
        <color theme="0"/>
      </right>
      <top style="thin">
        <color theme="0"/>
      </top>
      <bottom style="thin">
        <color theme="0" tint="-0.34998626667073579"/>
      </bottom>
      <diagonal/>
    </border>
    <border>
      <left/>
      <right/>
      <top style="thin">
        <color theme="3"/>
      </top>
      <bottom style="thin">
        <color theme="3"/>
      </bottom>
      <diagonal/>
    </border>
    <border>
      <left/>
      <right/>
      <top style="thin">
        <color theme="3"/>
      </top>
      <bottom/>
      <diagonal/>
    </border>
    <border>
      <left style="thin">
        <color theme="0"/>
      </left>
      <right/>
      <top/>
      <bottom style="thin">
        <color theme="0"/>
      </bottom>
      <diagonal/>
    </border>
    <border>
      <left/>
      <right style="thin">
        <color theme="0"/>
      </right>
      <top/>
      <bottom style="thin">
        <color theme="0"/>
      </bottom>
      <diagonal/>
    </border>
    <border>
      <left/>
      <right style="thin">
        <color theme="0"/>
      </right>
      <top style="thin">
        <color theme="0"/>
      </top>
      <bottom/>
      <diagonal/>
    </border>
    <border>
      <left/>
      <right style="thin">
        <color theme="0"/>
      </right>
      <top style="thin">
        <color rgb="FF0B3041"/>
      </top>
      <bottom style="thin">
        <color rgb="FF0B3041"/>
      </bottom>
      <diagonal/>
    </border>
    <border>
      <left style="thin">
        <color theme="0"/>
      </left>
      <right style="medium">
        <color theme="0"/>
      </right>
      <top/>
      <bottom/>
      <diagonal/>
    </border>
    <border>
      <left/>
      <right style="thin">
        <color theme="0"/>
      </right>
      <top style="thin">
        <color rgb="FF0B3041"/>
      </top>
      <bottom/>
      <diagonal/>
    </border>
    <border>
      <left style="medium">
        <color theme="7"/>
      </left>
      <right style="medium">
        <color theme="7"/>
      </right>
      <top style="thin">
        <color theme="3"/>
      </top>
      <bottom style="thin">
        <color theme="3"/>
      </bottom>
      <diagonal/>
    </border>
    <border>
      <left style="thin">
        <color theme="0"/>
      </left>
      <right style="thin">
        <color theme="0"/>
      </right>
      <top style="thin">
        <color theme="3"/>
      </top>
      <bottom/>
      <diagonal/>
    </border>
    <border>
      <left style="thin">
        <color theme="0"/>
      </left>
      <right/>
      <top style="thin">
        <color theme="3"/>
      </top>
      <bottom/>
      <diagonal/>
    </border>
    <border>
      <left/>
      <right style="medium">
        <color theme="7"/>
      </right>
      <top style="thin">
        <color theme="3"/>
      </top>
      <bottom/>
      <diagonal/>
    </border>
    <border>
      <left style="medium">
        <color theme="7"/>
      </left>
      <right style="medium">
        <color theme="7"/>
      </right>
      <top style="thin">
        <color theme="3"/>
      </top>
      <bottom/>
      <diagonal/>
    </border>
    <border>
      <left style="medium">
        <color theme="7"/>
      </left>
      <right style="medium">
        <color theme="7"/>
      </right>
      <top style="thin">
        <color theme="3"/>
      </top>
      <bottom style="medium">
        <color theme="7"/>
      </bottom>
      <diagonal/>
    </border>
    <border>
      <left style="medium">
        <color theme="0"/>
      </left>
      <right style="medium">
        <color theme="0"/>
      </right>
      <top/>
      <bottom style="thin">
        <color theme="0" tint="-0.34998626667073579"/>
      </bottom>
      <diagonal/>
    </border>
    <border>
      <left style="thin">
        <color theme="0"/>
      </left>
      <right style="thin">
        <color theme="0"/>
      </right>
      <top style="thin">
        <color rgb="FF0B3041"/>
      </top>
      <bottom style="medium">
        <color rgb="FF0B3041"/>
      </bottom>
      <diagonal/>
    </border>
    <border>
      <left style="thin">
        <color theme="0"/>
      </left>
      <right/>
      <top style="thin">
        <color rgb="FF0B3041"/>
      </top>
      <bottom style="medium">
        <color rgb="FF0B3041"/>
      </bottom>
      <diagonal/>
    </border>
    <border>
      <left style="thin">
        <color theme="0"/>
      </left>
      <right style="thin">
        <color theme="0"/>
      </right>
      <top style="medium">
        <color rgb="FF0B3041"/>
      </top>
      <bottom/>
      <diagonal/>
    </border>
    <border>
      <left style="thin">
        <color theme="0"/>
      </left>
      <right/>
      <top style="medium">
        <color rgb="FF0B3041"/>
      </top>
      <bottom/>
      <diagonal/>
    </border>
    <border>
      <left style="thin">
        <color theme="0"/>
      </left>
      <right style="medium">
        <color theme="0"/>
      </right>
      <top/>
      <bottom style="thin">
        <color rgb="FF0B3041"/>
      </bottom>
      <diagonal/>
    </border>
    <border>
      <left style="medium">
        <color theme="0"/>
      </left>
      <right style="medium">
        <color theme="0"/>
      </right>
      <top/>
      <bottom style="thin">
        <color rgb="FF0B3041"/>
      </bottom>
      <diagonal/>
    </border>
    <border>
      <left/>
      <right/>
      <top style="thin">
        <color rgb="FF0B3041"/>
      </top>
      <bottom style="medium">
        <color rgb="FF0B3041"/>
      </bottom>
      <diagonal/>
    </border>
    <border>
      <left/>
      <right style="medium">
        <color theme="0"/>
      </right>
      <top/>
      <bottom style="thin">
        <color theme="0" tint="-0.34998626667073579"/>
      </bottom>
      <diagonal/>
    </border>
    <border>
      <left style="thin">
        <color theme="0"/>
      </left>
      <right style="medium">
        <color theme="7" tint="-0.499984740745262"/>
      </right>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style="medium">
        <color theme="7"/>
      </left>
      <right style="medium">
        <color theme="7"/>
      </right>
      <top/>
      <bottom style="medium">
        <color theme="7"/>
      </bottom>
      <diagonal/>
    </border>
    <border>
      <left/>
      <right style="medium">
        <color theme="7" tint="-0.499984740745262"/>
      </right>
      <top/>
      <bottom style="thin">
        <color theme="0" tint="-0.34998626667073579"/>
      </bottom>
      <diagonal/>
    </border>
    <border>
      <left style="thin">
        <color theme="0"/>
      </left>
      <right style="medium">
        <color theme="7"/>
      </right>
      <top style="thin">
        <color theme="3"/>
      </top>
      <bottom/>
      <diagonal/>
    </border>
    <border>
      <left style="medium">
        <color theme="7"/>
      </left>
      <right style="medium">
        <color theme="7"/>
      </right>
      <top/>
      <bottom style="thin">
        <color theme="0"/>
      </bottom>
      <diagonal/>
    </border>
    <border>
      <left/>
      <right/>
      <top style="thin">
        <color theme="0"/>
      </top>
      <bottom/>
      <diagonal/>
    </border>
    <border>
      <left style="medium">
        <color theme="7"/>
      </left>
      <right style="medium">
        <color theme="7"/>
      </right>
      <top style="thin">
        <color theme="0"/>
      </top>
      <bottom style="medium">
        <color theme="7"/>
      </bottom>
      <diagonal/>
    </border>
    <border>
      <left style="medium">
        <color theme="7"/>
      </left>
      <right style="thin">
        <color theme="0"/>
      </right>
      <top style="medium">
        <color theme="7"/>
      </top>
      <bottom style="medium">
        <color theme="7"/>
      </bottom>
      <diagonal/>
    </border>
    <border>
      <left style="thin">
        <color theme="0"/>
      </left>
      <right style="medium">
        <color theme="7"/>
      </right>
      <top style="medium">
        <color theme="7"/>
      </top>
      <bottom style="medium">
        <color theme="7"/>
      </bottom>
      <diagonal/>
    </border>
    <border>
      <left style="medium">
        <color theme="7"/>
      </left>
      <right style="medium">
        <color theme="7"/>
      </right>
      <top style="medium">
        <color theme="7"/>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int="-0.34998626667073579"/>
      </top>
      <bottom style="thin">
        <color rgb="FF0B3041"/>
      </bottom>
      <diagonal/>
    </border>
    <border>
      <left style="thin">
        <color theme="0"/>
      </left>
      <right style="thin">
        <color theme="0"/>
      </right>
      <top style="medium">
        <color theme="7"/>
      </top>
      <bottom style="medium">
        <color theme="7"/>
      </bottom>
      <diagonal/>
    </border>
    <border>
      <left style="thin">
        <color theme="0"/>
      </left>
      <right style="thin">
        <color theme="0"/>
      </right>
      <top style="medium">
        <color rgb="FF0B3041"/>
      </top>
      <bottom style="thin">
        <color theme="0"/>
      </bottom>
      <diagonal/>
    </border>
    <border>
      <left/>
      <right style="thin">
        <color theme="0"/>
      </right>
      <top style="thick">
        <color theme="7"/>
      </top>
      <bottom style="thick">
        <color theme="7"/>
      </bottom>
      <diagonal/>
    </border>
    <border>
      <left style="thin">
        <color theme="0"/>
      </left>
      <right style="thin">
        <color theme="0"/>
      </right>
      <top style="thick">
        <color theme="7"/>
      </top>
      <bottom style="thick">
        <color theme="7"/>
      </bottom>
      <diagonal/>
    </border>
    <border>
      <left/>
      <right/>
      <top style="thick">
        <color theme="7"/>
      </top>
      <bottom/>
      <diagonal/>
    </border>
    <border>
      <left/>
      <right/>
      <top style="thin">
        <color theme="0" tint="-0.34998626667073579"/>
      </top>
      <bottom style="thin">
        <color theme="3"/>
      </bottom>
      <diagonal/>
    </border>
    <border>
      <left/>
      <right style="thin">
        <color theme="0"/>
      </right>
      <top style="thin">
        <color theme="0" tint="-0.34998626667073579"/>
      </top>
      <bottom/>
      <diagonal/>
    </border>
    <border>
      <left/>
      <right/>
      <top style="thin">
        <color auto="1"/>
      </top>
      <bottom style="thin">
        <color theme="3"/>
      </bottom>
      <diagonal/>
    </border>
    <border>
      <left style="hair">
        <color theme="0" tint="-0.249977111117893"/>
      </left>
      <right style="hair">
        <color theme="0" tint="-0.249977111117893"/>
      </right>
      <top style="hair">
        <color theme="0" tint="-0.249977111117893"/>
      </top>
      <bottom style="hair">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right>
      <top style="thin">
        <color theme="0" tint="-0.34998626667073579"/>
      </top>
      <bottom style="thin">
        <color theme="3"/>
      </bottom>
      <diagonal/>
    </border>
    <border>
      <left style="thin">
        <color theme="0"/>
      </left>
      <right style="thin">
        <color theme="0"/>
      </right>
      <top style="thin">
        <color theme="0" tint="-0.34998626667073579"/>
      </top>
      <bottom style="dotted">
        <color theme="3"/>
      </bottom>
      <diagonal/>
    </border>
    <border>
      <left style="thin">
        <color theme="0"/>
      </left>
      <right style="thin">
        <color theme="0"/>
      </right>
      <top style="dotted">
        <color theme="3"/>
      </top>
      <bottom style="thin">
        <color theme="3"/>
      </bottom>
      <diagonal/>
    </border>
    <border>
      <left style="thin">
        <color theme="0"/>
      </left>
      <right style="thin">
        <color theme="0"/>
      </right>
      <top style="thin">
        <color theme="3"/>
      </top>
      <bottom style="dotted">
        <color theme="3"/>
      </bottom>
      <diagonal/>
    </border>
    <border>
      <left style="thin">
        <color theme="0"/>
      </left>
      <right/>
      <top style="thin">
        <color theme="3"/>
      </top>
      <bottom style="dotted">
        <color theme="3"/>
      </bottom>
      <diagonal/>
    </border>
    <border>
      <left style="thin">
        <color theme="0"/>
      </left>
      <right/>
      <top style="thin">
        <color theme="0" tint="-0.34998626667073579"/>
      </top>
      <bottom style="dotted">
        <color theme="3"/>
      </bottom>
      <diagonal/>
    </border>
    <border>
      <left style="thick">
        <color theme="7"/>
      </left>
      <right style="thick">
        <color theme="7"/>
      </right>
      <top style="thin">
        <color theme="0" tint="-0.34998626667073579"/>
      </top>
      <bottom style="dotted">
        <color theme="3"/>
      </bottom>
      <diagonal/>
    </border>
    <border>
      <left style="thin">
        <color theme="0"/>
      </left>
      <right style="thick">
        <color theme="7"/>
      </right>
      <top style="dotted">
        <color theme="3"/>
      </top>
      <bottom style="thin">
        <color theme="3"/>
      </bottom>
      <diagonal/>
    </border>
    <border>
      <left style="thick">
        <color theme="7"/>
      </left>
      <right style="thick">
        <color theme="7"/>
      </right>
      <top style="dotted">
        <color theme="3"/>
      </top>
      <bottom style="thin">
        <color theme="3"/>
      </bottom>
      <diagonal/>
    </border>
    <border>
      <left/>
      <right style="thin">
        <color theme="0"/>
      </right>
      <top style="dotted">
        <color theme="3"/>
      </top>
      <bottom style="thin">
        <color theme="3"/>
      </bottom>
      <diagonal/>
    </border>
    <border>
      <left style="thick">
        <color theme="7"/>
      </left>
      <right style="thick">
        <color theme="7"/>
      </right>
      <top style="thin">
        <color theme="3"/>
      </top>
      <bottom style="dotted">
        <color theme="3"/>
      </bottom>
      <diagonal/>
    </border>
    <border>
      <left/>
      <right style="thin">
        <color theme="0"/>
      </right>
      <top style="thin">
        <color theme="3"/>
      </top>
      <bottom style="dotted">
        <color theme="3"/>
      </bottom>
      <diagonal/>
    </border>
    <border>
      <left style="thick">
        <color theme="7"/>
      </left>
      <right/>
      <top style="dotted">
        <color theme="3"/>
      </top>
      <bottom style="thin">
        <color theme="3"/>
      </bottom>
      <diagonal/>
    </border>
    <border>
      <left style="thick">
        <color theme="7"/>
      </left>
      <right style="thin">
        <color theme="0"/>
      </right>
      <top style="dotted">
        <color theme="3"/>
      </top>
      <bottom style="thin">
        <color theme="3"/>
      </bottom>
      <diagonal/>
    </border>
    <border>
      <left style="thin">
        <color theme="0"/>
      </left>
      <right style="thick">
        <color theme="7"/>
      </right>
      <top style="thin">
        <color theme="3"/>
      </top>
      <bottom style="dotted">
        <color theme="3"/>
      </bottom>
      <diagonal/>
    </border>
    <border>
      <left/>
      <right/>
      <top style="thin">
        <color theme="3"/>
      </top>
      <bottom style="dotted">
        <color theme="3"/>
      </bottom>
      <diagonal/>
    </border>
    <border>
      <left style="thick">
        <color theme="7"/>
      </left>
      <right style="thin">
        <color theme="0"/>
      </right>
      <top style="thin">
        <color theme="3"/>
      </top>
      <bottom style="dotted">
        <color theme="3"/>
      </bottom>
      <diagonal/>
    </border>
    <border>
      <left/>
      <right/>
      <top style="dotted">
        <color theme="3"/>
      </top>
      <bottom/>
      <diagonal/>
    </border>
    <border>
      <left/>
      <right style="thin">
        <color theme="0"/>
      </right>
      <top style="thin">
        <color theme="3"/>
      </top>
      <bottom style="thick">
        <color theme="7"/>
      </bottom>
      <diagonal/>
    </border>
    <border>
      <left style="thick">
        <color theme="7"/>
      </left>
      <right style="thin">
        <color theme="0"/>
      </right>
      <top/>
      <bottom/>
      <diagonal/>
    </border>
    <border>
      <left style="thin">
        <color theme="0"/>
      </left>
      <right style="thin">
        <color theme="0"/>
      </right>
      <top style="thick">
        <color theme="7"/>
      </top>
      <bottom style="dotted">
        <color theme="3"/>
      </bottom>
      <diagonal/>
    </border>
    <border>
      <left style="thin">
        <color theme="0"/>
      </left>
      <right/>
      <top style="thick">
        <color theme="7"/>
      </top>
      <bottom style="dotted">
        <color theme="3"/>
      </bottom>
      <diagonal/>
    </border>
    <border>
      <left style="thick">
        <color theme="7"/>
      </left>
      <right/>
      <top/>
      <bottom/>
      <diagonal/>
    </border>
    <border>
      <left style="thin">
        <color theme="0"/>
      </left>
      <right style="thin">
        <color theme="0"/>
      </right>
      <top/>
      <bottom style="thin">
        <color indexed="64"/>
      </bottom>
      <diagonal/>
    </border>
    <border>
      <left/>
      <right/>
      <top/>
      <bottom style="thin">
        <color indexed="64"/>
      </bottom>
      <diagonal/>
    </border>
    <border>
      <left style="medium">
        <color theme="7"/>
      </left>
      <right style="medium">
        <color theme="7"/>
      </right>
      <top/>
      <bottom style="thin">
        <color indexed="64"/>
      </bottom>
      <diagonal/>
    </border>
    <border>
      <left style="thin">
        <color theme="0"/>
      </left>
      <right style="thin">
        <color theme="0"/>
      </right>
      <top style="thin">
        <color theme="3"/>
      </top>
      <bottom style="thin">
        <color indexed="64"/>
      </bottom>
      <diagonal/>
    </border>
  </borders>
  <cellStyleXfs count="2">
    <xf numFmtId="0" fontId="0" fillId="0" borderId="0">
      <alignment vertical="center"/>
    </xf>
    <xf numFmtId="0" fontId="1" fillId="0" borderId="0">
      <alignment vertical="center"/>
    </xf>
  </cellStyleXfs>
  <cellXfs count="665">
    <xf numFmtId="0" fontId="0" fillId="0" borderId="0" xfId="0">
      <alignment vertical="center"/>
    </xf>
    <xf numFmtId="0" fontId="4" fillId="2" borderId="0" xfId="0" applyFont="1" applyFill="1" applyAlignment="1">
      <alignment horizontal="center" vertical="center"/>
    </xf>
    <xf numFmtId="0" fontId="4" fillId="2" borderId="2" xfId="0" applyFont="1" applyFill="1" applyBorder="1" applyAlignment="1">
      <alignment horizontal="center" vertical="center"/>
    </xf>
    <xf numFmtId="0" fontId="3" fillId="2" borderId="19" xfId="0" applyFont="1" applyFill="1"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2" fillId="0" borderId="0" xfId="0" applyFont="1">
      <alignment vertical="center"/>
    </xf>
    <xf numFmtId="0" fontId="0" fillId="2" borderId="0" xfId="0" applyFill="1">
      <alignment vertical="center"/>
    </xf>
    <xf numFmtId="0" fontId="0" fillId="3" borderId="0" xfId="0" applyFill="1">
      <alignment vertical="center"/>
    </xf>
    <xf numFmtId="0" fontId="0" fillId="4" borderId="0" xfId="0" applyFill="1">
      <alignment vertical="center"/>
    </xf>
    <xf numFmtId="0" fontId="0" fillId="5" borderId="0" xfId="0" applyFill="1">
      <alignment vertical="center"/>
    </xf>
    <xf numFmtId="0" fontId="0" fillId="6" borderId="0" xfId="0" applyFill="1">
      <alignment vertical="center"/>
    </xf>
    <xf numFmtId="0" fontId="3" fillId="2" borderId="2" xfId="0" applyFont="1" applyFill="1" applyBorder="1" applyAlignment="1">
      <alignment horizontal="center" vertical="center"/>
    </xf>
    <xf numFmtId="176" fontId="4" fillId="2" borderId="3" xfId="0" applyNumberFormat="1" applyFont="1" applyFill="1" applyBorder="1" applyAlignment="1">
      <alignment horizontal="center" vertical="center"/>
    </xf>
    <xf numFmtId="0" fontId="3" fillId="2" borderId="4" xfId="0" applyFont="1" applyFill="1" applyBorder="1" applyAlignment="1">
      <alignment horizontal="center" vertical="center"/>
    </xf>
    <xf numFmtId="0" fontId="3" fillId="6" borderId="5" xfId="0" applyFont="1" applyFill="1" applyBorder="1" applyAlignment="1">
      <alignment horizontal="center" vertical="center"/>
    </xf>
    <xf numFmtId="0" fontId="5" fillId="3" borderId="6" xfId="0" applyFont="1" applyFill="1" applyBorder="1" applyAlignment="1">
      <alignment horizontal="left" vertical="center" indent="1"/>
    </xf>
    <xf numFmtId="177" fontId="6" fillId="3" borderId="7" xfId="0" applyNumberFormat="1" applyFont="1" applyFill="1" applyBorder="1" applyAlignment="1">
      <alignment horizontal="right" vertical="center" indent="1"/>
    </xf>
    <xf numFmtId="177" fontId="6" fillId="3" borderId="8" xfId="0" applyNumberFormat="1" applyFont="1" applyFill="1" applyBorder="1" applyAlignment="1">
      <alignment horizontal="right" vertical="center" indent="1"/>
    </xf>
    <xf numFmtId="0" fontId="7" fillId="4" borderId="2" xfId="0" applyFont="1" applyFill="1" applyBorder="1" applyAlignment="1">
      <alignment horizontal="left" vertical="center" indent="3"/>
    </xf>
    <xf numFmtId="177" fontId="8" fillId="0" borderId="0" xfId="0" applyNumberFormat="1" applyFont="1" applyAlignment="1">
      <alignment horizontal="right" vertical="center" indent="1"/>
    </xf>
    <xf numFmtId="177" fontId="8" fillId="0" borderId="9" xfId="0" applyNumberFormat="1" applyFont="1" applyBorder="1" applyAlignment="1">
      <alignment horizontal="right" vertical="center" indent="1"/>
    </xf>
    <xf numFmtId="0" fontId="0" fillId="0" borderId="2" xfId="0" applyBorder="1">
      <alignment vertical="center"/>
    </xf>
    <xf numFmtId="0" fontId="0" fillId="0" borderId="0" xfId="0" applyAlignment="1"/>
    <xf numFmtId="0" fontId="3" fillId="2" borderId="11" xfId="0" applyFont="1" applyFill="1" applyBorder="1" applyAlignment="1">
      <alignment horizontal="center" vertical="center"/>
    </xf>
    <xf numFmtId="0" fontId="4" fillId="2" borderId="11" xfId="0" applyFont="1" applyFill="1" applyBorder="1" applyAlignment="1">
      <alignment horizontal="center" vertical="center"/>
    </xf>
    <xf numFmtId="0" fontId="12" fillId="4" borderId="6" xfId="0" applyFont="1" applyFill="1" applyBorder="1" applyAlignment="1">
      <alignment horizontal="left" vertical="center" indent="3"/>
    </xf>
    <xf numFmtId="176" fontId="8" fillId="0" borderId="6" xfId="0" applyNumberFormat="1" applyFont="1" applyBorder="1" applyAlignment="1">
      <alignment horizontal="right" vertical="center" indent="1"/>
    </xf>
    <xf numFmtId="0" fontId="7" fillId="5" borderId="6" xfId="0" applyFont="1" applyFill="1" applyBorder="1" applyAlignment="1">
      <alignment horizontal="left" vertical="center" indent="2"/>
    </xf>
    <xf numFmtId="177" fontId="8" fillId="5" borderId="6" xfId="0" applyNumberFormat="1" applyFont="1" applyFill="1" applyBorder="1" applyAlignment="1">
      <alignment horizontal="right" vertical="center" indent="1"/>
    </xf>
    <xf numFmtId="177" fontId="8" fillId="0" borderId="2" xfId="0" applyNumberFormat="1" applyFont="1" applyBorder="1" applyAlignment="1">
      <alignment horizontal="right" vertical="center" indent="1"/>
    </xf>
    <xf numFmtId="177" fontId="8" fillId="0" borderId="6" xfId="0" applyNumberFormat="1" applyFont="1" applyBorder="1" applyAlignment="1">
      <alignment horizontal="right" vertical="center" indent="1"/>
    </xf>
    <xf numFmtId="0" fontId="7" fillId="5" borderId="6" xfId="0" applyFont="1" applyFill="1" applyBorder="1" applyAlignment="1">
      <alignment horizontal="left" vertical="center" indent="1"/>
    </xf>
    <xf numFmtId="177" fontId="6" fillId="9" borderId="12" xfId="0" applyNumberFormat="1" applyFont="1" applyFill="1" applyBorder="1" applyAlignment="1">
      <alignment horizontal="right" vertical="center" indent="1"/>
    </xf>
    <xf numFmtId="0" fontId="3" fillId="2" borderId="12" xfId="0" applyFont="1" applyFill="1" applyBorder="1" applyAlignment="1">
      <alignment horizontal="left" vertical="center" indent="1"/>
    </xf>
    <xf numFmtId="177" fontId="0" fillId="0" borderId="0" xfId="0" applyNumberFormat="1">
      <alignment vertical="center"/>
    </xf>
    <xf numFmtId="0" fontId="9" fillId="0" borderId="14" xfId="0" applyFont="1" applyBorder="1">
      <alignment vertical="center"/>
    </xf>
    <xf numFmtId="177" fontId="14" fillId="0" borderId="0" xfId="0" applyNumberFormat="1" applyFont="1">
      <alignment vertical="center"/>
    </xf>
    <xf numFmtId="0" fontId="0" fillId="0" borderId="14" xfId="0" applyBorder="1">
      <alignment vertical="center"/>
    </xf>
    <xf numFmtId="0" fontId="15" fillId="0" borderId="0" xfId="0" applyFont="1" applyAlignment="1">
      <alignment horizontal="right" vertical="center"/>
    </xf>
    <xf numFmtId="0" fontId="3" fillId="8" borderId="16" xfId="0" applyFont="1" applyFill="1" applyBorder="1" applyAlignment="1">
      <alignment horizontal="center" vertical="center" wrapText="1"/>
    </xf>
    <xf numFmtId="0" fontId="5" fillId="3" borderId="7" xfId="0" applyFont="1" applyFill="1" applyBorder="1" applyAlignment="1">
      <alignment horizontal="left" vertical="center" indent="1"/>
    </xf>
    <xf numFmtId="0" fontId="7" fillId="4" borderId="14" xfId="0" applyFont="1" applyFill="1" applyBorder="1" applyAlignment="1">
      <alignment horizontal="left" vertical="center" indent="3"/>
    </xf>
    <xf numFmtId="177" fontId="8" fillId="0" borderId="14" xfId="0" applyNumberFormat="1" applyFont="1" applyBorder="1" applyAlignment="1">
      <alignment horizontal="right" vertical="center" indent="1"/>
    </xf>
    <xf numFmtId="0" fontId="12" fillId="4" borderId="7" xfId="0" applyFont="1" applyFill="1" applyBorder="1" applyAlignment="1">
      <alignment horizontal="left" vertical="center" indent="3"/>
    </xf>
    <xf numFmtId="177" fontId="8" fillId="0" borderId="7" xfId="0" applyNumberFormat="1" applyFont="1" applyBorder="1" applyAlignment="1">
      <alignment horizontal="right" vertical="center" indent="1"/>
    </xf>
    <xf numFmtId="177" fontId="8" fillId="0" borderId="17" xfId="0" applyNumberFormat="1" applyFont="1" applyBorder="1" applyAlignment="1">
      <alignment horizontal="right" vertical="center" indent="1"/>
    </xf>
    <xf numFmtId="0" fontId="3" fillId="2" borderId="7" xfId="0" applyFont="1" applyFill="1" applyBorder="1" applyAlignment="1">
      <alignment horizontal="left" vertical="center" indent="1"/>
    </xf>
    <xf numFmtId="177" fontId="13" fillId="2" borderId="7" xfId="0" applyNumberFormat="1" applyFont="1" applyFill="1" applyBorder="1" applyAlignment="1">
      <alignment horizontal="right" vertical="center" indent="1"/>
    </xf>
    <xf numFmtId="177" fontId="13" fillId="2" borderId="17" xfId="0" applyNumberFormat="1" applyFont="1" applyFill="1" applyBorder="1" applyAlignment="1">
      <alignment horizontal="right" vertical="center" indent="1"/>
    </xf>
    <xf numFmtId="176" fontId="8" fillId="0" borderId="14" xfId="0" applyNumberFormat="1" applyFont="1" applyBorder="1" applyAlignment="1">
      <alignment horizontal="right" vertical="center" indent="1"/>
    </xf>
    <xf numFmtId="177" fontId="8" fillId="0" borderId="18" xfId="0" applyNumberFormat="1" applyFont="1" applyBorder="1" applyAlignment="1">
      <alignment horizontal="right" vertical="center" indent="1"/>
    </xf>
    <xf numFmtId="0" fontId="7" fillId="3" borderId="7" xfId="0" applyFont="1" applyFill="1" applyBorder="1" applyAlignment="1">
      <alignment horizontal="left" vertical="center" indent="1"/>
    </xf>
    <xf numFmtId="177" fontId="8" fillId="3" borderId="20" xfId="0" applyNumberFormat="1" applyFont="1" applyFill="1" applyBorder="1" applyAlignment="1">
      <alignment horizontal="right" vertical="center" indent="1"/>
    </xf>
    <xf numFmtId="177" fontId="8" fillId="0" borderId="20" xfId="0" applyNumberFormat="1" applyFont="1" applyBorder="1" applyAlignment="1">
      <alignment horizontal="right" vertical="center" indent="1"/>
    </xf>
    <xf numFmtId="0" fontId="17" fillId="4" borderId="0" xfId="0" applyFont="1" applyFill="1" applyAlignment="1">
      <alignment horizontal="left" vertical="center" indent="3"/>
    </xf>
    <xf numFmtId="177" fontId="8" fillId="0" borderId="21" xfId="0" applyNumberFormat="1" applyFont="1" applyBorder="1" applyAlignment="1">
      <alignment horizontal="right" vertical="center" indent="1"/>
    </xf>
    <xf numFmtId="177" fontId="8" fillId="0" borderId="22" xfId="0" applyNumberFormat="1" applyFont="1" applyBorder="1" applyAlignment="1">
      <alignment horizontal="right" vertical="center" indent="1"/>
    </xf>
    <xf numFmtId="0" fontId="7" fillId="3" borderId="23" xfId="0" applyFont="1" applyFill="1" applyBorder="1" applyAlignment="1">
      <alignment horizontal="left" vertical="center" indent="1"/>
    </xf>
    <xf numFmtId="0" fontId="7" fillId="3" borderId="14" xfId="0" applyFont="1" applyFill="1" applyBorder="1" applyAlignment="1">
      <alignment horizontal="left" vertical="center" indent="1"/>
    </xf>
    <xf numFmtId="177" fontId="8" fillId="3" borderId="18" xfId="0" applyNumberFormat="1" applyFont="1" applyFill="1" applyBorder="1" applyAlignment="1">
      <alignment horizontal="right" vertical="center" indent="1"/>
    </xf>
    <xf numFmtId="177" fontId="8" fillId="3" borderId="2" xfId="0" applyNumberFormat="1" applyFont="1" applyFill="1" applyBorder="1" applyAlignment="1">
      <alignment horizontal="right" vertical="center" indent="1"/>
    </xf>
    <xf numFmtId="0" fontId="3" fillId="2" borderId="24" xfId="0" applyFont="1" applyFill="1" applyBorder="1" applyAlignment="1">
      <alignment horizontal="left" vertical="center" indent="1"/>
    </xf>
    <xf numFmtId="177" fontId="13" fillId="2" borderId="25" xfId="0" applyNumberFormat="1" applyFont="1" applyFill="1" applyBorder="1" applyAlignment="1">
      <alignment horizontal="right" vertical="center" indent="1"/>
    </xf>
    <xf numFmtId="0" fontId="3" fillId="2" borderId="26" xfId="0" applyFont="1" applyFill="1" applyBorder="1" applyAlignment="1">
      <alignment horizontal="left" vertical="center" indent="1"/>
    </xf>
    <xf numFmtId="177" fontId="13" fillId="2" borderId="11" xfId="0" applyNumberFormat="1" applyFont="1" applyFill="1" applyBorder="1" applyAlignment="1">
      <alignment horizontal="right" vertical="center" indent="1"/>
    </xf>
    <xf numFmtId="177" fontId="0" fillId="0" borderId="14" xfId="0" applyNumberFormat="1" applyBorder="1">
      <alignment vertical="center"/>
    </xf>
    <xf numFmtId="177" fontId="10" fillId="0" borderId="14" xfId="0" applyNumberFormat="1" applyFont="1" applyBorder="1">
      <alignment vertical="center"/>
    </xf>
    <xf numFmtId="0" fontId="3" fillId="2" borderId="18" xfId="0" applyFont="1" applyFill="1" applyBorder="1" applyAlignment="1">
      <alignment horizontal="center" vertical="center"/>
    </xf>
    <xf numFmtId="177" fontId="8" fillId="0" borderId="3" xfId="0" applyNumberFormat="1" applyFont="1" applyBorder="1" applyAlignment="1">
      <alignment horizontal="right" vertical="center" indent="1"/>
    </xf>
    <xf numFmtId="178" fontId="8" fillId="0" borderId="2" xfId="0" applyNumberFormat="1" applyFont="1" applyBorder="1" applyAlignment="1">
      <alignment horizontal="right" vertical="center" indent="1"/>
    </xf>
    <xf numFmtId="0" fontId="7" fillId="4" borderId="0" xfId="0" applyFont="1" applyFill="1" applyAlignment="1">
      <alignment horizontal="left" vertical="center" indent="2"/>
    </xf>
    <xf numFmtId="0" fontId="12" fillId="4" borderId="17" xfId="0" applyFont="1" applyFill="1" applyBorder="1" applyAlignment="1">
      <alignment horizontal="left" vertical="center" indent="2"/>
    </xf>
    <xf numFmtId="178" fontId="8" fillId="0" borderId="6" xfId="0" applyNumberFormat="1" applyFont="1" applyBorder="1" applyAlignment="1">
      <alignment horizontal="right" vertical="center" indent="1"/>
    </xf>
    <xf numFmtId="0" fontId="5" fillId="3" borderId="29" xfId="0" applyFont="1" applyFill="1" applyBorder="1" applyAlignment="1">
      <alignment horizontal="left" vertical="center" indent="1"/>
    </xf>
    <xf numFmtId="177" fontId="6" fillId="3" borderId="6" xfId="0" applyNumberFormat="1" applyFont="1" applyFill="1" applyBorder="1" applyAlignment="1">
      <alignment horizontal="right" vertical="center" indent="1"/>
    </xf>
    <xf numFmtId="178" fontId="6" fillId="3" borderId="6" xfId="0" applyNumberFormat="1" applyFont="1" applyFill="1" applyBorder="1" applyAlignment="1">
      <alignment horizontal="right" vertical="center" indent="1"/>
    </xf>
    <xf numFmtId="0" fontId="7" fillId="4" borderId="0" xfId="0" applyFont="1" applyFill="1" applyAlignment="1">
      <alignment horizontal="left" vertical="center" indent="3"/>
    </xf>
    <xf numFmtId="0" fontId="12" fillId="4" borderId="17" xfId="0" applyFont="1" applyFill="1" applyBorder="1" applyAlignment="1">
      <alignment horizontal="left" vertical="center" indent="3"/>
    </xf>
    <xf numFmtId="0" fontId="18" fillId="4" borderId="17" xfId="0" applyFont="1" applyFill="1" applyBorder="1" applyAlignment="1">
      <alignment horizontal="left" vertical="center" indent="1"/>
    </xf>
    <xf numFmtId="178" fontId="0" fillId="0" borderId="0" xfId="0" applyNumberFormat="1">
      <alignment vertical="center"/>
    </xf>
    <xf numFmtId="178" fontId="0" fillId="0" borderId="14" xfId="0" applyNumberFormat="1" applyBorder="1">
      <alignment vertical="center"/>
    </xf>
    <xf numFmtId="178" fontId="0" fillId="0" borderId="18" xfId="0" applyNumberFormat="1" applyBorder="1">
      <alignment vertical="center"/>
    </xf>
    <xf numFmtId="0" fontId="3" fillId="2" borderId="25" xfId="0" applyFont="1" applyFill="1" applyBorder="1" applyAlignment="1">
      <alignment horizontal="center" vertical="center"/>
    </xf>
    <xf numFmtId="178" fontId="3" fillId="2" borderId="32" xfId="0" applyNumberFormat="1" applyFont="1" applyFill="1" applyBorder="1" applyAlignment="1">
      <alignment horizontal="center" vertical="center"/>
    </xf>
    <xf numFmtId="178" fontId="3" fillId="2" borderId="25" xfId="0" applyNumberFormat="1" applyFont="1" applyFill="1" applyBorder="1" applyAlignment="1">
      <alignment horizontal="center" vertical="center"/>
    </xf>
    <xf numFmtId="0" fontId="3" fillId="8" borderId="25" xfId="0" applyFont="1" applyFill="1" applyBorder="1" applyAlignment="1">
      <alignment horizontal="center" vertical="center"/>
    </xf>
    <xf numFmtId="178" fontId="3" fillId="8" borderId="32" xfId="0" applyNumberFormat="1" applyFont="1" applyFill="1" applyBorder="1" applyAlignment="1">
      <alignment horizontal="center" vertical="center"/>
    </xf>
    <xf numFmtId="176" fontId="19" fillId="5" borderId="18" xfId="0" applyNumberFormat="1" applyFont="1" applyFill="1" applyBorder="1" applyAlignment="1">
      <alignment horizontal="left" vertical="center" indent="1"/>
    </xf>
    <xf numFmtId="0" fontId="7" fillId="10" borderId="26" xfId="0" applyFont="1" applyFill="1" applyBorder="1" applyAlignment="1">
      <alignment horizontal="left" vertical="center" indent="2"/>
    </xf>
    <xf numFmtId="177" fontId="8" fillId="10" borderId="33" xfId="0" applyNumberFormat="1" applyFont="1" applyFill="1" applyBorder="1" applyAlignment="1">
      <alignment horizontal="right" vertical="center" indent="1"/>
    </xf>
    <xf numFmtId="178" fontId="8" fillId="10" borderId="11" xfId="0" applyNumberFormat="1" applyFont="1" applyFill="1" applyBorder="1" applyAlignment="1">
      <alignment horizontal="right" vertical="center" indent="1"/>
    </xf>
    <xf numFmtId="177" fontId="8" fillId="10" borderId="11" xfId="0" applyNumberFormat="1" applyFont="1" applyFill="1" applyBorder="1" applyAlignment="1">
      <alignment horizontal="right" vertical="center" indent="1"/>
    </xf>
    <xf numFmtId="0" fontId="12" fillId="4" borderId="14" xfId="0" applyFont="1" applyFill="1" applyBorder="1" applyAlignment="1">
      <alignment horizontal="left" vertical="center" indent="2"/>
    </xf>
    <xf numFmtId="0" fontId="5" fillId="3" borderId="29" xfId="0" applyFont="1" applyFill="1" applyBorder="1" applyAlignment="1">
      <alignment horizontal="left" vertical="center" indent="3"/>
    </xf>
    <xf numFmtId="177" fontId="6" fillId="3" borderId="20" xfId="0" applyNumberFormat="1" applyFont="1" applyFill="1" applyBorder="1" applyAlignment="1">
      <alignment horizontal="right" vertical="center" indent="1"/>
    </xf>
    <xf numFmtId="0" fontId="5" fillId="3" borderId="29" xfId="0" applyFont="1" applyFill="1" applyBorder="1" applyAlignment="1">
      <alignment horizontal="left" vertical="center" indent="2"/>
    </xf>
    <xf numFmtId="0" fontId="7" fillId="0" borderId="29" xfId="0" applyFont="1" applyBorder="1" applyAlignment="1">
      <alignment horizontal="left" vertical="center" indent="2"/>
    </xf>
    <xf numFmtId="0" fontId="21" fillId="0" borderId="29" xfId="0" applyFont="1" applyBorder="1" applyAlignment="1">
      <alignment horizontal="left" vertical="center" indent="2"/>
    </xf>
    <xf numFmtId="177" fontId="22" fillId="0" borderId="20" xfId="0" applyNumberFormat="1" applyFont="1" applyBorder="1" applyAlignment="1">
      <alignment horizontal="right" vertical="center" indent="1"/>
    </xf>
    <xf numFmtId="178" fontId="22" fillId="0" borderId="6" xfId="0" applyNumberFormat="1" applyFont="1" applyBorder="1" applyAlignment="1">
      <alignment horizontal="right" vertical="center" indent="1"/>
    </xf>
    <xf numFmtId="177" fontId="22" fillId="0" borderId="6" xfId="0" applyNumberFormat="1" applyFont="1" applyBorder="1" applyAlignment="1">
      <alignment horizontal="right" vertical="center" indent="1"/>
    </xf>
    <xf numFmtId="177" fontId="0" fillId="0" borderId="18" xfId="0" applyNumberFormat="1" applyBorder="1">
      <alignment vertical="center"/>
    </xf>
    <xf numFmtId="178" fontId="0" fillId="0" borderId="2" xfId="0" applyNumberFormat="1" applyBorder="1">
      <alignment vertical="center"/>
    </xf>
    <xf numFmtId="177" fontId="0" fillId="0" borderId="2" xfId="0" applyNumberFormat="1" applyBorder="1">
      <alignment vertical="center"/>
    </xf>
    <xf numFmtId="0" fontId="7" fillId="4" borderId="14" xfId="0" applyFont="1" applyFill="1" applyBorder="1" applyAlignment="1">
      <alignment horizontal="left" vertical="center" indent="2"/>
    </xf>
    <xf numFmtId="177" fontId="6" fillId="3" borderId="12" xfId="0" applyNumberFormat="1" applyFont="1" applyFill="1" applyBorder="1" applyAlignment="1">
      <alignment horizontal="right" vertical="center" indent="1"/>
    </xf>
    <xf numFmtId="0" fontId="9" fillId="5" borderId="0" xfId="0" applyFont="1" applyFill="1">
      <alignment vertical="center"/>
    </xf>
    <xf numFmtId="0" fontId="4" fillId="2" borderId="35" xfId="0" applyFont="1" applyFill="1" applyBorder="1">
      <alignment vertical="center"/>
    </xf>
    <xf numFmtId="0" fontId="4" fillId="2" borderId="3" xfId="0" applyFont="1" applyFill="1" applyBorder="1" applyAlignment="1">
      <alignment horizontal="center" vertical="center"/>
    </xf>
    <xf numFmtId="0" fontId="4" fillId="2" borderId="36" xfId="0" applyFont="1" applyFill="1" applyBorder="1" applyAlignment="1">
      <alignment horizontal="center" vertical="center"/>
    </xf>
    <xf numFmtId="0" fontId="7" fillId="4" borderId="34" xfId="0" applyFont="1" applyFill="1" applyBorder="1" applyAlignment="1">
      <alignment horizontal="left" vertical="center" indent="1"/>
    </xf>
    <xf numFmtId="176" fontId="8" fillId="0" borderId="12" xfId="0" applyNumberFormat="1" applyFont="1" applyBorder="1" applyAlignment="1">
      <alignment horizontal="right" vertical="center" indent="1"/>
    </xf>
    <xf numFmtId="176" fontId="8" fillId="0" borderId="34" xfId="0" applyNumberFormat="1" applyFont="1" applyBorder="1" applyAlignment="1">
      <alignment horizontal="right" vertical="center" indent="1"/>
    </xf>
    <xf numFmtId="176" fontId="23" fillId="0" borderId="12" xfId="0" applyNumberFormat="1" applyFont="1" applyBorder="1" applyAlignment="1">
      <alignment horizontal="right" vertical="center" indent="1"/>
    </xf>
    <xf numFmtId="0" fontId="7" fillId="4" borderId="12" xfId="0" applyFont="1" applyFill="1" applyBorder="1" applyAlignment="1">
      <alignment horizontal="left" vertical="center" indent="1"/>
    </xf>
    <xf numFmtId="177" fontId="6" fillId="3" borderId="37" xfId="0" applyNumberFormat="1" applyFont="1" applyFill="1" applyBorder="1" applyAlignment="1">
      <alignment horizontal="right" vertical="center" indent="1"/>
    </xf>
    <xf numFmtId="177" fontId="8" fillId="5" borderId="8" xfId="0" applyNumberFormat="1" applyFont="1" applyFill="1" applyBorder="1" applyAlignment="1">
      <alignment horizontal="right" vertical="center" indent="1"/>
    </xf>
    <xf numFmtId="177" fontId="8" fillId="5" borderId="12" xfId="0" applyNumberFormat="1" applyFont="1" applyFill="1" applyBorder="1" applyAlignment="1">
      <alignment horizontal="right" vertical="center" indent="1"/>
    </xf>
    <xf numFmtId="177" fontId="8" fillId="5" borderId="23" xfId="0" applyNumberFormat="1" applyFont="1" applyFill="1" applyBorder="1" applyAlignment="1">
      <alignment horizontal="right" vertical="center" indent="1"/>
    </xf>
    <xf numFmtId="177" fontId="8" fillId="5" borderId="37" xfId="0" applyNumberFormat="1" applyFont="1" applyFill="1" applyBorder="1" applyAlignment="1">
      <alignment horizontal="right" vertical="center" indent="1"/>
    </xf>
    <xf numFmtId="177" fontId="8" fillId="5" borderId="12" xfId="0" applyNumberFormat="1" applyFont="1" applyFill="1" applyBorder="1" applyAlignment="1">
      <alignment horizontal="right" vertical="center" indent="2"/>
    </xf>
    <xf numFmtId="177" fontId="8" fillId="5" borderId="23" xfId="0" applyNumberFormat="1" applyFont="1" applyFill="1" applyBorder="1" applyAlignment="1">
      <alignment horizontal="right" vertical="center" indent="2"/>
    </xf>
    <xf numFmtId="177" fontId="8" fillId="5" borderId="37" xfId="0" applyNumberFormat="1" applyFont="1" applyFill="1" applyBorder="1" applyAlignment="1">
      <alignment horizontal="right" vertical="center" indent="2"/>
    </xf>
    <xf numFmtId="0" fontId="7" fillId="4" borderId="2" xfId="0" applyFont="1" applyFill="1" applyBorder="1" applyAlignment="1">
      <alignment horizontal="left" vertical="center" indent="1"/>
    </xf>
    <xf numFmtId="0" fontId="5" fillId="9" borderId="12" xfId="0" applyFont="1" applyFill="1" applyBorder="1" applyAlignment="1">
      <alignment horizontal="left" vertical="center" indent="1"/>
    </xf>
    <xf numFmtId="177" fontId="6" fillId="9" borderId="37" xfId="0" applyNumberFormat="1" applyFont="1" applyFill="1" applyBorder="1" applyAlignment="1">
      <alignment horizontal="right" vertical="center" indent="1"/>
    </xf>
    <xf numFmtId="0" fontId="12" fillId="4" borderId="38" xfId="0" applyFont="1" applyFill="1" applyBorder="1" applyAlignment="1">
      <alignment horizontal="left" vertical="center" indent="1"/>
    </xf>
    <xf numFmtId="177" fontId="8" fillId="5" borderId="39" xfId="0" applyNumberFormat="1" applyFont="1" applyFill="1" applyBorder="1" applyAlignment="1">
      <alignment horizontal="right" vertical="center" indent="1"/>
    </xf>
    <xf numFmtId="177" fontId="8" fillId="5" borderId="40" xfId="0" applyNumberFormat="1" applyFont="1" applyFill="1" applyBorder="1" applyAlignment="1">
      <alignment horizontal="right" vertical="center" indent="1"/>
    </xf>
    <xf numFmtId="177" fontId="8" fillId="0" borderId="41" xfId="0" applyNumberFormat="1" applyFont="1" applyBorder="1" applyAlignment="1">
      <alignment horizontal="right" vertical="center" indent="1"/>
    </xf>
    <xf numFmtId="177" fontId="8" fillId="5" borderId="0" xfId="0" applyNumberFormat="1" applyFont="1" applyFill="1" applyAlignment="1">
      <alignment horizontal="right" vertical="center" indent="1"/>
    </xf>
    <xf numFmtId="0" fontId="12" fillId="4" borderId="6" xfId="0" applyFont="1" applyFill="1" applyBorder="1" applyAlignment="1">
      <alignment horizontal="left" vertical="center" indent="1"/>
    </xf>
    <xf numFmtId="177" fontId="8" fillId="5" borderId="17" xfId="0" applyNumberFormat="1" applyFont="1" applyFill="1" applyBorder="1" applyAlignment="1">
      <alignment horizontal="right" vertical="center" indent="1"/>
    </xf>
    <xf numFmtId="177" fontId="8" fillId="0" borderId="8" xfId="0" applyNumberFormat="1" applyFont="1" applyBorder="1" applyAlignment="1">
      <alignment horizontal="right" vertical="center" indent="1"/>
    </xf>
    <xf numFmtId="0" fontId="5" fillId="9" borderId="6" xfId="0" applyFont="1" applyFill="1" applyBorder="1" applyAlignment="1">
      <alignment horizontal="left" vertical="center" indent="1"/>
    </xf>
    <xf numFmtId="177" fontId="6" fillId="9" borderId="17" xfId="0" applyNumberFormat="1" applyFont="1" applyFill="1" applyBorder="1" applyAlignment="1">
      <alignment horizontal="right" vertical="center" indent="1"/>
    </xf>
    <xf numFmtId="177" fontId="6" fillId="9" borderId="9" xfId="0" applyNumberFormat="1" applyFont="1" applyFill="1" applyBorder="1" applyAlignment="1">
      <alignment horizontal="right" vertical="center" indent="1"/>
    </xf>
    <xf numFmtId="177" fontId="13" fillId="2" borderId="12" xfId="0" applyNumberFormat="1" applyFont="1" applyFill="1" applyBorder="1" applyAlignment="1">
      <alignment horizontal="right" vertical="center" indent="1"/>
    </xf>
    <xf numFmtId="177" fontId="13" fillId="2" borderId="42" xfId="0" applyNumberFormat="1" applyFont="1" applyFill="1" applyBorder="1" applyAlignment="1">
      <alignment horizontal="right" vertical="center" indent="1"/>
    </xf>
    <xf numFmtId="177" fontId="24" fillId="0" borderId="0" xfId="0" applyNumberFormat="1" applyFont="1">
      <alignment vertical="center"/>
    </xf>
    <xf numFmtId="176" fontId="24" fillId="0" borderId="0" xfId="0" applyNumberFormat="1" applyFont="1">
      <alignment vertical="center"/>
    </xf>
    <xf numFmtId="0" fontId="24" fillId="0" borderId="0" xfId="0" applyFont="1">
      <alignment vertical="center"/>
    </xf>
    <xf numFmtId="0" fontId="3" fillId="2" borderId="43" xfId="0" applyFont="1" applyFill="1" applyBorder="1" applyAlignment="1">
      <alignment horizontal="center" vertical="center"/>
    </xf>
    <xf numFmtId="0" fontId="3" fillId="2" borderId="0" xfId="0" applyFont="1" applyFill="1" applyAlignment="1">
      <alignment horizontal="center" vertical="center"/>
    </xf>
    <xf numFmtId="0" fontId="7" fillId="4" borderId="3" xfId="0" applyFont="1" applyFill="1" applyBorder="1" applyAlignment="1">
      <alignment horizontal="left" vertical="center" indent="1"/>
    </xf>
    <xf numFmtId="0" fontId="26" fillId="5" borderId="23" xfId="0" applyFont="1" applyFill="1" applyBorder="1" applyAlignment="1">
      <alignment horizontal="left" vertical="center" indent="1"/>
    </xf>
    <xf numFmtId="177" fontId="8" fillId="0" borderId="12" xfId="0" applyNumberFormat="1" applyFont="1" applyBorder="1" applyAlignment="1">
      <alignment horizontal="right" vertical="center" indent="1"/>
    </xf>
    <xf numFmtId="0" fontId="27" fillId="5" borderId="23" xfId="0" applyFont="1" applyFill="1" applyBorder="1" applyAlignment="1">
      <alignment horizontal="left" vertical="center" wrapText="1" indent="1"/>
    </xf>
    <xf numFmtId="0" fontId="12" fillId="4" borderId="44" xfId="0" applyFont="1" applyFill="1" applyBorder="1" applyAlignment="1">
      <alignment horizontal="left" vertical="center" indent="1"/>
    </xf>
    <xf numFmtId="177" fontId="8" fillId="0" borderId="44" xfId="0" applyNumberFormat="1" applyFont="1" applyBorder="1" applyAlignment="1">
      <alignment horizontal="right" vertical="center" indent="1"/>
    </xf>
    <xf numFmtId="0" fontId="27" fillId="5" borderId="45" xfId="0" applyFont="1" applyFill="1" applyBorder="1" applyAlignment="1">
      <alignment horizontal="left" vertical="center" indent="1"/>
    </xf>
    <xf numFmtId="0" fontId="5" fillId="9" borderId="46" xfId="0" applyFont="1" applyFill="1" applyBorder="1" applyAlignment="1">
      <alignment horizontal="left" vertical="center" indent="1"/>
    </xf>
    <xf numFmtId="177" fontId="28" fillId="9" borderId="46" xfId="0" applyNumberFormat="1" applyFont="1" applyFill="1" applyBorder="1" applyAlignment="1">
      <alignment horizontal="right" vertical="center" indent="1"/>
    </xf>
    <xf numFmtId="0" fontId="29" fillId="9" borderId="47" xfId="0" applyFont="1" applyFill="1" applyBorder="1" applyAlignment="1">
      <alignment horizontal="left" vertical="center" indent="1"/>
    </xf>
    <xf numFmtId="0" fontId="3" fillId="2" borderId="48" xfId="0" applyFont="1" applyFill="1" applyBorder="1" applyAlignment="1">
      <alignment horizontal="center" vertical="center"/>
    </xf>
    <xf numFmtId="0" fontId="3" fillId="2" borderId="49" xfId="0" applyFont="1" applyFill="1" applyBorder="1" applyAlignment="1">
      <alignment horizontal="center" vertical="center"/>
    </xf>
    <xf numFmtId="0" fontId="7" fillId="4" borderId="29" xfId="0" applyFont="1" applyFill="1" applyBorder="1" applyAlignment="1">
      <alignment horizontal="left" vertical="center" indent="1"/>
    </xf>
    <xf numFmtId="177" fontId="8" fillId="0" borderId="29" xfId="0" applyNumberFormat="1" applyFont="1" applyBorder="1" applyAlignment="1">
      <alignment horizontal="right" vertical="center" indent="1"/>
    </xf>
    <xf numFmtId="0" fontId="26" fillId="5" borderId="29" xfId="0" applyFont="1" applyFill="1" applyBorder="1" applyAlignment="1">
      <alignment horizontal="left" vertical="center" wrapText="1" indent="1"/>
    </xf>
    <xf numFmtId="0" fontId="26" fillId="5" borderId="29" xfId="0" applyFont="1" applyFill="1" applyBorder="1" applyAlignment="1">
      <alignment horizontal="left" vertical="center" indent="1"/>
    </xf>
    <xf numFmtId="0" fontId="8" fillId="4" borderId="0" xfId="0" applyFont="1" applyFill="1" applyAlignment="1">
      <alignment horizontal="left" vertical="center" indent="1"/>
    </xf>
    <xf numFmtId="0" fontId="27" fillId="5" borderId="0" xfId="0" applyFont="1" applyFill="1" applyAlignment="1">
      <alignment horizontal="left" vertical="center" indent="1"/>
    </xf>
    <xf numFmtId="0" fontId="8" fillId="4" borderId="50" xfId="0" applyFont="1" applyFill="1" applyBorder="1" applyAlignment="1">
      <alignment horizontal="left" vertical="center" indent="1"/>
    </xf>
    <xf numFmtId="177" fontId="8" fillId="0" borderId="50" xfId="0" applyNumberFormat="1" applyFont="1" applyBorder="1" applyAlignment="1">
      <alignment horizontal="right" vertical="center" indent="1"/>
    </xf>
    <xf numFmtId="0" fontId="27" fillId="5" borderId="50" xfId="0" applyFont="1" applyFill="1" applyBorder="1" applyAlignment="1">
      <alignment horizontal="left" vertical="center" wrapText="1" indent="1"/>
    </xf>
    <xf numFmtId="177" fontId="28" fillId="9" borderId="0" xfId="0" applyNumberFormat="1" applyFont="1" applyFill="1" applyAlignment="1">
      <alignment horizontal="right" vertical="center" indent="1"/>
    </xf>
    <xf numFmtId="0" fontId="27" fillId="9" borderId="0" xfId="0" applyFont="1" applyFill="1" applyAlignment="1">
      <alignment horizontal="left" vertical="center" indent="1"/>
    </xf>
    <xf numFmtId="0" fontId="7" fillId="4" borderId="44" xfId="0" applyFont="1" applyFill="1" applyBorder="1" applyAlignment="1">
      <alignment horizontal="left" vertical="center" indent="1"/>
    </xf>
    <xf numFmtId="179" fontId="8" fillId="0" borderId="3" xfId="0" applyNumberFormat="1" applyFont="1" applyBorder="1" applyAlignment="1">
      <alignment horizontal="right" vertical="center" indent="1"/>
    </xf>
    <xf numFmtId="179" fontId="8" fillId="0" borderId="12" xfId="0" applyNumberFormat="1" applyFont="1" applyBorder="1" applyAlignment="1">
      <alignment horizontal="right" vertical="center" indent="1"/>
    </xf>
    <xf numFmtId="179" fontId="8" fillId="0" borderId="44" xfId="0" applyNumberFormat="1" applyFont="1" applyBorder="1" applyAlignment="1">
      <alignment horizontal="right" vertical="center" indent="1"/>
    </xf>
    <xf numFmtId="179" fontId="28" fillId="9" borderId="46" xfId="0" applyNumberFormat="1" applyFont="1" applyFill="1" applyBorder="1" applyAlignment="1">
      <alignment horizontal="right" vertical="center" indent="1"/>
    </xf>
    <xf numFmtId="0" fontId="5" fillId="3" borderId="46" xfId="0" applyFont="1" applyFill="1" applyBorder="1" applyAlignment="1">
      <alignment horizontal="left" vertical="center" indent="1"/>
    </xf>
    <xf numFmtId="0" fontId="3" fillId="2" borderId="51" xfId="0" applyFont="1" applyFill="1" applyBorder="1" applyAlignment="1">
      <alignment horizontal="center" vertical="center"/>
    </xf>
    <xf numFmtId="180" fontId="18" fillId="5" borderId="3" xfId="0" applyNumberFormat="1" applyFont="1" applyFill="1" applyBorder="1" applyAlignment="1">
      <alignment horizontal="right" vertical="center" indent="1"/>
    </xf>
    <xf numFmtId="180" fontId="18" fillId="5" borderId="12" xfId="0" applyNumberFormat="1" applyFont="1" applyFill="1" applyBorder="1" applyAlignment="1">
      <alignment horizontal="right" vertical="center" indent="1"/>
    </xf>
    <xf numFmtId="180" fontId="18" fillId="5" borderId="2" xfId="0" applyNumberFormat="1" applyFont="1" applyFill="1" applyBorder="1" applyAlignment="1">
      <alignment horizontal="right" vertical="center" indent="1"/>
    </xf>
    <xf numFmtId="180" fontId="18" fillId="5" borderId="44" xfId="0" applyNumberFormat="1" applyFont="1" applyFill="1" applyBorder="1" applyAlignment="1">
      <alignment horizontal="right" vertical="center" indent="1"/>
    </xf>
    <xf numFmtId="0" fontId="18" fillId="9" borderId="46" xfId="0" applyFont="1" applyFill="1" applyBorder="1" applyAlignment="1">
      <alignment horizontal="right" vertical="center" indent="1"/>
    </xf>
    <xf numFmtId="0" fontId="4" fillId="2" borderId="53" xfId="0" applyFont="1" applyFill="1" applyBorder="1" applyAlignment="1">
      <alignment horizontal="center" vertical="center"/>
    </xf>
    <xf numFmtId="0" fontId="3" fillId="2" borderId="54" xfId="0" applyFont="1" applyFill="1" applyBorder="1" applyAlignment="1">
      <alignment horizontal="center" vertical="center"/>
    </xf>
    <xf numFmtId="0" fontId="5" fillId="3" borderId="17" xfId="0" applyFont="1" applyFill="1" applyBorder="1" applyAlignment="1">
      <alignment horizontal="left" vertical="center" indent="1"/>
    </xf>
    <xf numFmtId="177" fontId="6" fillId="3" borderId="23" xfId="0" applyNumberFormat="1" applyFont="1" applyFill="1" applyBorder="1" applyAlignment="1">
      <alignment horizontal="right" vertical="center" indent="1"/>
    </xf>
    <xf numFmtId="0" fontId="3" fillId="2" borderId="17" xfId="0" applyFont="1" applyFill="1" applyBorder="1" applyAlignment="1">
      <alignment horizontal="left" vertical="center" indent="1"/>
    </xf>
    <xf numFmtId="177" fontId="13" fillId="2" borderId="6" xfId="0" applyNumberFormat="1" applyFont="1" applyFill="1" applyBorder="1" applyAlignment="1">
      <alignment horizontal="right" vertical="center" indent="1"/>
    </xf>
    <xf numFmtId="177" fontId="13" fillId="2" borderId="55" xfId="0" applyNumberFormat="1" applyFont="1" applyFill="1" applyBorder="1" applyAlignment="1">
      <alignment horizontal="right" vertical="center" indent="1"/>
    </xf>
    <xf numFmtId="0" fontId="7" fillId="4" borderId="0" xfId="0" applyFont="1" applyFill="1" applyAlignment="1">
      <alignment horizontal="left" vertical="center" indent="1"/>
    </xf>
    <xf numFmtId="0" fontId="12" fillId="4" borderId="17" xfId="0" applyFont="1" applyFill="1" applyBorder="1" applyAlignment="1">
      <alignment horizontal="left" vertical="center" indent="1"/>
    </xf>
    <xf numFmtId="0" fontId="12" fillId="4" borderId="36" xfId="0" applyFont="1" applyFill="1" applyBorder="1" applyAlignment="1">
      <alignment horizontal="left" vertical="center" indent="1"/>
    </xf>
    <xf numFmtId="0" fontId="3" fillId="2" borderId="27" xfId="0" applyFont="1" applyFill="1" applyBorder="1" applyAlignment="1">
      <alignment horizontal="left" vertical="center" indent="1"/>
    </xf>
    <xf numFmtId="177" fontId="13" fillId="2" borderId="10" xfId="0" applyNumberFormat="1" applyFont="1" applyFill="1" applyBorder="1" applyAlignment="1">
      <alignment horizontal="right" vertical="center" indent="1"/>
    </xf>
    <xf numFmtId="177" fontId="13" fillId="2" borderId="58" xfId="0" applyNumberFormat="1" applyFont="1" applyFill="1" applyBorder="1" applyAlignment="1">
      <alignment horizontal="right" vertical="center" indent="1"/>
    </xf>
    <xf numFmtId="0" fontId="3" fillId="2" borderId="59" xfId="0" applyFont="1" applyFill="1" applyBorder="1" applyAlignment="1">
      <alignment horizontal="left" vertical="center" indent="1"/>
    </xf>
    <xf numFmtId="177" fontId="13" fillId="2" borderId="26" xfId="0" applyNumberFormat="1" applyFont="1" applyFill="1" applyBorder="1" applyAlignment="1">
      <alignment horizontal="right" vertical="center" indent="1"/>
    </xf>
    <xf numFmtId="177" fontId="13" fillId="2" borderId="60" xfId="0" applyNumberFormat="1" applyFont="1" applyFill="1" applyBorder="1" applyAlignment="1">
      <alignment horizontal="right" vertical="center" indent="1"/>
    </xf>
    <xf numFmtId="177" fontId="3" fillId="2" borderId="12" xfId="0" applyNumberFormat="1" applyFont="1" applyFill="1" applyBorder="1" applyAlignment="1">
      <alignment horizontal="center" vertical="center"/>
    </xf>
    <xf numFmtId="177" fontId="8" fillId="5" borderId="3" xfId="0" applyNumberFormat="1" applyFont="1" applyFill="1" applyBorder="1" applyAlignment="1">
      <alignment horizontal="right" vertical="center" indent="1"/>
    </xf>
    <xf numFmtId="177" fontId="7" fillId="5" borderId="3" xfId="0" applyNumberFormat="1" applyFont="1" applyFill="1" applyBorder="1" applyAlignment="1">
      <alignment horizontal="right" vertical="center" indent="1"/>
    </xf>
    <xf numFmtId="177" fontId="8" fillId="9" borderId="3" xfId="0" applyNumberFormat="1" applyFont="1" applyFill="1" applyBorder="1" applyAlignment="1">
      <alignment horizontal="right" vertical="center" indent="1"/>
    </xf>
    <xf numFmtId="177" fontId="8" fillId="5" borderId="38" xfId="0" applyNumberFormat="1" applyFont="1" applyFill="1" applyBorder="1" applyAlignment="1">
      <alignment horizontal="right" vertical="center" indent="1"/>
    </xf>
    <xf numFmtId="0" fontId="2" fillId="0" borderId="0" xfId="0" applyFont="1" applyAlignment="1"/>
    <xf numFmtId="177" fontId="8" fillId="3" borderId="3" xfId="0" applyNumberFormat="1" applyFont="1" applyFill="1" applyBorder="1" applyAlignment="1">
      <alignment horizontal="right" vertical="center" indent="1"/>
    </xf>
    <xf numFmtId="177" fontId="8" fillId="9" borderId="2" xfId="0" applyNumberFormat="1" applyFont="1" applyFill="1" applyBorder="1" applyAlignment="1">
      <alignment horizontal="right" vertical="center" indent="1"/>
    </xf>
    <xf numFmtId="0" fontId="4" fillId="2" borderId="19" xfId="0" applyFont="1" applyFill="1" applyBorder="1" applyAlignment="1">
      <alignment horizontal="center" vertical="center"/>
    </xf>
    <xf numFmtId="181" fontId="12" fillId="4" borderId="3" xfId="0" applyNumberFormat="1" applyFont="1" applyFill="1" applyBorder="1" applyAlignment="1">
      <alignment horizontal="left" vertical="center" indent="1"/>
    </xf>
    <xf numFmtId="177" fontId="12" fillId="4" borderId="3" xfId="0" applyNumberFormat="1" applyFont="1" applyFill="1" applyBorder="1" applyAlignment="1">
      <alignment horizontal="left" vertical="center" indent="1"/>
    </xf>
    <xf numFmtId="180" fontId="7" fillId="5" borderId="3" xfId="0" applyNumberFormat="1" applyFont="1" applyFill="1" applyBorder="1" applyAlignment="1">
      <alignment horizontal="center" vertical="center"/>
    </xf>
    <xf numFmtId="0" fontId="27" fillId="5" borderId="39" xfId="0" applyFont="1" applyFill="1" applyBorder="1" applyAlignment="1">
      <alignment horizontal="left" vertical="center" indent="1"/>
    </xf>
    <xf numFmtId="180" fontId="7" fillId="5" borderId="12" xfId="0" applyNumberFormat="1" applyFont="1" applyFill="1" applyBorder="1" applyAlignment="1">
      <alignment horizontal="center" vertical="center"/>
    </xf>
    <xf numFmtId="177" fontId="30" fillId="0" borderId="12" xfId="0" applyNumberFormat="1" applyFont="1" applyBorder="1" applyAlignment="1">
      <alignment horizontal="right" vertical="center" indent="1"/>
    </xf>
    <xf numFmtId="180" fontId="12" fillId="5" borderId="44" xfId="0" applyNumberFormat="1" applyFont="1" applyFill="1" applyBorder="1" applyAlignment="1">
      <alignment horizontal="center" vertical="center"/>
    </xf>
    <xf numFmtId="0" fontId="12" fillId="9" borderId="46" xfId="0" applyFont="1" applyFill="1" applyBorder="1" applyAlignment="1">
      <alignment horizontal="right" vertical="center" indent="1"/>
    </xf>
    <xf numFmtId="0" fontId="2" fillId="9" borderId="47" xfId="0" applyFont="1" applyFill="1" applyBorder="1" applyAlignment="1">
      <alignment horizontal="left" vertical="center" indent="1"/>
    </xf>
    <xf numFmtId="177" fontId="12" fillId="5" borderId="12" xfId="0" applyNumberFormat="1" applyFont="1" applyFill="1" applyBorder="1" applyAlignment="1">
      <alignment horizontal="right" vertical="center" indent="1"/>
    </xf>
    <xf numFmtId="177" fontId="12" fillId="4" borderId="2" xfId="0" applyNumberFormat="1" applyFont="1" applyFill="1" applyBorder="1" applyAlignment="1">
      <alignment horizontal="left" vertical="center" indent="1"/>
    </xf>
    <xf numFmtId="177" fontId="12" fillId="5" borderId="2" xfId="0" applyNumberFormat="1" applyFont="1" applyFill="1" applyBorder="1" applyAlignment="1">
      <alignment horizontal="right" vertical="center" indent="1"/>
    </xf>
    <xf numFmtId="177" fontId="31" fillId="9" borderId="46" xfId="0" applyNumberFormat="1" applyFont="1" applyFill="1" applyBorder="1" applyAlignment="1">
      <alignment horizontal="right" vertical="center" indent="1"/>
    </xf>
    <xf numFmtId="177" fontId="31" fillId="9" borderId="62" xfId="0" applyNumberFormat="1" applyFont="1" applyFill="1" applyBorder="1" applyAlignment="1">
      <alignment horizontal="right" vertical="center" indent="1"/>
    </xf>
    <xf numFmtId="0" fontId="3" fillId="2" borderId="24" xfId="0" applyFont="1" applyFill="1" applyBorder="1" applyAlignment="1">
      <alignment horizontal="center" vertical="center"/>
    </xf>
    <xf numFmtId="0" fontId="3" fillId="6" borderId="63" xfId="0" applyFont="1" applyFill="1" applyBorder="1" applyAlignment="1">
      <alignment horizontal="center" vertical="center"/>
    </xf>
    <xf numFmtId="0" fontId="3" fillId="8" borderId="24" xfId="0" applyFont="1" applyFill="1" applyBorder="1" applyAlignment="1">
      <alignment horizontal="center" vertical="center"/>
    </xf>
    <xf numFmtId="177" fontId="6" fillId="3" borderId="42" xfId="0" applyNumberFormat="1" applyFont="1" applyFill="1" applyBorder="1" applyAlignment="1">
      <alignment horizontal="right" vertical="center" indent="1"/>
    </xf>
    <xf numFmtId="177" fontId="6" fillId="3" borderId="41" xfId="0" applyNumberFormat="1" applyFont="1" applyFill="1" applyBorder="1" applyAlignment="1">
      <alignment horizontal="right" vertical="center" indent="1"/>
    </xf>
    <xf numFmtId="177" fontId="22" fillId="0" borderId="17" xfId="0" applyNumberFormat="1" applyFont="1" applyBorder="1" applyAlignment="1">
      <alignment horizontal="right" vertical="center" indent="1"/>
    </xf>
    <xf numFmtId="177" fontId="22" fillId="0" borderId="9" xfId="0" applyNumberFormat="1" applyFont="1" applyBorder="1" applyAlignment="1">
      <alignment horizontal="right" vertical="center" indent="1"/>
    </xf>
    <xf numFmtId="0" fontId="7" fillId="4" borderId="65" xfId="0" applyFont="1" applyFill="1" applyBorder="1" applyAlignment="1">
      <alignment horizontal="left" vertical="center" indent="1"/>
    </xf>
    <xf numFmtId="0" fontId="12" fillId="4" borderId="65" xfId="0" applyFont="1" applyFill="1" applyBorder="1" applyAlignment="1">
      <alignment horizontal="left" vertical="center" indent="1"/>
    </xf>
    <xf numFmtId="0" fontId="4" fillId="2" borderId="43" xfId="0" applyFont="1" applyFill="1" applyBorder="1" applyAlignment="1">
      <alignment horizontal="center" vertical="center"/>
    </xf>
    <xf numFmtId="0" fontId="7" fillId="0" borderId="3" xfId="0" applyFont="1" applyBorder="1" applyAlignment="1">
      <alignment horizontal="left" vertical="center" indent="1"/>
    </xf>
    <xf numFmtId="182" fontId="8" fillId="0" borderId="3" xfId="0" applyNumberFormat="1" applyFont="1" applyBorder="1" applyAlignment="1">
      <alignment horizontal="right" vertical="center" indent="1"/>
    </xf>
    <xf numFmtId="0" fontId="7" fillId="0" borderId="34" xfId="0" applyFont="1" applyBorder="1" applyAlignment="1">
      <alignment horizontal="left" vertical="center" indent="1"/>
    </xf>
    <xf numFmtId="182" fontId="8" fillId="0" borderId="12" xfId="0" applyNumberFormat="1" applyFont="1" applyBorder="1" applyAlignment="1">
      <alignment horizontal="right" vertical="center" indent="1"/>
    </xf>
    <xf numFmtId="0" fontId="12" fillId="0" borderId="34" xfId="0" applyFont="1" applyBorder="1" applyAlignment="1">
      <alignment horizontal="left" vertical="center" indent="1"/>
    </xf>
    <xf numFmtId="0" fontId="7" fillId="0" borderId="18" xfId="0" applyFont="1" applyBorder="1" applyAlignment="1">
      <alignment horizontal="left" vertical="center" indent="1"/>
    </xf>
    <xf numFmtId="182" fontId="8" fillId="0" borderId="2" xfId="0" applyNumberFormat="1" applyFont="1" applyBorder="1" applyAlignment="1">
      <alignment horizontal="right" vertical="center" indent="1"/>
    </xf>
    <xf numFmtId="0" fontId="18" fillId="9" borderId="67" xfId="0" applyFont="1" applyFill="1" applyBorder="1" applyAlignment="1">
      <alignment horizontal="left" vertical="center" indent="1"/>
    </xf>
    <xf numFmtId="0" fontId="5" fillId="9" borderId="67" xfId="0" applyFont="1" applyFill="1" applyBorder="1" applyAlignment="1">
      <alignment horizontal="right" vertical="center" indent="1"/>
    </xf>
    <xf numFmtId="182" fontId="28" fillId="9" borderId="67" xfId="0" applyNumberFormat="1" applyFont="1" applyFill="1" applyBorder="1" applyAlignment="1">
      <alignment horizontal="right" vertical="center" indent="1"/>
    </xf>
    <xf numFmtId="0" fontId="18" fillId="9" borderId="33" xfId="0" applyFont="1" applyFill="1" applyBorder="1" applyAlignment="1">
      <alignment horizontal="left" vertical="center" indent="1"/>
    </xf>
    <xf numFmtId="0" fontId="5" fillId="9" borderId="33" xfId="0" applyFont="1" applyFill="1" applyBorder="1" applyAlignment="1">
      <alignment horizontal="right" vertical="center" indent="1"/>
    </xf>
    <xf numFmtId="182" fontId="28" fillId="9" borderId="0" xfId="0" applyNumberFormat="1" applyFont="1" applyFill="1" applyAlignment="1">
      <alignment horizontal="right" vertical="center" indent="1"/>
    </xf>
    <xf numFmtId="0" fontId="15" fillId="0" borderId="0" xfId="0" applyFont="1">
      <alignment vertical="center"/>
    </xf>
    <xf numFmtId="183" fontId="7" fillId="0" borderId="65" xfId="0" applyNumberFormat="1" applyFont="1" applyBorder="1" applyAlignment="1">
      <alignment horizontal="left" vertical="center" indent="1"/>
    </xf>
    <xf numFmtId="183" fontId="7" fillId="0" borderId="6" xfId="0" applyNumberFormat="1" applyFont="1" applyBorder="1" applyAlignment="1">
      <alignment horizontal="left" vertical="center" indent="1"/>
    </xf>
    <xf numFmtId="183" fontId="7" fillId="0" borderId="6" xfId="0" applyNumberFormat="1" applyFont="1" applyBorder="1" applyAlignment="1">
      <alignment horizontal="left" vertical="center" wrapText="1" indent="1"/>
    </xf>
    <xf numFmtId="183" fontId="12" fillId="0" borderId="6" xfId="0" applyNumberFormat="1" applyFont="1" applyBorder="1" applyAlignment="1">
      <alignment horizontal="left" vertical="center" indent="1"/>
    </xf>
    <xf numFmtId="0" fontId="34" fillId="2" borderId="19" xfId="0" applyFont="1" applyFill="1" applyBorder="1" applyAlignment="1">
      <alignment horizontal="center" vertical="center"/>
    </xf>
    <xf numFmtId="0" fontId="34" fillId="2" borderId="43" xfId="0" applyFont="1" applyFill="1" applyBorder="1" applyAlignment="1">
      <alignment horizontal="center" vertical="center"/>
    </xf>
    <xf numFmtId="0" fontId="35" fillId="0" borderId="0" xfId="0" applyFont="1">
      <alignment vertical="center"/>
    </xf>
    <xf numFmtId="0" fontId="36" fillId="0" borderId="0" xfId="0" applyFont="1">
      <alignment vertical="center"/>
    </xf>
    <xf numFmtId="0" fontId="12" fillId="4" borderId="20" xfId="0" applyFont="1" applyFill="1" applyBorder="1" applyAlignment="1">
      <alignment horizontal="left" vertical="center" indent="2"/>
    </xf>
    <xf numFmtId="0" fontId="12" fillId="4" borderId="18" xfId="0" applyFont="1" applyFill="1" applyBorder="1" applyAlignment="1">
      <alignment horizontal="left" vertical="center" indent="1"/>
    </xf>
    <xf numFmtId="0" fontId="37" fillId="0" borderId="0" xfId="0" applyFont="1">
      <alignment vertical="center"/>
    </xf>
    <xf numFmtId="0" fontId="15" fillId="0" borderId="70" xfId="0" applyFont="1" applyBorder="1">
      <alignment vertical="center"/>
    </xf>
    <xf numFmtId="0" fontId="38" fillId="0" borderId="0" xfId="0" applyFont="1">
      <alignment vertical="center"/>
    </xf>
    <xf numFmtId="177" fontId="38" fillId="0" borderId="0" xfId="0" applyNumberFormat="1" applyFont="1" applyAlignment="1">
      <alignment horizontal="center" vertical="center"/>
    </xf>
    <xf numFmtId="177" fontId="38" fillId="0" borderId="0" xfId="0" applyNumberFormat="1" applyFont="1">
      <alignment vertical="center"/>
    </xf>
    <xf numFmtId="0" fontId="38" fillId="0" borderId="0" xfId="0" applyFont="1" applyAlignment="1">
      <alignment horizontal="center" vertical="center"/>
    </xf>
    <xf numFmtId="183" fontId="12" fillId="0" borderId="72" xfId="0" applyNumberFormat="1" applyFont="1" applyBorder="1" applyAlignment="1">
      <alignment horizontal="right" vertical="center" indent="1"/>
    </xf>
    <xf numFmtId="183" fontId="12" fillId="0" borderId="2" xfId="0" applyNumberFormat="1" applyFont="1" applyBorder="1" applyAlignment="1">
      <alignment horizontal="right" vertical="center" indent="1"/>
    </xf>
    <xf numFmtId="183" fontId="12" fillId="0" borderId="0" xfId="0" applyNumberFormat="1" applyFont="1" applyAlignment="1">
      <alignment horizontal="right" vertical="center" indent="1"/>
    </xf>
    <xf numFmtId="176" fontId="15" fillId="0" borderId="0" xfId="0" applyNumberFormat="1" applyFont="1">
      <alignment vertical="center"/>
    </xf>
    <xf numFmtId="0" fontId="12" fillId="4" borderId="6" xfId="0" applyFont="1" applyFill="1" applyBorder="1" applyAlignment="1">
      <alignment horizontal="center" vertical="center"/>
    </xf>
    <xf numFmtId="176" fontId="8" fillId="0" borderId="6" xfId="0" applyNumberFormat="1" applyFont="1" applyBorder="1">
      <alignment vertical="center"/>
    </xf>
    <xf numFmtId="0" fontId="12" fillId="4" borderId="20" xfId="0" applyFont="1" applyFill="1" applyBorder="1" applyAlignment="1">
      <alignment horizontal="center" vertical="center"/>
    </xf>
    <xf numFmtId="0" fontId="12" fillId="5" borderId="7" xfId="0" applyFont="1" applyFill="1" applyBorder="1" applyAlignment="1">
      <alignment horizontal="left" vertical="center" indent="1"/>
    </xf>
    <xf numFmtId="0" fontId="12" fillId="4" borderId="65" xfId="0" applyFont="1" applyFill="1" applyBorder="1" applyAlignment="1">
      <alignment horizontal="center" vertical="center"/>
    </xf>
    <xf numFmtId="0" fontId="18" fillId="4" borderId="65" xfId="0" applyFont="1" applyFill="1" applyBorder="1" applyAlignment="1">
      <alignment horizontal="left" vertical="center" indent="1"/>
    </xf>
    <xf numFmtId="0" fontId="7" fillId="5" borderId="7" xfId="0" applyFont="1" applyFill="1" applyBorder="1" applyAlignment="1">
      <alignment horizontal="left" vertical="center" indent="1"/>
    </xf>
    <xf numFmtId="0" fontId="18" fillId="3" borderId="65" xfId="0" applyFont="1" applyFill="1" applyBorder="1" applyAlignment="1">
      <alignment horizontal="left" vertical="center" indent="1"/>
    </xf>
    <xf numFmtId="176" fontId="6" fillId="3" borderId="6" xfId="0" applyNumberFormat="1" applyFont="1" applyFill="1" applyBorder="1">
      <alignment vertical="center"/>
    </xf>
    <xf numFmtId="183" fontId="6" fillId="3" borderId="6" xfId="0" applyNumberFormat="1" applyFont="1" applyFill="1" applyBorder="1" applyAlignment="1">
      <alignment horizontal="right" vertical="center"/>
    </xf>
    <xf numFmtId="183" fontId="12" fillId="0" borderId="6" xfId="0" applyNumberFormat="1" applyFont="1" applyBorder="1" applyAlignment="1">
      <alignment horizontal="center" vertical="center"/>
    </xf>
    <xf numFmtId="183" fontId="8" fillId="0" borderId="6" xfId="0" applyNumberFormat="1" applyFont="1" applyBorder="1" applyAlignment="1">
      <alignment horizontal="right" vertical="center" indent="1"/>
    </xf>
    <xf numFmtId="0" fontId="18" fillId="3" borderId="20" xfId="0" applyFont="1" applyFill="1" applyBorder="1" applyAlignment="1">
      <alignment horizontal="center" vertical="center"/>
    </xf>
    <xf numFmtId="176" fontId="6" fillId="3" borderId="7" xfId="0" applyNumberFormat="1" applyFont="1" applyFill="1" applyBorder="1" applyAlignment="1">
      <alignment horizontal="right" vertical="center" indent="1"/>
    </xf>
    <xf numFmtId="183" fontId="6" fillId="3" borderId="7" xfId="0" applyNumberFormat="1" applyFont="1" applyFill="1" applyBorder="1" applyAlignment="1">
      <alignment horizontal="right" vertical="center" indent="1"/>
    </xf>
    <xf numFmtId="176" fontId="30" fillId="0" borderId="6" xfId="0" applyNumberFormat="1" applyFont="1" applyBorder="1" applyAlignment="1">
      <alignment horizontal="right" vertical="center" indent="1"/>
    </xf>
    <xf numFmtId="0" fontId="18" fillId="4" borderId="65" xfId="0" applyFont="1" applyFill="1" applyBorder="1" applyAlignment="1">
      <alignment horizontal="center" vertical="center"/>
    </xf>
    <xf numFmtId="0" fontId="18" fillId="4" borderId="20" xfId="0" applyFont="1" applyFill="1" applyBorder="1" applyAlignment="1">
      <alignment horizontal="center" vertical="center"/>
    </xf>
    <xf numFmtId="176" fontId="18" fillId="3" borderId="7" xfId="0" applyNumberFormat="1" applyFont="1" applyFill="1" applyBorder="1" applyAlignment="1">
      <alignment horizontal="left" vertical="center" indent="1"/>
    </xf>
    <xf numFmtId="0" fontId="3" fillId="2" borderId="43" xfId="0" applyFont="1" applyFill="1" applyBorder="1" applyAlignment="1">
      <alignment horizontal="center" vertical="center" wrapText="1"/>
    </xf>
    <xf numFmtId="0" fontId="12" fillId="5" borderId="65" xfId="0" applyFont="1" applyFill="1" applyBorder="1" applyAlignment="1">
      <alignment horizontal="left" vertical="center" indent="1"/>
    </xf>
    <xf numFmtId="183" fontId="8" fillId="0" borderId="65" xfId="0" applyNumberFormat="1" applyFont="1" applyBorder="1" applyAlignment="1">
      <alignment horizontal="right" vertical="center" indent="1"/>
    </xf>
    <xf numFmtId="0" fontId="12" fillId="5" borderId="20" xfId="0" applyFont="1" applyFill="1" applyBorder="1" applyAlignment="1">
      <alignment horizontal="left" vertical="center" indent="1"/>
    </xf>
    <xf numFmtId="0" fontId="12" fillId="5" borderId="20" xfId="0" applyFont="1" applyFill="1" applyBorder="1" applyAlignment="1">
      <alignment horizontal="right" vertical="center" indent="1"/>
    </xf>
    <xf numFmtId="183" fontId="7" fillId="0" borderId="65" xfId="0" applyNumberFormat="1" applyFont="1" applyBorder="1" applyAlignment="1">
      <alignment horizontal="center" vertical="center" wrapText="1"/>
    </xf>
    <xf numFmtId="183" fontId="7" fillId="0" borderId="65" xfId="0" applyNumberFormat="1" applyFont="1" applyBorder="1" applyAlignment="1">
      <alignment horizontal="right" vertical="center" indent="1"/>
    </xf>
    <xf numFmtId="176" fontId="8" fillId="0" borderId="65" xfId="0" applyNumberFormat="1" applyFont="1" applyBorder="1" applyAlignment="1">
      <alignment horizontal="right" vertical="center" indent="1"/>
    </xf>
    <xf numFmtId="186" fontId="24" fillId="0" borderId="0" xfId="0" applyNumberFormat="1" applyFont="1">
      <alignment vertical="center"/>
    </xf>
    <xf numFmtId="183" fontId="12" fillId="4" borderId="65" xfId="0" applyNumberFormat="1" applyFont="1" applyFill="1" applyBorder="1" applyAlignment="1">
      <alignment horizontal="center" vertical="center"/>
    </xf>
    <xf numFmtId="183" fontId="7" fillId="4" borderId="65" xfId="0" applyNumberFormat="1" applyFont="1" applyFill="1" applyBorder="1" applyAlignment="1">
      <alignment horizontal="left" vertical="center" indent="1"/>
    </xf>
    <xf numFmtId="186" fontId="8" fillId="4" borderId="65" xfId="0" applyNumberFormat="1" applyFont="1" applyFill="1" applyBorder="1" applyAlignment="1">
      <alignment horizontal="right" vertical="center" indent="1"/>
    </xf>
    <xf numFmtId="183" fontId="12" fillId="4" borderId="65" xfId="0" applyNumberFormat="1" applyFont="1" applyFill="1" applyBorder="1" applyAlignment="1">
      <alignment horizontal="right" vertical="center" indent="1"/>
    </xf>
    <xf numFmtId="176" fontId="8" fillId="4" borderId="65" xfId="0" applyNumberFormat="1" applyFont="1" applyFill="1" applyBorder="1" applyAlignment="1">
      <alignment horizontal="right" vertical="center" indent="1"/>
    </xf>
    <xf numFmtId="0" fontId="40" fillId="4" borderId="65" xfId="0" applyFont="1" applyFill="1" applyBorder="1" applyAlignment="1">
      <alignment horizontal="left" vertical="center" indent="1"/>
    </xf>
    <xf numFmtId="183" fontId="12" fillId="4" borderId="6" xfId="0" applyNumberFormat="1" applyFont="1" applyFill="1" applyBorder="1" applyAlignment="1">
      <alignment horizontal="left" vertical="center" indent="1"/>
    </xf>
    <xf numFmtId="186" fontId="8" fillId="4" borderId="6" xfId="0" applyNumberFormat="1" applyFont="1" applyFill="1" applyBorder="1" applyAlignment="1">
      <alignment horizontal="right" vertical="center" indent="1"/>
    </xf>
    <xf numFmtId="176" fontId="8" fillId="4" borderId="6" xfId="0" applyNumberFormat="1" applyFont="1" applyFill="1" applyBorder="1" applyAlignment="1">
      <alignment horizontal="right" vertical="center" indent="1"/>
    </xf>
    <xf numFmtId="186" fontId="8" fillId="0" borderId="6" xfId="0" applyNumberFormat="1" applyFont="1" applyBorder="1" applyAlignment="1">
      <alignment horizontal="right" vertical="center" wrapText="1" indent="1"/>
    </xf>
    <xf numFmtId="183" fontId="12" fillId="0" borderId="6" xfId="0" applyNumberFormat="1" applyFont="1" applyBorder="1" applyAlignment="1">
      <alignment horizontal="right" vertical="center" indent="1"/>
    </xf>
    <xf numFmtId="0" fontId="40" fillId="5" borderId="7" xfId="0" applyFont="1" applyFill="1" applyBorder="1" applyAlignment="1">
      <alignment horizontal="left" vertical="center" wrapText="1" indent="1"/>
    </xf>
    <xf numFmtId="0" fontId="12" fillId="0" borderId="20" xfId="0" applyFont="1" applyBorder="1" applyAlignment="1">
      <alignment horizontal="left" vertical="center" indent="1"/>
    </xf>
    <xf numFmtId="186" fontId="8" fillId="0" borderId="6" xfId="0" applyNumberFormat="1" applyFont="1" applyBorder="1" applyAlignment="1">
      <alignment horizontal="right" vertical="center" indent="1"/>
    </xf>
    <xf numFmtId="0" fontId="13" fillId="2" borderId="43" xfId="0" applyFont="1" applyFill="1" applyBorder="1" applyAlignment="1">
      <alignment horizontal="center" vertical="center" wrapText="1"/>
    </xf>
    <xf numFmtId="183" fontId="12" fillId="0" borderId="65" xfId="0" applyNumberFormat="1" applyFont="1" applyBorder="1" applyAlignment="1">
      <alignment horizontal="center" vertical="center"/>
    </xf>
    <xf numFmtId="186" fontId="8" fillId="0" borderId="65" xfId="0" applyNumberFormat="1" applyFont="1" applyBorder="1" applyAlignment="1">
      <alignment horizontal="right" vertical="center" indent="1"/>
    </xf>
    <xf numFmtId="0" fontId="40" fillId="5" borderId="65" xfId="0" applyFont="1" applyFill="1" applyBorder="1" applyAlignment="1">
      <alignment horizontal="left" vertical="center" indent="1"/>
    </xf>
    <xf numFmtId="0" fontId="7" fillId="4" borderId="34" xfId="0" applyFont="1" applyFill="1" applyBorder="1" applyAlignment="1">
      <alignment horizontal="center" vertical="center"/>
    </xf>
    <xf numFmtId="186" fontId="7" fillId="0" borderId="65" xfId="0" applyNumberFormat="1" applyFont="1" applyBorder="1" applyAlignment="1">
      <alignment horizontal="right" vertical="center" indent="1"/>
    </xf>
    <xf numFmtId="0" fontId="26" fillId="5" borderId="65" xfId="0" applyFont="1" applyFill="1" applyBorder="1" applyAlignment="1">
      <alignment horizontal="left" vertical="center" indent="1"/>
    </xf>
    <xf numFmtId="186" fontId="30" fillId="0" borderId="6" xfId="0" applyNumberFormat="1" applyFont="1" applyBorder="1" applyAlignment="1">
      <alignment horizontal="right" vertical="center" wrapText="1" indent="1"/>
    </xf>
    <xf numFmtId="0" fontId="15" fillId="0" borderId="0" xfId="0" applyFont="1" applyAlignment="1">
      <alignment horizontal="left" vertical="center"/>
    </xf>
    <xf numFmtId="183" fontId="8" fillId="0" borderId="12" xfId="0" applyNumberFormat="1" applyFont="1" applyBorder="1" applyAlignment="1">
      <alignment horizontal="right" vertical="center" indent="1"/>
    </xf>
    <xf numFmtId="0" fontId="26" fillId="5" borderId="7" xfId="0" applyFont="1" applyFill="1" applyBorder="1" applyAlignment="1">
      <alignment horizontal="left" vertical="center" indent="1"/>
    </xf>
    <xf numFmtId="0" fontId="26" fillId="5" borderId="7" xfId="0" applyFont="1" applyFill="1" applyBorder="1" applyAlignment="1">
      <alignment horizontal="left" vertical="center" wrapText="1" indent="1"/>
    </xf>
    <xf numFmtId="0" fontId="18" fillId="3" borderId="34" xfId="0" applyFont="1" applyFill="1" applyBorder="1" applyAlignment="1">
      <alignment horizontal="left" vertical="center" indent="1"/>
    </xf>
    <xf numFmtId="0" fontId="41" fillId="5" borderId="0" xfId="0" applyFont="1" applyFill="1">
      <alignment vertical="center"/>
    </xf>
    <xf numFmtId="0" fontId="42" fillId="5" borderId="0" xfId="0" applyFont="1" applyFill="1" applyAlignment="1">
      <alignment horizontal="left" vertical="center"/>
    </xf>
    <xf numFmtId="0" fontId="4" fillId="5" borderId="0" xfId="0" applyFont="1" applyFill="1" applyAlignment="1">
      <alignment horizontal="center" vertical="center"/>
    </xf>
    <xf numFmtId="0" fontId="18" fillId="5" borderId="0" xfId="0" applyFont="1" applyFill="1" applyAlignment="1">
      <alignment horizontal="left" vertical="center" indent="1"/>
    </xf>
    <xf numFmtId="183" fontId="8" fillId="5" borderId="0" xfId="0" applyNumberFormat="1" applyFont="1" applyFill="1" applyAlignment="1">
      <alignment horizontal="right" vertical="center" indent="1"/>
    </xf>
    <xf numFmtId="0" fontId="44" fillId="5" borderId="0" xfId="0" applyFont="1" applyFill="1" applyAlignment="1">
      <alignment horizontal="left" vertical="center" indent="1"/>
    </xf>
    <xf numFmtId="0" fontId="27" fillId="5" borderId="0" xfId="0" applyFont="1" applyFill="1" applyAlignment="1">
      <alignment horizontal="left" vertical="center" wrapText="1" indent="1"/>
    </xf>
    <xf numFmtId="183" fontId="6" fillId="5" borderId="0" xfId="0" applyNumberFormat="1" applyFont="1" applyFill="1" applyAlignment="1">
      <alignment horizontal="right" vertical="center" indent="1"/>
    </xf>
    <xf numFmtId="0" fontId="45" fillId="0" borderId="0" xfId="0" applyFont="1">
      <alignment vertical="center"/>
    </xf>
    <xf numFmtId="187" fontId="45" fillId="0" borderId="0" xfId="0" applyNumberFormat="1" applyFont="1" applyAlignment="1">
      <alignment horizontal="center" vertical="center"/>
    </xf>
    <xf numFmtId="187" fontId="45" fillId="0" borderId="0" xfId="0" applyNumberFormat="1" applyFont="1">
      <alignment vertical="center"/>
    </xf>
    <xf numFmtId="0" fontId="46" fillId="0" borderId="0" xfId="0" applyFont="1">
      <alignment vertical="center"/>
    </xf>
    <xf numFmtId="185" fontId="49" fillId="2" borderId="74" xfId="0" applyNumberFormat="1" applyFont="1" applyFill="1" applyBorder="1" applyAlignment="1">
      <alignment horizontal="center" vertical="center"/>
    </xf>
    <xf numFmtId="185" fontId="50" fillId="12" borderId="74" xfId="0" applyNumberFormat="1" applyFont="1" applyFill="1" applyBorder="1" applyAlignment="1">
      <alignment horizontal="center" vertical="center"/>
    </xf>
    <xf numFmtId="185" fontId="51" fillId="13" borderId="74" xfId="0" applyNumberFormat="1" applyFont="1" applyFill="1" applyBorder="1" applyAlignment="1">
      <alignment horizontal="center" vertical="center"/>
    </xf>
    <xf numFmtId="187" fontId="15" fillId="0" borderId="74" xfId="0" applyNumberFormat="1" applyFont="1" applyBorder="1" applyAlignment="1">
      <alignment horizontal="center" vertical="center"/>
    </xf>
    <xf numFmtId="187" fontId="45" fillId="6" borderId="74" xfId="0" applyNumberFormat="1" applyFont="1" applyFill="1" applyBorder="1" applyAlignment="1">
      <alignment horizontal="center" vertical="center"/>
    </xf>
    <xf numFmtId="187" fontId="45" fillId="5" borderId="74" xfId="0" applyNumberFormat="1" applyFont="1" applyFill="1" applyBorder="1" applyAlignment="1">
      <alignment horizontal="center" vertical="center"/>
    </xf>
    <xf numFmtId="187" fontId="50" fillId="5" borderId="74" xfId="0" applyNumberFormat="1" applyFont="1" applyFill="1" applyBorder="1" applyAlignment="1">
      <alignment horizontal="center" vertical="center"/>
    </xf>
    <xf numFmtId="187" fontId="2" fillId="0" borderId="74" xfId="0" applyNumberFormat="1" applyFont="1" applyBorder="1" applyAlignment="1">
      <alignment horizontal="center" vertical="center"/>
    </xf>
    <xf numFmtId="187" fontId="53" fillId="6" borderId="74" xfId="0" applyNumberFormat="1" applyFont="1" applyFill="1" applyBorder="1" applyAlignment="1">
      <alignment horizontal="center" vertical="center"/>
    </xf>
    <xf numFmtId="187" fontId="45" fillId="0" borderId="74" xfId="0" applyNumberFormat="1" applyFont="1" applyBorder="1" applyAlignment="1">
      <alignment horizontal="center" vertical="center"/>
    </xf>
    <xf numFmtId="187" fontId="50" fillId="5" borderId="75" xfId="0" applyNumberFormat="1" applyFont="1" applyFill="1" applyBorder="1" applyAlignment="1">
      <alignment horizontal="center" vertical="center"/>
    </xf>
    <xf numFmtId="0" fontId="55" fillId="0" borderId="0" xfId="0" applyFont="1">
      <alignment vertical="center"/>
    </xf>
    <xf numFmtId="187" fontId="15" fillId="12" borderId="75" xfId="0" applyNumberFormat="1" applyFont="1" applyFill="1" applyBorder="1" applyAlignment="1">
      <alignment horizontal="center" vertical="center"/>
    </xf>
    <xf numFmtId="187" fontId="15" fillId="13" borderId="75" xfId="0" applyNumberFormat="1" applyFont="1" applyFill="1" applyBorder="1" applyAlignment="1">
      <alignment horizontal="center" vertical="center"/>
    </xf>
    <xf numFmtId="187" fontId="15" fillId="0" borderId="0" xfId="0" applyNumberFormat="1" applyFont="1" applyAlignment="1">
      <alignment horizontal="center" vertical="center"/>
    </xf>
    <xf numFmtId="187" fontId="15" fillId="0" borderId="0" xfId="0" applyNumberFormat="1" applyFont="1">
      <alignment vertical="center"/>
    </xf>
    <xf numFmtId="0" fontId="18" fillId="0" borderId="0" xfId="0" applyFont="1">
      <alignment vertical="center"/>
    </xf>
    <xf numFmtId="0" fontId="5" fillId="0" borderId="0" xfId="0" applyFont="1" applyAlignment="1">
      <alignment horizontal="left" vertical="center"/>
    </xf>
    <xf numFmtId="187" fontId="56" fillId="2" borderId="74" xfId="0" applyNumberFormat="1" applyFont="1" applyFill="1" applyBorder="1" applyAlignment="1">
      <alignment horizontal="center" vertical="center"/>
    </xf>
    <xf numFmtId="0" fontId="56" fillId="2" borderId="74" xfId="0" applyFont="1" applyFill="1" applyBorder="1" applyAlignment="1">
      <alignment horizontal="center" vertical="center"/>
    </xf>
    <xf numFmtId="0" fontId="57" fillId="2" borderId="74" xfId="0" applyFont="1" applyFill="1" applyBorder="1" applyAlignment="1">
      <alignment horizontal="center" vertical="center"/>
    </xf>
    <xf numFmtId="0" fontId="15" fillId="0" borderId="0" xfId="0" applyFont="1" applyAlignment="1">
      <alignment horizontal="center" vertical="center"/>
    </xf>
    <xf numFmtId="187" fontId="15" fillId="7" borderId="74" xfId="0" applyNumberFormat="1" applyFont="1" applyFill="1" applyBorder="1" applyAlignment="1">
      <alignment horizontal="center" vertical="center"/>
    </xf>
    <xf numFmtId="0" fontId="15" fillId="0" borderId="74" xfId="0" applyFont="1" applyBorder="1">
      <alignment vertical="center"/>
    </xf>
    <xf numFmtId="0" fontId="15" fillId="4" borderId="74" xfId="0" applyFont="1" applyFill="1" applyBorder="1" applyAlignment="1">
      <alignment horizontal="center" vertical="center"/>
    </xf>
    <xf numFmtId="0" fontId="15" fillId="14" borderId="74" xfId="0" applyFont="1" applyFill="1" applyBorder="1" applyAlignment="1">
      <alignment horizontal="center" vertical="center"/>
    </xf>
    <xf numFmtId="187" fontId="15" fillId="12" borderId="74" xfId="0" applyNumberFormat="1" applyFont="1" applyFill="1" applyBorder="1" applyAlignment="1">
      <alignment horizontal="center" vertical="center"/>
    </xf>
    <xf numFmtId="187" fontId="15" fillId="13" borderId="74" xfId="0" applyNumberFormat="1" applyFont="1" applyFill="1" applyBorder="1" applyAlignment="1">
      <alignment horizontal="center" vertical="center"/>
    </xf>
    <xf numFmtId="187" fontId="15" fillId="4" borderId="74" xfId="0" applyNumberFormat="1" applyFont="1" applyFill="1" applyBorder="1" applyAlignment="1">
      <alignment horizontal="center" vertical="center"/>
    </xf>
    <xf numFmtId="0" fontId="39" fillId="4" borderId="74" xfId="0" applyFont="1" applyFill="1" applyBorder="1" applyAlignment="1">
      <alignment horizontal="center" vertical="center"/>
    </xf>
    <xf numFmtId="183" fontId="8" fillId="0" borderId="77" xfId="0" applyNumberFormat="1" applyFont="1" applyBorder="1" applyAlignment="1">
      <alignment horizontal="right" vertical="center" indent="1"/>
    </xf>
    <xf numFmtId="183" fontId="8" fillId="0" borderId="3" xfId="0" applyNumberFormat="1" applyFont="1" applyBorder="1" applyAlignment="1">
      <alignment horizontal="right" vertical="center" indent="1"/>
    </xf>
    <xf numFmtId="0" fontId="26" fillId="5" borderId="77" xfId="0" applyFont="1" applyFill="1" applyBorder="1" applyAlignment="1">
      <alignment horizontal="left" vertical="center" indent="1"/>
    </xf>
    <xf numFmtId="183" fontId="8" fillId="0" borderId="78" xfId="0" applyNumberFormat="1" applyFont="1" applyBorder="1" applyAlignment="1">
      <alignment horizontal="right" vertical="center" indent="1"/>
    </xf>
    <xf numFmtId="183" fontId="8" fillId="0" borderId="79" xfId="0" applyNumberFormat="1" applyFont="1" applyBorder="1" applyAlignment="1">
      <alignment horizontal="right" vertical="center" indent="1"/>
    </xf>
    <xf numFmtId="0" fontId="26" fillId="5" borderId="80" xfId="0" applyFont="1" applyFill="1" applyBorder="1" applyAlignment="1">
      <alignment horizontal="left" vertical="center" wrapText="1" indent="1"/>
    </xf>
    <xf numFmtId="0" fontId="3" fillId="6" borderId="43" xfId="0" applyFont="1" applyFill="1" applyBorder="1" applyAlignment="1">
      <alignment horizontal="center" vertical="center"/>
    </xf>
    <xf numFmtId="183" fontId="8" fillId="0" borderId="81" xfId="0" applyNumberFormat="1" applyFont="1" applyBorder="1" applyAlignment="1">
      <alignment horizontal="right" vertical="center" indent="1"/>
    </xf>
    <xf numFmtId="183" fontId="6" fillId="3" borderId="82" xfId="0" applyNumberFormat="1" applyFont="1" applyFill="1" applyBorder="1" applyAlignment="1">
      <alignment horizontal="right" vertical="center" indent="1"/>
    </xf>
    <xf numFmtId="183" fontId="8" fillId="0" borderId="72" xfId="0" applyNumberFormat="1" applyFont="1" applyBorder="1" applyAlignment="1">
      <alignment horizontal="right" vertical="center" indent="1"/>
    </xf>
    <xf numFmtId="183" fontId="8" fillId="0" borderId="83" xfId="0" applyNumberFormat="1" applyFont="1" applyBorder="1" applyAlignment="1">
      <alignment horizontal="right" vertical="center" indent="1"/>
    </xf>
    <xf numFmtId="183" fontId="6" fillId="3" borderId="84" xfId="0" applyNumberFormat="1" applyFont="1" applyFill="1" applyBorder="1" applyAlignment="1">
      <alignment horizontal="right" vertical="center" indent="1"/>
    </xf>
    <xf numFmtId="183" fontId="8" fillId="0" borderId="85" xfId="0" applyNumberFormat="1" applyFont="1" applyBorder="1" applyAlignment="1">
      <alignment horizontal="right" vertical="center" indent="1"/>
    </xf>
    <xf numFmtId="183" fontId="8" fillId="0" borderId="80" xfId="0" applyNumberFormat="1" applyFont="1" applyBorder="1" applyAlignment="1">
      <alignment horizontal="right" vertical="center" indent="1"/>
    </xf>
    <xf numFmtId="183" fontId="6" fillId="3" borderId="86" xfId="0" applyNumberFormat="1" applyFont="1" applyFill="1" applyBorder="1" applyAlignment="1">
      <alignment horizontal="right" vertical="center" indent="1"/>
    </xf>
    <xf numFmtId="183" fontId="8" fillId="0" borderId="87" xfId="0" applyNumberFormat="1" applyFont="1" applyBorder="1" applyAlignment="1">
      <alignment horizontal="right" vertical="center" indent="1"/>
    </xf>
    <xf numFmtId="183" fontId="8" fillId="0" borderId="7" xfId="0" applyNumberFormat="1" applyFont="1" applyBorder="1" applyAlignment="1">
      <alignment horizontal="right" vertical="center" indent="1"/>
    </xf>
    <xf numFmtId="183" fontId="6" fillId="3" borderId="88" xfId="0" applyNumberFormat="1" applyFont="1" applyFill="1" applyBorder="1" applyAlignment="1">
      <alignment horizontal="right" vertical="center" indent="1"/>
    </xf>
    <xf numFmtId="183" fontId="8" fillId="0" borderId="89" xfId="0" applyNumberFormat="1" applyFont="1" applyBorder="1" applyAlignment="1">
      <alignment horizontal="right" vertical="center" indent="1"/>
    </xf>
    <xf numFmtId="183" fontId="8" fillId="0" borderId="90" xfId="0" applyNumberFormat="1" applyFont="1" applyBorder="1" applyAlignment="1">
      <alignment horizontal="right" vertical="center" indent="1"/>
    </xf>
    <xf numFmtId="183" fontId="6" fillId="3" borderId="91" xfId="0" applyNumberFormat="1" applyFont="1" applyFill="1" applyBorder="1" applyAlignment="1">
      <alignment horizontal="right" vertical="center" indent="1"/>
    </xf>
    <xf numFmtId="183" fontId="8" fillId="0" borderId="92" xfId="0" applyNumberFormat="1" applyFont="1" applyBorder="1" applyAlignment="1">
      <alignment horizontal="right" vertical="center" indent="1"/>
    </xf>
    <xf numFmtId="183" fontId="6" fillId="3" borderId="93" xfId="0" applyNumberFormat="1" applyFont="1" applyFill="1" applyBorder="1" applyAlignment="1">
      <alignment horizontal="right" vertical="center" indent="1"/>
    </xf>
    <xf numFmtId="0" fontId="0" fillId="0" borderId="70" xfId="0" applyBorder="1">
      <alignment vertical="center"/>
    </xf>
    <xf numFmtId="183" fontId="8" fillId="0" borderId="2" xfId="0" applyNumberFormat="1" applyFont="1" applyBorder="1" applyAlignment="1">
      <alignment horizontal="right" vertical="center" indent="1"/>
    </xf>
    <xf numFmtId="183" fontId="6" fillId="0" borderId="96" xfId="0" applyNumberFormat="1" applyFont="1" applyBorder="1" applyAlignment="1">
      <alignment horizontal="right" vertical="center" indent="1"/>
    </xf>
    <xf numFmtId="183" fontId="6" fillId="0" borderId="97" xfId="0" applyNumberFormat="1" applyFont="1" applyBorder="1" applyAlignment="1">
      <alignment horizontal="right" vertical="center" indent="1"/>
    </xf>
    <xf numFmtId="0" fontId="0" fillId="0" borderId="98" xfId="0" applyBorder="1">
      <alignment vertical="center"/>
    </xf>
    <xf numFmtId="183" fontId="6" fillId="0" borderId="2" xfId="0" applyNumberFormat="1" applyFont="1" applyBorder="1" applyAlignment="1">
      <alignment horizontal="right" vertical="center" indent="1"/>
    </xf>
    <xf numFmtId="183" fontId="6" fillId="0" borderId="14" xfId="0" applyNumberFormat="1" applyFont="1" applyBorder="1" applyAlignment="1">
      <alignment horizontal="right" vertical="center" indent="1"/>
    </xf>
    <xf numFmtId="0" fontId="15" fillId="0" borderId="2" xfId="0" applyFont="1" applyBorder="1">
      <alignment vertical="center"/>
    </xf>
    <xf numFmtId="0" fontId="15" fillId="0" borderId="0" xfId="0" applyFont="1" applyAlignment="1"/>
    <xf numFmtId="0" fontId="59" fillId="0" borderId="0" xfId="0" applyFont="1" applyAlignment="1">
      <alignment horizontal="center" vertical="center"/>
    </xf>
    <xf numFmtId="0" fontId="4" fillId="8" borderId="11" xfId="0" applyFont="1" applyFill="1" applyBorder="1" applyAlignment="1">
      <alignment horizontal="center" vertical="center" wrapText="1"/>
    </xf>
    <xf numFmtId="0" fontId="18" fillId="3" borderId="6" xfId="0" applyFont="1" applyFill="1" applyBorder="1" applyAlignment="1">
      <alignment horizontal="left" vertical="center" indent="1"/>
    </xf>
    <xf numFmtId="176" fontId="18" fillId="3" borderId="6" xfId="0" applyNumberFormat="1" applyFont="1" applyFill="1" applyBorder="1" applyAlignment="1">
      <alignment horizontal="right" vertical="center" indent="1"/>
    </xf>
    <xf numFmtId="0" fontId="12" fillId="4" borderId="2" xfId="0" applyFont="1" applyFill="1" applyBorder="1" applyAlignment="1">
      <alignment horizontal="left" vertical="center" indent="3"/>
    </xf>
    <xf numFmtId="176" fontId="12" fillId="0" borderId="2" xfId="0" applyNumberFormat="1" applyFont="1" applyBorder="1" applyAlignment="1">
      <alignment horizontal="right" vertical="center" indent="1"/>
    </xf>
    <xf numFmtId="176" fontId="12" fillId="0" borderId="6" xfId="0" applyNumberFormat="1" applyFont="1" applyBorder="1" applyAlignment="1">
      <alignment horizontal="right" vertical="center" indent="1"/>
    </xf>
    <xf numFmtId="0" fontId="12" fillId="5" borderId="6" xfId="0" applyFont="1" applyFill="1" applyBorder="1" applyAlignment="1">
      <alignment horizontal="left" vertical="center" indent="2"/>
    </xf>
    <xf numFmtId="176" fontId="12" fillId="5" borderId="6" xfId="0" applyNumberFormat="1" applyFont="1" applyFill="1" applyBorder="1" applyAlignment="1">
      <alignment horizontal="right" vertical="center" indent="1"/>
    </xf>
    <xf numFmtId="177" fontId="12" fillId="5" borderId="6" xfId="0" applyNumberFormat="1" applyFont="1" applyFill="1" applyBorder="1" applyAlignment="1">
      <alignment horizontal="right" vertical="center" indent="1"/>
    </xf>
    <xf numFmtId="177" fontId="12" fillId="0" borderId="2" xfId="0" applyNumberFormat="1" applyFont="1" applyBorder="1" applyAlignment="1">
      <alignment horizontal="right" vertical="center" indent="1"/>
    </xf>
    <xf numFmtId="177" fontId="12" fillId="0" borderId="6" xfId="0" applyNumberFormat="1" applyFont="1" applyBorder="1" applyAlignment="1">
      <alignment horizontal="right" vertical="center" indent="1"/>
    </xf>
    <xf numFmtId="0" fontId="12" fillId="5" borderId="6" xfId="0" applyFont="1" applyFill="1" applyBorder="1" applyAlignment="1">
      <alignment horizontal="left" vertical="center" indent="1"/>
    </xf>
    <xf numFmtId="0" fontId="18" fillId="9" borderId="12" xfId="0" applyFont="1" applyFill="1" applyBorder="1" applyAlignment="1">
      <alignment horizontal="left" vertical="center"/>
    </xf>
    <xf numFmtId="177" fontId="18" fillId="9" borderId="12" xfId="0" applyNumberFormat="1" applyFont="1" applyFill="1" applyBorder="1" applyAlignment="1">
      <alignment horizontal="right" vertical="center" indent="1"/>
    </xf>
    <xf numFmtId="0" fontId="4" fillId="2" borderId="12" xfId="0" applyFont="1" applyFill="1" applyBorder="1" applyAlignment="1">
      <alignment horizontal="left" vertical="center" indent="1"/>
    </xf>
    <xf numFmtId="177" fontId="4" fillId="2" borderId="13" xfId="0" applyNumberFormat="1" applyFont="1" applyFill="1" applyBorder="1" applyAlignment="1">
      <alignment horizontal="right" vertical="center" indent="1"/>
    </xf>
    <xf numFmtId="177" fontId="15" fillId="0" borderId="0" xfId="0" applyNumberFormat="1" applyFont="1">
      <alignment vertical="center"/>
    </xf>
    <xf numFmtId="0" fontId="59" fillId="0" borderId="14" xfId="0" applyFont="1" applyBorder="1">
      <alignment vertical="center"/>
    </xf>
    <xf numFmtId="0" fontId="4" fillId="2" borderId="4" xfId="0" applyFont="1" applyFill="1" applyBorder="1" applyAlignment="1">
      <alignment horizontal="center" vertical="center"/>
    </xf>
    <xf numFmtId="0" fontId="4" fillId="6" borderId="5" xfId="0" applyFont="1" applyFill="1" applyBorder="1" applyAlignment="1">
      <alignment horizontal="center" vertical="center"/>
    </xf>
    <xf numFmtId="177" fontId="18" fillId="3" borderId="7" xfId="0" applyNumberFormat="1" applyFont="1" applyFill="1" applyBorder="1" applyAlignment="1">
      <alignment horizontal="right" vertical="center" indent="1"/>
    </xf>
    <xf numFmtId="177" fontId="18" fillId="3" borderId="8" xfId="0" applyNumberFormat="1" applyFont="1" applyFill="1" applyBorder="1" applyAlignment="1">
      <alignment horizontal="right" vertical="center" indent="1"/>
    </xf>
    <xf numFmtId="177" fontId="12" fillId="0" borderId="0" xfId="0" applyNumberFormat="1" applyFont="1" applyAlignment="1">
      <alignment horizontal="right" vertical="center" indent="1"/>
    </xf>
    <xf numFmtId="177" fontId="12" fillId="0" borderId="9" xfId="0" applyNumberFormat="1" applyFont="1" applyBorder="1" applyAlignment="1">
      <alignment horizontal="right" vertical="center" indent="1"/>
    </xf>
    <xf numFmtId="177" fontId="12" fillId="0" borderId="17" xfId="0" applyNumberFormat="1" applyFont="1" applyBorder="1" applyAlignment="1">
      <alignment horizontal="right" vertical="center" indent="1"/>
    </xf>
    <xf numFmtId="177" fontId="18" fillId="3" borderId="12" xfId="0" applyNumberFormat="1" applyFont="1" applyFill="1" applyBorder="1" applyAlignment="1">
      <alignment horizontal="right" vertical="center" indent="1"/>
    </xf>
    <xf numFmtId="177" fontId="18" fillId="3" borderId="37" xfId="0" applyNumberFormat="1" applyFont="1" applyFill="1" applyBorder="1" applyAlignment="1">
      <alignment horizontal="right" vertical="center" indent="1"/>
    </xf>
    <xf numFmtId="177" fontId="12" fillId="5" borderId="8" xfId="0" applyNumberFormat="1" applyFont="1" applyFill="1" applyBorder="1" applyAlignment="1">
      <alignment horizontal="right" vertical="center" indent="1"/>
    </xf>
    <xf numFmtId="177" fontId="12" fillId="5" borderId="23" xfId="0" applyNumberFormat="1" applyFont="1" applyFill="1" applyBorder="1" applyAlignment="1">
      <alignment horizontal="right" vertical="center" indent="1"/>
    </xf>
    <xf numFmtId="177" fontId="12" fillId="5" borderId="37" xfId="0" applyNumberFormat="1" applyFont="1" applyFill="1" applyBorder="1" applyAlignment="1">
      <alignment horizontal="right" vertical="center" indent="1"/>
    </xf>
    <xf numFmtId="177" fontId="12" fillId="5" borderId="12" xfId="0" applyNumberFormat="1" applyFont="1" applyFill="1" applyBorder="1" applyAlignment="1">
      <alignment horizontal="right" vertical="center" indent="2"/>
    </xf>
    <xf numFmtId="177" fontId="12" fillId="5" borderId="23" xfId="0" applyNumberFormat="1" applyFont="1" applyFill="1" applyBorder="1" applyAlignment="1">
      <alignment horizontal="right" vertical="center" indent="2"/>
    </xf>
    <xf numFmtId="177" fontId="12" fillId="5" borderId="37" xfId="0" applyNumberFormat="1" applyFont="1" applyFill="1" applyBorder="1" applyAlignment="1">
      <alignment horizontal="right" vertical="center" indent="2"/>
    </xf>
    <xf numFmtId="0" fontId="12" fillId="4" borderId="2" xfId="0" applyFont="1" applyFill="1" applyBorder="1" applyAlignment="1">
      <alignment horizontal="left" vertical="center" indent="1"/>
    </xf>
    <xf numFmtId="0" fontId="18" fillId="9" borderId="12" xfId="0" applyFont="1" applyFill="1" applyBorder="1" applyAlignment="1">
      <alignment horizontal="left" vertical="center" indent="1"/>
    </xf>
    <xf numFmtId="177" fontId="18" fillId="9" borderId="37" xfId="0" applyNumberFormat="1" applyFont="1" applyFill="1" applyBorder="1" applyAlignment="1">
      <alignment horizontal="right" vertical="center" indent="1"/>
    </xf>
    <xf numFmtId="177" fontId="12" fillId="5" borderId="39" xfId="0" applyNumberFormat="1" applyFont="1" applyFill="1" applyBorder="1" applyAlignment="1">
      <alignment horizontal="right" vertical="center" indent="1"/>
    </xf>
    <xf numFmtId="177" fontId="12" fillId="5" borderId="40" xfId="0" applyNumberFormat="1" applyFont="1" applyFill="1" applyBorder="1" applyAlignment="1">
      <alignment horizontal="right" vertical="center" indent="1"/>
    </xf>
    <xf numFmtId="177" fontId="12" fillId="0" borderId="41" xfId="0" applyNumberFormat="1" applyFont="1" applyBorder="1" applyAlignment="1">
      <alignment horizontal="right" vertical="center" indent="1"/>
    </xf>
    <xf numFmtId="177" fontId="12" fillId="5" borderId="0" xfId="0" applyNumberFormat="1" applyFont="1" applyFill="1" applyAlignment="1">
      <alignment horizontal="right" vertical="center" indent="1"/>
    </xf>
    <xf numFmtId="177" fontId="12" fillId="5" borderId="17" xfId="0" applyNumberFormat="1" applyFont="1" applyFill="1" applyBorder="1" applyAlignment="1">
      <alignment horizontal="right" vertical="center" indent="1"/>
    </xf>
    <xf numFmtId="177" fontId="12" fillId="0" borderId="8" xfId="0" applyNumberFormat="1" applyFont="1" applyBorder="1" applyAlignment="1">
      <alignment horizontal="right" vertical="center" indent="1"/>
    </xf>
    <xf numFmtId="0" fontId="18" fillId="9" borderId="6" xfId="0" applyFont="1" applyFill="1" applyBorder="1" applyAlignment="1">
      <alignment horizontal="left" vertical="center" indent="1"/>
    </xf>
    <xf numFmtId="177" fontId="18" fillId="9" borderId="17" xfId="0" applyNumberFormat="1" applyFont="1" applyFill="1" applyBorder="1" applyAlignment="1">
      <alignment horizontal="right" vertical="center" indent="1"/>
    </xf>
    <xf numFmtId="177" fontId="18" fillId="9" borderId="9" xfId="0" applyNumberFormat="1" applyFont="1" applyFill="1" applyBorder="1" applyAlignment="1">
      <alignment horizontal="right" vertical="center" indent="1"/>
    </xf>
    <xf numFmtId="177" fontId="4" fillId="2" borderId="12" xfId="0" applyNumberFormat="1" applyFont="1" applyFill="1" applyBorder="1" applyAlignment="1">
      <alignment horizontal="right" vertical="center" indent="1"/>
    </xf>
    <xf numFmtId="177" fontId="4" fillId="2" borderId="42" xfId="0" applyNumberFormat="1" applyFont="1" applyFill="1" applyBorder="1" applyAlignment="1">
      <alignment horizontal="right" vertical="center" indent="1"/>
    </xf>
    <xf numFmtId="0" fontId="12" fillId="4" borderId="99" xfId="0" applyFont="1" applyFill="1" applyBorder="1" applyAlignment="1">
      <alignment horizontal="left" vertical="center" indent="3"/>
    </xf>
    <xf numFmtId="177" fontId="12" fillId="0" borderId="100" xfId="0" applyNumberFormat="1" applyFont="1" applyBorder="1" applyAlignment="1">
      <alignment horizontal="right" vertical="center" indent="1"/>
    </xf>
    <xf numFmtId="177" fontId="12" fillId="0" borderId="101" xfId="0" applyNumberFormat="1" applyFont="1" applyBorder="1" applyAlignment="1">
      <alignment horizontal="right" vertical="center" indent="1"/>
    </xf>
    <xf numFmtId="0" fontId="12" fillId="4" borderId="102" xfId="0" applyFont="1" applyFill="1" applyBorder="1" applyAlignment="1">
      <alignment horizontal="left" vertical="center" indent="3"/>
    </xf>
    <xf numFmtId="0" fontId="15" fillId="0" borderId="14" xfId="0" applyFont="1" applyBorder="1">
      <alignment vertical="center"/>
    </xf>
    <xf numFmtId="0" fontId="4" fillId="2" borderId="54" xfId="0" applyFont="1" applyFill="1" applyBorder="1" applyAlignment="1">
      <alignment horizontal="center" vertical="center"/>
    </xf>
    <xf numFmtId="0" fontId="18" fillId="3" borderId="17" xfId="0" applyFont="1" applyFill="1" applyBorder="1" applyAlignment="1">
      <alignment horizontal="left" vertical="center" indent="1"/>
    </xf>
    <xf numFmtId="177" fontId="18" fillId="3" borderId="6" xfId="0" applyNumberFormat="1" applyFont="1" applyFill="1" applyBorder="1" applyAlignment="1">
      <alignment horizontal="right" vertical="center" indent="1"/>
    </xf>
    <xf numFmtId="0" fontId="12" fillId="4" borderId="0" xfId="0" applyFont="1" applyFill="1" applyAlignment="1">
      <alignment horizontal="left" vertical="center" indent="3"/>
    </xf>
    <xf numFmtId="177" fontId="12" fillId="0" borderId="14" xfId="0" applyNumberFormat="1" applyFont="1" applyBorder="1" applyAlignment="1">
      <alignment horizontal="right" vertical="center" indent="1"/>
    </xf>
    <xf numFmtId="177" fontId="12" fillId="0" borderId="7" xfId="0" applyNumberFormat="1" applyFont="1" applyBorder="1" applyAlignment="1">
      <alignment horizontal="right" vertical="center" indent="1"/>
    </xf>
    <xf numFmtId="0" fontId="18" fillId="3" borderId="29" xfId="0" applyFont="1" applyFill="1" applyBorder="1" applyAlignment="1">
      <alignment horizontal="left" vertical="center" indent="1"/>
    </xf>
    <xf numFmtId="177" fontId="18" fillId="3" borderId="23" xfId="0" applyNumberFormat="1" applyFont="1" applyFill="1" applyBorder="1" applyAlignment="1">
      <alignment horizontal="right" vertical="center" indent="1"/>
    </xf>
    <xf numFmtId="0" fontId="4" fillId="2" borderId="17" xfId="0" applyFont="1" applyFill="1" applyBorder="1" applyAlignment="1">
      <alignment horizontal="left" vertical="center" indent="1"/>
    </xf>
    <xf numFmtId="177" fontId="4" fillId="2" borderId="6" xfId="0" applyNumberFormat="1" applyFont="1" applyFill="1" applyBorder="1" applyAlignment="1">
      <alignment horizontal="right" vertical="center" indent="1"/>
    </xf>
    <xf numFmtId="177" fontId="4" fillId="2" borderId="7" xfId="0" applyNumberFormat="1" applyFont="1" applyFill="1" applyBorder="1" applyAlignment="1">
      <alignment horizontal="right" vertical="center" indent="1"/>
    </xf>
    <xf numFmtId="177" fontId="4" fillId="2" borderId="55" xfId="0" applyNumberFormat="1" applyFont="1" applyFill="1" applyBorder="1" applyAlignment="1">
      <alignment horizontal="right" vertical="center" indent="1"/>
    </xf>
    <xf numFmtId="176" fontId="12" fillId="0" borderId="0" xfId="0" applyNumberFormat="1" applyFont="1" applyAlignment="1">
      <alignment horizontal="right" vertical="center" indent="1"/>
    </xf>
    <xf numFmtId="177" fontId="12" fillId="0" borderId="18" xfId="0" applyNumberFormat="1" applyFont="1" applyBorder="1" applyAlignment="1">
      <alignment horizontal="right" vertical="center" indent="1"/>
    </xf>
    <xf numFmtId="0" fontId="12" fillId="4" borderId="0" xfId="0" applyFont="1" applyFill="1" applyAlignment="1">
      <alignment horizontal="left" vertical="center" indent="1"/>
    </xf>
    <xf numFmtId="177" fontId="12" fillId="0" borderId="38" xfId="0" applyNumberFormat="1" applyFont="1" applyBorder="1" applyAlignment="1">
      <alignment horizontal="right" vertical="center" indent="1"/>
    </xf>
    <xf numFmtId="177" fontId="12" fillId="0" borderId="57" xfId="0" applyNumberFormat="1" applyFont="1" applyBorder="1" applyAlignment="1">
      <alignment horizontal="right" vertical="center" indent="1"/>
    </xf>
    <xf numFmtId="0" fontId="12" fillId="5" borderId="36" xfId="0" applyFont="1" applyFill="1" applyBorder="1" applyAlignment="1">
      <alignment horizontal="left" vertical="center" indent="3"/>
    </xf>
    <xf numFmtId="177" fontId="12" fillId="5" borderId="38" xfId="0" applyNumberFormat="1" applyFont="1" applyFill="1" applyBorder="1" applyAlignment="1">
      <alignment horizontal="right" vertical="center" indent="1"/>
    </xf>
    <xf numFmtId="177" fontId="12" fillId="5" borderId="57" xfId="0" applyNumberFormat="1" applyFont="1" applyFill="1" applyBorder="1" applyAlignment="1">
      <alignment horizontal="right" vertical="center" indent="1"/>
    </xf>
    <xf numFmtId="177" fontId="12" fillId="5" borderId="41" xfId="0" applyNumberFormat="1" applyFont="1" applyFill="1" applyBorder="1" applyAlignment="1">
      <alignment horizontal="right" vertical="center" indent="1"/>
    </xf>
    <xf numFmtId="0" fontId="12" fillId="5" borderId="17" xfId="0" applyFont="1" applyFill="1" applyBorder="1" applyAlignment="1">
      <alignment horizontal="left" vertical="center" indent="3"/>
    </xf>
    <xf numFmtId="177" fontId="12" fillId="5" borderId="7" xfId="0" applyNumberFormat="1" applyFont="1" applyFill="1" applyBorder="1" applyAlignment="1">
      <alignment horizontal="right" vertical="center" indent="1"/>
    </xf>
    <xf numFmtId="0" fontId="4" fillId="2" borderId="27" xfId="0" applyFont="1" applyFill="1" applyBorder="1" applyAlignment="1">
      <alignment horizontal="left" vertical="center" indent="1"/>
    </xf>
    <xf numFmtId="177" fontId="4" fillId="2" borderId="10" xfId="0" applyNumberFormat="1" applyFont="1" applyFill="1" applyBorder="1" applyAlignment="1">
      <alignment horizontal="right" vertical="center" indent="1"/>
    </xf>
    <xf numFmtId="177" fontId="4" fillId="2" borderId="58" xfId="0" applyNumberFormat="1" applyFont="1" applyFill="1" applyBorder="1" applyAlignment="1">
      <alignment horizontal="right" vertical="center" indent="1"/>
    </xf>
    <xf numFmtId="0" fontId="4" fillId="2" borderId="59" xfId="0" applyFont="1" applyFill="1" applyBorder="1" applyAlignment="1">
      <alignment horizontal="left" vertical="center" indent="1"/>
    </xf>
    <xf numFmtId="177" fontId="4" fillId="2" borderId="26" xfId="0" applyNumberFormat="1" applyFont="1" applyFill="1" applyBorder="1" applyAlignment="1">
      <alignment horizontal="right" vertical="center" indent="1"/>
    </xf>
    <xf numFmtId="177" fontId="4" fillId="2" borderId="60" xfId="0" applyNumberFormat="1" applyFont="1" applyFill="1" applyBorder="1" applyAlignment="1">
      <alignment horizontal="right" vertical="center" indent="1"/>
    </xf>
    <xf numFmtId="3" fontId="15" fillId="0" borderId="0" xfId="0" applyNumberFormat="1" applyFont="1">
      <alignment vertical="center"/>
    </xf>
    <xf numFmtId="177" fontId="12" fillId="5" borderId="3" xfId="0" applyNumberFormat="1" applyFont="1" applyFill="1" applyBorder="1" applyAlignment="1">
      <alignment horizontal="right" vertical="center" indent="1"/>
    </xf>
    <xf numFmtId="177" fontId="12" fillId="4" borderId="12" xfId="0" applyNumberFormat="1" applyFont="1" applyFill="1" applyBorder="1" applyAlignment="1">
      <alignment horizontal="left" vertical="center" indent="1"/>
    </xf>
    <xf numFmtId="0" fontId="18" fillId="9" borderId="46" xfId="0" applyFont="1" applyFill="1" applyBorder="1" applyAlignment="1">
      <alignment horizontal="left" vertical="center" indent="1"/>
    </xf>
    <xf numFmtId="0" fontId="18" fillId="9" borderId="61" xfId="0" applyFont="1" applyFill="1" applyBorder="1" applyAlignment="1">
      <alignment horizontal="left" vertical="center" indent="1"/>
    </xf>
    <xf numFmtId="0" fontId="15" fillId="0" borderId="18" xfId="0" applyFont="1" applyBorder="1">
      <alignment vertical="center"/>
    </xf>
    <xf numFmtId="0" fontId="4" fillId="2" borderId="18" xfId="0" applyFont="1" applyFill="1" applyBorder="1" applyAlignment="1">
      <alignment horizontal="center" vertical="center"/>
    </xf>
    <xf numFmtId="0" fontId="4" fillId="8" borderId="11" xfId="0" applyFont="1" applyFill="1" applyBorder="1" applyAlignment="1">
      <alignment horizontal="center" vertical="center"/>
    </xf>
    <xf numFmtId="0" fontId="4" fillId="8" borderId="18" xfId="0" applyFont="1" applyFill="1" applyBorder="1" applyAlignment="1">
      <alignment horizontal="center" vertical="center"/>
    </xf>
    <xf numFmtId="0" fontId="12" fillId="10" borderId="26" xfId="0" applyFont="1" applyFill="1" applyBorder="1" applyAlignment="1">
      <alignment horizontal="left" vertical="center" indent="2"/>
    </xf>
    <xf numFmtId="177" fontId="12" fillId="10" borderId="33" xfId="0" applyNumberFormat="1" applyFont="1" applyFill="1" applyBorder="1" applyAlignment="1">
      <alignment horizontal="right" vertical="center" indent="1"/>
    </xf>
    <xf numFmtId="178" fontId="12" fillId="10" borderId="11" xfId="0" applyNumberFormat="1" applyFont="1" applyFill="1" applyBorder="1" applyAlignment="1">
      <alignment horizontal="right" vertical="center" indent="1"/>
    </xf>
    <xf numFmtId="177" fontId="12" fillId="10" borderId="11" xfId="0" applyNumberFormat="1" applyFont="1" applyFill="1" applyBorder="1" applyAlignment="1">
      <alignment horizontal="right" vertical="center" indent="1"/>
    </xf>
    <xf numFmtId="176" fontId="61" fillId="5" borderId="18" xfId="0" applyNumberFormat="1" applyFont="1" applyFill="1" applyBorder="1" applyAlignment="1">
      <alignment horizontal="left" vertical="center" indent="1"/>
    </xf>
    <xf numFmtId="178" fontId="12" fillId="0" borderId="2" xfId="0" applyNumberFormat="1" applyFont="1" applyBorder="1" applyAlignment="1">
      <alignment horizontal="right" vertical="center" indent="1"/>
    </xf>
    <xf numFmtId="0" fontId="12" fillId="4" borderId="0" xfId="0" applyFont="1" applyFill="1" applyAlignment="1">
      <alignment horizontal="left" vertical="center" indent="2"/>
    </xf>
    <xf numFmtId="0" fontId="18" fillId="3" borderId="29" xfId="0" applyFont="1" applyFill="1" applyBorder="1" applyAlignment="1">
      <alignment horizontal="left" vertical="center"/>
    </xf>
    <xf numFmtId="177" fontId="18" fillId="3" borderId="34" xfId="0" applyNumberFormat="1" applyFont="1" applyFill="1" applyBorder="1" applyAlignment="1">
      <alignment horizontal="right" vertical="center" indent="1"/>
    </xf>
    <xf numFmtId="178" fontId="12" fillId="3" borderId="12" xfId="0" applyNumberFormat="1" applyFont="1" applyFill="1" applyBorder="1" applyAlignment="1">
      <alignment horizontal="right" vertical="center" indent="1"/>
    </xf>
    <xf numFmtId="177" fontId="15" fillId="0" borderId="18" xfId="0" applyNumberFormat="1" applyFont="1" applyBorder="1">
      <alignment vertical="center"/>
    </xf>
    <xf numFmtId="177" fontId="15" fillId="0" borderId="2" xfId="0" applyNumberFormat="1" applyFont="1" applyBorder="1">
      <alignment vertical="center"/>
    </xf>
    <xf numFmtId="177" fontId="15" fillId="0" borderId="14" xfId="0" applyNumberFormat="1" applyFont="1" applyBorder="1">
      <alignment vertical="center"/>
    </xf>
    <xf numFmtId="0" fontId="4" fillId="2" borderId="28" xfId="0" applyFont="1" applyFill="1" applyBorder="1" applyAlignment="1">
      <alignment horizontal="center" vertical="center"/>
    </xf>
    <xf numFmtId="0" fontId="4" fillId="8" borderId="28" xfId="0" applyFont="1" applyFill="1" applyBorder="1" applyAlignment="1">
      <alignment horizontal="center" vertical="center"/>
    </xf>
    <xf numFmtId="0" fontId="12" fillId="4" borderId="4" xfId="0" applyFont="1" applyFill="1" applyBorder="1" applyAlignment="1">
      <alignment horizontal="left" vertical="center" indent="2"/>
    </xf>
    <xf numFmtId="177" fontId="12" fillId="0" borderId="3" xfId="0" applyNumberFormat="1" applyFont="1" applyBorder="1" applyAlignment="1">
      <alignment horizontal="right" vertical="center" indent="1"/>
    </xf>
    <xf numFmtId="178" fontId="12" fillId="0" borderId="6" xfId="0" applyNumberFormat="1" applyFont="1" applyBorder="1" applyAlignment="1">
      <alignment horizontal="right" vertical="center" indent="1"/>
    </xf>
    <xf numFmtId="178" fontId="18" fillId="3" borderId="6" xfId="0" applyNumberFormat="1" applyFont="1" applyFill="1" applyBorder="1" applyAlignment="1">
      <alignment horizontal="right" vertical="center" indent="1"/>
    </xf>
    <xf numFmtId="0" fontId="12" fillId="4" borderId="30" xfId="0" applyFont="1" applyFill="1" applyBorder="1" applyAlignment="1">
      <alignment horizontal="left" vertical="center" indent="2"/>
    </xf>
    <xf numFmtId="0" fontId="18" fillId="4" borderId="29" xfId="0" applyFont="1" applyFill="1" applyBorder="1" applyAlignment="1">
      <alignment horizontal="left" vertical="center" indent="2"/>
    </xf>
    <xf numFmtId="177" fontId="18" fillId="0" borderId="12" xfId="0" applyNumberFormat="1" applyFont="1" applyBorder="1" applyAlignment="1">
      <alignment horizontal="right" vertical="center" indent="1"/>
    </xf>
    <xf numFmtId="178" fontId="18" fillId="0" borderId="12" xfId="0" applyNumberFormat="1" applyFont="1" applyBorder="1" applyAlignment="1">
      <alignment horizontal="right" vertical="center" indent="1"/>
    </xf>
    <xf numFmtId="177" fontId="18" fillId="0" borderId="6" xfId="0" applyNumberFormat="1" applyFont="1" applyBorder="1" applyAlignment="1">
      <alignment horizontal="right" vertical="center" indent="1"/>
    </xf>
    <xf numFmtId="178" fontId="18" fillId="0" borderId="6" xfId="0" applyNumberFormat="1" applyFont="1" applyBorder="1" applyAlignment="1">
      <alignment horizontal="right" vertical="center" indent="1"/>
    </xf>
    <xf numFmtId="0" fontId="12" fillId="4" borderId="30" xfId="0" applyFont="1" applyFill="1" applyBorder="1" applyAlignment="1">
      <alignment horizontal="left" vertical="center" indent="3"/>
    </xf>
    <xf numFmtId="178" fontId="15" fillId="0" borderId="0" xfId="0" applyNumberFormat="1" applyFont="1">
      <alignment vertical="center"/>
    </xf>
    <xf numFmtId="178" fontId="15" fillId="0" borderId="14" xfId="0" applyNumberFormat="1" applyFont="1" applyBorder="1">
      <alignment vertical="center"/>
    </xf>
    <xf numFmtId="0" fontId="4" fillId="2" borderId="25" xfId="0" applyFont="1" applyFill="1" applyBorder="1" applyAlignment="1">
      <alignment horizontal="center" vertical="center"/>
    </xf>
    <xf numFmtId="0" fontId="4" fillId="2" borderId="24" xfId="0" applyFont="1" applyFill="1" applyBorder="1" applyAlignment="1">
      <alignment horizontal="center" vertical="center"/>
    </xf>
    <xf numFmtId="0" fontId="4" fillId="6" borderId="63" xfId="0" applyFont="1" applyFill="1" applyBorder="1" applyAlignment="1">
      <alignment horizontal="center" vertical="center"/>
    </xf>
    <xf numFmtId="0" fontId="4" fillId="8" borderId="25" xfId="0" applyFont="1" applyFill="1" applyBorder="1" applyAlignment="1">
      <alignment horizontal="center" vertical="center"/>
    </xf>
    <xf numFmtId="0" fontId="4" fillId="8" borderId="24" xfId="0" applyFont="1" applyFill="1" applyBorder="1" applyAlignment="1">
      <alignment horizontal="center" vertical="center"/>
    </xf>
    <xf numFmtId="0" fontId="12" fillId="4" borderId="2" xfId="0" applyFont="1" applyFill="1" applyBorder="1" applyAlignment="1">
      <alignment horizontal="left" vertical="center" indent="2"/>
    </xf>
    <xf numFmtId="177" fontId="18" fillId="3" borderId="42" xfId="0" applyNumberFormat="1" applyFont="1" applyFill="1" applyBorder="1" applyAlignment="1">
      <alignment horizontal="right" vertical="center" indent="1"/>
    </xf>
    <xf numFmtId="0" fontId="12" fillId="15" borderId="0" xfId="0" applyFont="1" applyFill="1" applyAlignment="1">
      <alignment horizontal="left" vertical="center" indent="2"/>
    </xf>
    <xf numFmtId="0" fontId="4" fillId="2" borderId="64" xfId="0" applyFont="1" applyFill="1" applyBorder="1" applyAlignment="1">
      <alignment horizontal="center" vertical="center"/>
    </xf>
    <xf numFmtId="177" fontId="18" fillId="0" borderId="37" xfId="0" applyNumberFormat="1" applyFont="1" applyBorder="1" applyAlignment="1">
      <alignment horizontal="right" vertical="center" indent="1"/>
    </xf>
    <xf numFmtId="177" fontId="18" fillId="0" borderId="7" xfId="0" applyNumberFormat="1" applyFont="1" applyBorder="1" applyAlignment="1">
      <alignment horizontal="right" vertical="center" indent="1"/>
    </xf>
    <xf numFmtId="177" fontId="18" fillId="0" borderId="8" xfId="0" applyNumberFormat="1" applyFont="1" applyBorder="1" applyAlignment="1">
      <alignment horizontal="right" vertical="center" indent="1"/>
    </xf>
    <xf numFmtId="177" fontId="18" fillId="3" borderId="55" xfId="0" applyNumberFormat="1" applyFont="1" applyFill="1" applyBorder="1" applyAlignment="1">
      <alignment horizontal="right" vertical="center" indent="1"/>
    </xf>
    <xf numFmtId="0" fontId="12" fillId="4" borderId="3" xfId="0" applyFont="1" applyFill="1" applyBorder="1" applyAlignment="1">
      <alignment horizontal="left" vertical="center" indent="1"/>
    </xf>
    <xf numFmtId="0" fontId="12" fillId="0" borderId="0" xfId="0" applyFont="1">
      <alignment vertical="center"/>
    </xf>
    <xf numFmtId="0" fontId="12" fillId="4" borderId="34" xfId="0" applyFont="1" applyFill="1" applyBorder="1" applyAlignment="1">
      <alignment horizontal="left" vertical="center" indent="1"/>
    </xf>
    <xf numFmtId="177" fontId="12" fillId="0" borderId="12" xfId="0" applyNumberFormat="1" applyFont="1" applyBorder="1" applyAlignment="1">
      <alignment horizontal="right" vertical="center" indent="1"/>
    </xf>
    <xf numFmtId="0" fontId="18" fillId="3" borderId="61" xfId="0" applyFont="1" applyFill="1" applyBorder="1" applyAlignment="1">
      <alignment horizontal="left" vertical="center" indent="1"/>
    </xf>
    <xf numFmtId="177" fontId="31" fillId="3" borderId="66" xfId="0" applyNumberFormat="1" applyFont="1" applyFill="1" applyBorder="1" applyAlignment="1">
      <alignment horizontal="right" vertical="center" indent="1"/>
    </xf>
    <xf numFmtId="177" fontId="31" fillId="3" borderId="62" xfId="0" applyNumberFormat="1" applyFont="1" applyFill="1" applyBorder="1" applyAlignment="1">
      <alignment horizontal="right" vertical="center" indent="1"/>
    </xf>
    <xf numFmtId="0" fontId="18" fillId="9" borderId="46" xfId="0" applyFont="1" applyFill="1" applyBorder="1" applyAlignment="1">
      <alignment horizontal="center" vertical="center" wrapText="1"/>
    </xf>
    <xf numFmtId="177" fontId="18" fillId="9" borderId="46" xfId="0" applyNumberFormat="1" applyFont="1" applyFill="1" applyBorder="1" applyAlignment="1">
      <alignment horizontal="center" vertical="center" wrapText="1"/>
    </xf>
    <xf numFmtId="177" fontId="12" fillId="15" borderId="12" xfId="0" applyNumberFormat="1" applyFont="1" applyFill="1" applyBorder="1" applyAlignment="1">
      <alignment horizontal="left" vertical="center" indent="1"/>
    </xf>
    <xf numFmtId="0" fontId="18" fillId="4" borderId="3" xfId="0" applyFont="1" applyFill="1" applyBorder="1" applyAlignment="1">
      <alignment horizontal="left" vertical="center" indent="1"/>
    </xf>
    <xf numFmtId="177" fontId="12" fillId="0" borderId="65" xfId="0" applyNumberFormat="1" applyFont="1" applyBorder="1" applyAlignment="1">
      <alignment horizontal="right" vertical="center"/>
    </xf>
    <xf numFmtId="177" fontId="12" fillId="0" borderId="3" xfId="0" applyNumberFormat="1" applyFont="1" applyBorder="1" applyAlignment="1">
      <alignment horizontal="right" vertical="center"/>
    </xf>
    <xf numFmtId="0" fontId="18" fillId="4" borderId="34" xfId="0" applyFont="1" applyFill="1" applyBorder="1" applyAlignment="1">
      <alignment horizontal="left" vertical="center" indent="1"/>
    </xf>
    <xf numFmtId="0" fontId="12" fillId="4" borderId="12" xfId="0" applyFont="1" applyFill="1" applyBorder="1" applyAlignment="1">
      <alignment horizontal="left" vertical="center" indent="1"/>
    </xf>
    <xf numFmtId="0" fontId="18" fillId="9" borderId="46" xfId="0" applyFont="1" applyFill="1" applyBorder="1" applyAlignment="1">
      <alignment horizontal="left" vertical="center" wrapText="1" indent="1"/>
    </xf>
    <xf numFmtId="0" fontId="37" fillId="0" borderId="0" xfId="0" applyFont="1" applyAlignment="1">
      <alignment horizontal="right" vertical="center"/>
    </xf>
    <xf numFmtId="0" fontId="37" fillId="7" borderId="0" xfId="0" applyFont="1" applyFill="1">
      <alignment vertical="center"/>
    </xf>
    <xf numFmtId="184" fontId="37" fillId="7" borderId="0" xfId="0" applyNumberFormat="1" applyFont="1" applyFill="1" applyAlignment="1">
      <alignment horizontal="right" vertical="center"/>
    </xf>
    <xf numFmtId="0" fontId="4" fillId="11" borderId="51" xfId="0" applyFont="1" applyFill="1" applyBorder="1" applyAlignment="1">
      <alignment horizontal="center" vertical="center"/>
    </xf>
    <xf numFmtId="0" fontId="4" fillId="2" borderId="51" xfId="0" applyFont="1" applyFill="1" applyBorder="1" applyAlignment="1">
      <alignment horizontal="center" vertical="center"/>
    </xf>
    <xf numFmtId="0" fontId="4" fillId="2" borderId="51" xfId="0" applyFont="1" applyFill="1" applyBorder="1" applyAlignment="1">
      <alignment horizontal="center" vertical="center" wrapText="1"/>
    </xf>
    <xf numFmtId="0" fontId="4" fillId="11" borderId="43" xfId="0" applyFont="1" applyFill="1" applyBorder="1" applyAlignment="1">
      <alignment horizontal="center" vertical="center"/>
    </xf>
    <xf numFmtId="0" fontId="4" fillId="2" borderId="43" xfId="0" applyFont="1" applyFill="1" applyBorder="1" applyAlignment="1">
      <alignment horizontal="center" vertical="center" wrapText="1"/>
    </xf>
    <xf numFmtId="14" fontId="12" fillId="5" borderId="65" xfId="0" applyNumberFormat="1" applyFont="1" applyFill="1" applyBorder="1" applyAlignment="1">
      <alignment horizontal="right" vertical="center" indent="1"/>
    </xf>
    <xf numFmtId="185" fontId="12" fillId="5" borderId="65" xfId="0" applyNumberFormat="1" applyFont="1" applyFill="1" applyBorder="1" applyAlignment="1">
      <alignment horizontal="right" vertical="center" indent="1"/>
    </xf>
    <xf numFmtId="183" fontId="12" fillId="0" borderId="65" xfId="0" applyNumberFormat="1" applyFont="1" applyBorder="1" applyAlignment="1">
      <alignment horizontal="left" vertical="center" indent="1"/>
    </xf>
    <xf numFmtId="183" fontId="12" fillId="0" borderId="65" xfId="0" applyNumberFormat="1" applyFont="1" applyBorder="1">
      <alignment vertical="center"/>
    </xf>
    <xf numFmtId="183" fontId="12" fillId="0" borderId="65" xfId="0" applyNumberFormat="1" applyFont="1" applyBorder="1" applyAlignment="1">
      <alignment horizontal="right" vertical="center" indent="1"/>
    </xf>
    <xf numFmtId="0" fontId="12" fillId="4" borderId="34" xfId="0" applyFont="1" applyFill="1" applyBorder="1" applyAlignment="1">
      <alignment horizontal="center" vertical="center"/>
    </xf>
    <xf numFmtId="14" fontId="12" fillId="5" borderId="20" xfId="0" applyNumberFormat="1" applyFont="1" applyFill="1" applyBorder="1" applyAlignment="1">
      <alignment horizontal="right" vertical="center" indent="1"/>
    </xf>
    <xf numFmtId="14" fontId="12" fillId="0" borderId="6" xfId="0" applyNumberFormat="1" applyFont="1" applyBorder="1" applyAlignment="1">
      <alignment horizontal="right" vertical="center" indent="1"/>
    </xf>
    <xf numFmtId="183" fontId="12" fillId="0" borderId="6" xfId="0" applyNumberFormat="1" applyFont="1" applyBorder="1">
      <alignment vertical="center"/>
    </xf>
    <xf numFmtId="0" fontId="40" fillId="5" borderId="7" xfId="0" applyFont="1" applyFill="1" applyBorder="1" applyAlignment="1">
      <alignment horizontal="left" vertical="center" indent="1"/>
    </xf>
    <xf numFmtId="176" fontId="12" fillId="0" borderId="6" xfId="0" applyNumberFormat="1" applyFont="1" applyBorder="1" applyAlignment="1">
      <alignment horizontal="left" vertical="center" indent="1"/>
    </xf>
    <xf numFmtId="176" fontId="12" fillId="0" borderId="7" xfId="0" applyNumberFormat="1" applyFont="1" applyBorder="1" applyAlignment="1">
      <alignment horizontal="left" vertical="center" indent="1"/>
    </xf>
    <xf numFmtId="176" fontId="18" fillId="3" borderId="7" xfId="0" applyNumberFormat="1" applyFont="1" applyFill="1" applyBorder="1" applyAlignment="1">
      <alignment horizontal="right" vertical="center" indent="1"/>
    </xf>
    <xf numFmtId="0" fontId="18" fillId="3" borderId="7" xfId="0" applyFont="1" applyFill="1" applyBorder="1" applyAlignment="1">
      <alignment horizontal="left" vertical="center" indent="1"/>
    </xf>
    <xf numFmtId="0" fontId="15" fillId="0" borderId="0" xfId="0" applyFont="1" applyAlignment="1">
      <alignment horizontal="right"/>
    </xf>
    <xf numFmtId="0" fontId="12" fillId="0" borderId="65" xfId="0" applyFont="1" applyBorder="1" applyAlignment="1">
      <alignment horizontal="left" vertical="center" wrapText="1" indent="1"/>
    </xf>
    <xf numFmtId="183" fontId="12" fillId="0" borderId="65" xfId="0" applyNumberFormat="1" applyFont="1" applyBorder="1" applyAlignment="1">
      <alignment horizontal="center" vertical="center" wrapText="1"/>
    </xf>
    <xf numFmtId="188" fontId="12" fillId="0" borderId="65" xfId="0" applyNumberFormat="1" applyFont="1" applyBorder="1" applyAlignment="1">
      <alignment horizontal="right" vertical="center" indent="1"/>
    </xf>
    <xf numFmtId="176" fontId="12" fillId="0" borderId="65" xfId="0" applyNumberFormat="1" applyFont="1" applyBorder="1" applyAlignment="1">
      <alignment horizontal="right" vertical="center" indent="1"/>
    </xf>
    <xf numFmtId="0" fontId="12" fillId="5" borderId="65" xfId="0" applyFont="1" applyFill="1" applyBorder="1" applyAlignment="1">
      <alignment horizontal="left" vertical="center" wrapText="1" indent="1"/>
    </xf>
    <xf numFmtId="0" fontId="3" fillId="2" borderId="3" xfId="0" applyFont="1" applyFill="1" applyBorder="1" applyAlignment="1">
      <alignment horizontal="center" vertical="center"/>
    </xf>
    <xf numFmtId="0" fontId="3" fillId="2" borderId="53" xfId="0" applyFont="1" applyFill="1" applyBorder="1" applyAlignment="1">
      <alignment horizontal="center" vertical="center"/>
    </xf>
    <xf numFmtId="0" fontId="3" fillId="2" borderId="1" xfId="0" applyFont="1" applyFill="1" applyBorder="1" applyAlignment="1">
      <alignment horizontal="left" vertical="center" indent="3"/>
    </xf>
    <xf numFmtId="180" fontId="4" fillId="2" borderId="43" xfId="0" applyNumberFormat="1" applyFont="1" applyFill="1" applyBorder="1" applyAlignment="1">
      <alignment horizontal="center" vertical="center"/>
    </xf>
    <xf numFmtId="0" fontId="12" fillId="0" borderId="65" xfId="0" applyFont="1" applyBorder="1" applyAlignment="1">
      <alignment horizontal="left" vertical="center" indent="1"/>
    </xf>
    <xf numFmtId="189" fontId="12" fillId="0" borderId="65" xfId="0" applyNumberFormat="1" applyFont="1" applyBorder="1" applyAlignment="1">
      <alignment horizontal="right" vertical="center" indent="1"/>
    </xf>
    <xf numFmtId="190" fontId="12" fillId="0" borderId="65" xfId="0" applyNumberFormat="1" applyFont="1" applyBorder="1" applyAlignment="1">
      <alignment horizontal="right" vertical="center" indent="1"/>
    </xf>
    <xf numFmtId="189" fontId="12" fillId="0" borderId="6" xfId="0" applyNumberFormat="1" applyFont="1" applyBorder="1" applyAlignment="1">
      <alignment horizontal="right" vertical="center" indent="1"/>
    </xf>
    <xf numFmtId="190" fontId="12" fillId="0" borderId="6" xfId="0" applyNumberFormat="1" applyFont="1" applyBorder="1" applyAlignment="1">
      <alignment horizontal="right" vertical="center" indent="1"/>
    </xf>
    <xf numFmtId="190" fontId="12" fillId="0" borderId="12" xfId="0" applyNumberFormat="1" applyFont="1" applyBorder="1" applyAlignment="1">
      <alignment horizontal="right" vertical="center" indent="1"/>
    </xf>
    <xf numFmtId="0" fontId="12" fillId="5" borderId="7" xfId="0" applyFont="1" applyFill="1" applyBorder="1" applyAlignment="1">
      <alignment horizontal="left" vertical="center" wrapText="1" indent="1"/>
    </xf>
    <xf numFmtId="183" fontId="12" fillId="0" borderId="12" xfId="0" applyNumberFormat="1" applyFont="1" applyBorder="1" applyAlignment="1">
      <alignment horizontal="right" vertical="center" indent="1"/>
    </xf>
    <xf numFmtId="0" fontId="12" fillId="3" borderId="20" xfId="0" applyFont="1" applyFill="1" applyBorder="1" applyAlignment="1">
      <alignment horizontal="center" vertical="center"/>
    </xf>
    <xf numFmtId="183" fontId="18" fillId="3" borderId="6" xfId="0" applyNumberFormat="1" applyFont="1" applyFill="1" applyBorder="1" applyAlignment="1">
      <alignment horizontal="right" vertical="center" indent="1"/>
    </xf>
    <xf numFmtId="0" fontId="62" fillId="3" borderId="7" xfId="0" applyFont="1" applyFill="1" applyBorder="1" applyAlignment="1">
      <alignment horizontal="left" vertical="center" wrapText="1" indent="1"/>
    </xf>
    <xf numFmtId="183" fontId="12" fillId="0" borderId="6" xfId="0" applyNumberFormat="1" applyFont="1" applyBorder="1" applyAlignment="1">
      <alignment horizontal="left" vertical="center" wrapText="1" indent="1"/>
    </xf>
    <xf numFmtId="0" fontId="15" fillId="0" borderId="0" xfId="0" applyFont="1" applyAlignment="1">
      <alignment vertical="center" wrapText="1"/>
    </xf>
    <xf numFmtId="191" fontId="15" fillId="0" borderId="0" xfId="0" applyNumberFormat="1" applyFont="1">
      <alignment vertical="center"/>
    </xf>
    <xf numFmtId="0" fontId="34" fillId="8" borderId="43" xfId="0" applyFont="1" applyFill="1" applyBorder="1" applyAlignment="1">
      <alignment horizontal="center" vertical="center"/>
    </xf>
    <xf numFmtId="0" fontId="36" fillId="4" borderId="20" xfId="0" applyFont="1" applyFill="1" applyBorder="1" applyAlignment="1">
      <alignment horizontal="right" vertical="center" indent="1"/>
    </xf>
    <xf numFmtId="178" fontId="36" fillId="0" borderId="6" xfId="0" applyNumberFormat="1" applyFont="1" applyBorder="1" applyAlignment="1">
      <alignment horizontal="right" vertical="center" indent="1"/>
    </xf>
    <xf numFmtId="177" fontId="12" fillId="0" borderId="12" xfId="0" applyNumberFormat="1" applyFont="1" applyBorder="1" applyAlignment="1">
      <alignment horizontal="right" vertical="center"/>
    </xf>
    <xf numFmtId="177" fontId="37" fillId="0" borderId="29" xfId="0" applyNumberFormat="1" applyFont="1" applyBorder="1">
      <alignment vertical="center"/>
    </xf>
    <xf numFmtId="0" fontId="12" fillId="4" borderId="36" xfId="0" applyFont="1" applyFill="1" applyBorder="1" applyAlignment="1">
      <alignment horizontal="left" vertical="center" indent="2"/>
    </xf>
    <xf numFmtId="177" fontId="12" fillId="0" borderId="36" xfId="0" applyNumberFormat="1" applyFont="1" applyBorder="1" applyAlignment="1">
      <alignment horizontal="right" vertical="center"/>
    </xf>
    <xf numFmtId="0" fontId="12" fillId="4" borderId="18" xfId="0" applyFont="1" applyFill="1" applyBorder="1" applyAlignment="1">
      <alignment horizontal="left" vertical="center" indent="2"/>
    </xf>
    <xf numFmtId="177" fontId="12" fillId="0" borderId="2" xfId="0" applyNumberFormat="1" applyFont="1" applyBorder="1" applyAlignment="1">
      <alignment horizontal="right" vertical="center"/>
    </xf>
    <xf numFmtId="177" fontId="12" fillId="0" borderId="6" xfId="0" applyNumberFormat="1" applyFont="1" applyBorder="1" applyAlignment="1">
      <alignment horizontal="right" vertical="center"/>
    </xf>
    <xf numFmtId="0" fontId="18" fillId="3" borderId="68" xfId="0" applyFont="1" applyFill="1" applyBorder="1" applyAlignment="1">
      <alignment horizontal="left" vertical="center" indent="1"/>
    </xf>
    <xf numFmtId="177" fontId="18" fillId="0" borderId="69" xfId="0" applyNumberFormat="1" applyFont="1" applyBorder="1" applyAlignment="1">
      <alignment horizontal="right" vertical="center" indent="1"/>
    </xf>
    <xf numFmtId="177" fontId="15" fillId="0" borderId="70" xfId="0" applyNumberFormat="1" applyFont="1" applyBorder="1">
      <alignment vertical="center"/>
    </xf>
    <xf numFmtId="0" fontId="12" fillId="4" borderId="71" xfId="0" applyFont="1" applyFill="1" applyBorder="1" applyAlignment="1">
      <alignment horizontal="left" vertical="center" indent="1"/>
    </xf>
    <xf numFmtId="0" fontId="12" fillId="4" borderId="23" xfId="0" applyFont="1" applyFill="1" applyBorder="1" applyAlignment="1">
      <alignment horizontal="left" vertical="center" indent="1"/>
    </xf>
    <xf numFmtId="0" fontId="12" fillId="0" borderId="18" xfId="0" applyFont="1" applyBorder="1" applyAlignment="1">
      <alignment horizontal="left" vertical="center" indent="2"/>
    </xf>
    <xf numFmtId="183" fontId="12" fillId="0" borderId="2" xfId="0" applyNumberFormat="1" applyFont="1" applyBorder="1" applyAlignment="1">
      <alignment horizontal="left" vertical="center" indent="2"/>
    </xf>
    <xf numFmtId="0" fontId="12" fillId="0" borderId="0" xfId="0" applyFont="1" applyAlignment="1">
      <alignment horizontal="left" vertical="center" indent="2"/>
    </xf>
    <xf numFmtId="183" fontId="12" fillId="0" borderId="0" xfId="0" applyNumberFormat="1" applyFont="1" applyAlignment="1">
      <alignment horizontal="left" vertical="center" indent="2"/>
    </xf>
    <xf numFmtId="0" fontId="18" fillId="4" borderId="73" xfId="0" applyFont="1" applyFill="1" applyBorder="1" applyAlignment="1">
      <alignment horizontal="left" vertical="center" indent="1"/>
    </xf>
    <xf numFmtId="0" fontId="18" fillId="4" borderId="29" xfId="0" applyFont="1" applyFill="1" applyBorder="1" applyAlignment="1">
      <alignment horizontal="left" vertical="center" indent="1"/>
    </xf>
    <xf numFmtId="0" fontId="12" fillId="4" borderId="18" xfId="0" applyFont="1" applyFill="1" applyBorder="1" applyAlignment="1">
      <alignment horizontal="left" vertical="center" wrapText="1" indent="2"/>
    </xf>
    <xf numFmtId="190" fontId="12" fillId="4" borderId="71" xfId="0" applyNumberFormat="1" applyFont="1" applyFill="1" applyBorder="1" applyAlignment="1">
      <alignment horizontal="right" vertical="center" indent="1"/>
    </xf>
    <xf numFmtId="190" fontId="12" fillId="0" borderId="2" xfId="0" applyNumberFormat="1" applyFont="1" applyBorder="1" applyAlignment="1">
      <alignment horizontal="right" vertical="center" indent="1"/>
    </xf>
    <xf numFmtId="190" fontId="12" fillId="0" borderId="0" xfId="0" applyNumberFormat="1" applyFont="1" applyAlignment="1">
      <alignment horizontal="right" vertical="center" indent="1"/>
    </xf>
    <xf numFmtId="190" fontId="12" fillId="4" borderId="34" xfId="0" applyNumberFormat="1" applyFont="1" applyFill="1" applyBorder="1" applyAlignment="1">
      <alignment horizontal="right" vertical="center" indent="1"/>
    </xf>
    <xf numFmtId="190" fontId="18" fillId="4" borderId="29" xfId="0" applyNumberFormat="1" applyFont="1" applyFill="1" applyBorder="1" applyAlignment="1">
      <alignment horizontal="right" vertical="center" indent="1"/>
    </xf>
    <xf numFmtId="190" fontId="12" fillId="4" borderId="29" xfId="0" applyNumberFormat="1" applyFont="1" applyFill="1" applyBorder="1">
      <alignment vertical="center"/>
    </xf>
    <xf numFmtId="190" fontId="12" fillId="0" borderId="2" xfId="0" applyNumberFormat="1" applyFont="1" applyBorder="1">
      <alignment vertical="center"/>
    </xf>
    <xf numFmtId="190" fontId="12" fillId="0" borderId="0" xfId="0" applyNumberFormat="1" applyFont="1">
      <alignment vertical="center"/>
    </xf>
    <xf numFmtId="190" fontId="12" fillId="4" borderId="34" xfId="0" applyNumberFormat="1" applyFont="1" applyFill="1" applyBorder="1">
      <alignment vertical="center"/>
    </xf>
    <xf numFmtId="190" fontId="18" fillId="4" borderId="73" xfId="0" applyNumberFormat="1" applyFont="1" applyFill="1" applyBorder="1">
      <alignment vertical="center"/>
    </xf>
    <xf numFmtId="190" fontId="18" fillId="4" borderId="29" xfId="0" applyNumberFormat="1" applyFont="1" applyFill="1" applyBorder="1">
      <alignment vertical="center"/>
    </xf>
    <xf numFmtId="0" fontId="3" fillId="2" borderId="1" xfId="0" applyFont="1" applyFill="1" applyBorder="1" applyAlignment="1">
      <alignment horizontal="center" vertical="center"/>
    </xf>
    <xf numFmtId="0" fontId="59" fillId="7" borderId="0" xfId="0" applyFont="1" applyFill="1" applyAlignment="1">
      <alignment horizontal="center" vertical="center"/>
    </xf>
    <xf numFmtId="0" fontId="4" fillId="2" borderId="10" xfId="0" applyFont="1" applyFill="1" applyBorder="1" applyAlignment="1">
      <alignment horizontal="center" vertical="center"/>
    </xf>
    <xf numFmtId="0" fontId="3" fillId="2" borderId="15" xfId="0" applyFont="1" applyFill="1" applyBorder="1" applyAlignment="1">
      <alignment horizontal="center" vertical="center"/>
    </xf>
    <xf numFmtId="0" fontId="3" fillId="2" borderId="19" xfId="0" applyFont="1" applyFill="1" applyBorder="1" applyAlignment="1">
      <alignment horizontal="center" vertical="center"/>
    </xf>
    <xf numFmtId="0" fontId="4" fillId="8" borderId="10"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0" xfId="0" applyFont="1" applyFill="1" applyAlignment="1">
      <alignment horizontal="center" vertical="center"/>
    </xf>
    <xf numFmtId="0" fontId="4" fillId="2" borderId="27" xfId="0" applyFont="1" applyFill="1" applyBorder="1" applyAlignment="1">
      <alignment horizontal="center" vertical="center"/>
    </xf>
    <xf numFmtId="0" fontId="3" fillId="8" borderId="10" xfId="0" applyFont="1" applyFill="1" applyBorder="1" applyAlignment="1">
      <alignment horizontal="center" vertical="center" wrapText="1"/>
    </xf>
    <xf numFmtId="0" fontId="3" fillId="2" borderId="31" xfId="0" applyFont="1" applyFill="1" applyBorder="1" applyAlignment="1">
      <alignment horizontal="center" vertical="center"/>
    </xf>
    <xf numFmtId="0" fontId="3" fillId="2" borderId="27" xfId="0" applyFont="1" applyFill="1" applyBorder="1" applyAlignment="1">
      <alignment horizontal="center" vertical="center"/>
    </xf>
    <xf numFmtId="0" fontId="4" fillId="8" borderId="10" xfId="0" applyFont="1" applyFill="1" applyBorder="1" applyAlignment="1">
      <alignment horizontal="center" vertical="center" wrapText="1"/>
    </xf>
    <xf numFmtId="0" fontId="4" fillId="2" borderId="14" xfId="0" applyFont="1" applyFill="1" applyBorder="1" applyAlignment="1">
      <alignment horizontal="center" vertical="center"/>
    </xf>
    <xf numFmtId="0" fontId="4" fillId="2" borderId="52" xfId="0" applyFont="1" applyFill="1" applyBorder="1" applyAlignment="1">
      <alignment horizontal="center" vertical="center"/>
    </xf>
    <xf numFmtId="0" fontId="4" fillId="2" borderId="56" xfId="0" applyFont="1" applyFill="1" applyBorder="1" applyAlignment="1">
      <alignment horizontal="center" vertical="center"/>
    </xf>
    <xf numFmtId="0" fontId="4" fillId="8" borderId="2" xfId="0" applyFont="1" applyFill="1" applyBorder="1" applyAlignment="1">
      <alignment horizontal="center" vertical="center" wrapText="1"/>
    </xf>
    <xf numFmtId="0" fontId="4" fillId="8" borderId="14" xfId="0" applyFont="1" applyFill="1" applyBorder="1" applyAlignment="1">
      <alignment horizontal="center" vertical="center" wrapText="1"/>
    </xf>
    <xf numFmtId="0" fontId="3" fillId="8" borderId="14" xfId="0" applyFont="1" applyFill="1" applyBorder="1" applyAlignment="1">
      <alignment horizontal="center" vertical="center" wrapText="1"/>
    </xf>
    <xf numFmtId="177" fontId="12" fillId="0" borderId="65" xfId="0" applyNumberFormat="1" applyFont="1" applyBorder="1" applyAlignment="1">
      <alignment horizontal="center" vertical="center"/>
    </xf>
    <xf numFmtId="177" fontId="12" fillId="0" borderId="2" xfId="0" applyNumberFormat="1" applyFont="1" applyBorder="1" applyAlignment="1">
      <alignment horizontal="center" vertical="center"/>
    </xf>
    <xf numFmtId="0" fontId="3" fillId="2" borderId="52" xfId="0" applyFont="1" applyFill="1" applyBorder="1" applyAlignment="1">
      <alignment horizontal="center" vertical="center"/>
    </xf>
    <xf numFmtId="0" fontId="3" fillId="2" borderId="56" xfId="0" applyFont="1" applyFill="1" applyBorder="1" applyAlignment="1">
      <alignment horizontal="center" vertical="center"/>
    </xf>
    <xf numFmtId="0" fontId="34" fillId="2" borderId="1" xfId="0" applyFont="1" applyFill="1" applyBorder="1" applyAlignment="1">
      <alignment horizontal="center" vertical="center"/>
    </xf>
    <xf numFmtId="183" fontId="5" fillId="3" borderId="6" xfId="0" applyNumberFormat="1" applyFont="1" applyFill="1" applyBorder="1" applyAlignment="1">
      <alignment horizontal="center" vertical="center"/>
    </xf>
    <xf numFmtId="0" fontId="3" fillId="2" borderId="10" xfId="0" applyFont="1" applyFill="1" applyBorder="1" applyAlignment="1">
      <alignment horizontal="center" vertical="center"/>
    </xf>
    <xf numFmtId="183" fontId="7" fillId="0" borderId="6" xfId="0" applyNumberFormat="1" applyFont="1" applyBorder="1" applyAlignment="1">
      <alignment horizontal="center" vertical="center"/>
    </xf>
    <xf numFmtId="183" fontId="5" fillId="3" borderId="7" xfId="0" applyNumberFormat="1" applyFont="1" applyFill="1" applyBorder="1" applyAlignment="1">
      <alignment horizontal="center" vertical="center"/>
    </xf>
    <xf numFmtId="0" fontId="3" fillId="2" borderId="10"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31" xfId="0" applyFont="1" applyFill="1" applyBorder="1" applyAlignment="1">
      <alignment horizontal="center" vertical="center"/>
    </xf>
    <xf numFmtId="183" fontId="18" fillId="3" borderId="7" xfId="0" applyNumberFormat="1" applyFont="1" applyFill="1" applyBorder="1" applyAlignment="1">
      <alignment horizontal="center" vertical="center"/>
    </xf>
    <xf numFmtId="0" fontId="18" fillId="5" borderId="0" xfId="0" applyFont="1" applyFill="1" applyAlignment="1">
      <alignment horizontal="left" vertical="center" indent="1"/>
    </xf>
    <xf numFmtId="187" fontId="52" fillId="4" borderId="74" xfId="0" applyNumberFormat="1" applyFont="1" applyFill="1" applyBorder="1" applyAlignment="1">
      <alignment horizontal="center" vertical="center"/>
    </xf>
    <xf numFmtId="187" fontId="38" fillId="4" borderId="74" xfId="0" applyNumberFormat="1" applyFont="1" applyFill="1" applyBorder="1" applyAlignment="1">
      <alignment horizontal="center" vertical="center"/>
    </xf>
    <xf numFmtId="187" fontId="47" fillId="2" borderId="74" xfId="0" applyNumberFormat="1" applyFont="1" applyFill="1" applyBorder="1" applyAlignment="1">
      <alignment horizontal="center" vertical="center"/>
    </xf>
    <xf numFmtId="0" fontId="15" fillId="4" borderId="74" xfId="0" applyFont="1" applyFill="1" applyBorder="1" applyAlignment="1">
      <alignment horizontal="center" vertical="center"/>
    </xf>
    <xf numFmtId="0" fontId="39" fillId="4" borderId="74" xfId="0" applyFont="1" applyFill="1" applyBorder="1" applyAlignment="1">
      <alignment horizontal="center" vertical="center"/>
    </xf>
    <xf numFmtId="0" fontId="2" fillId="4" borderId="74" xfId="0" applyFont="1" applyFill="1" applyBorder="1" applyAlignment="1">
      <alignment horizontal="center" vertical="center"/>
    </xf>
    <xf numFmtId="0" fontId="2" fillId="7" borderId="74" xfId="0" applyFont="1" applyFill="1" applyBorder="1" applyAlignment="1">
      <alignment horizontal="center" vertical="center"/>
    </xf>
    <xf numFmtId="0" fontId="15" fillId="14" borderId="74" xfId="0" applyFont="1" applyFill="1" applyBorder="1" applyAlignment="1">
      <alignment horizontal="center" vertical="center"/>
    </xf>
    <xf numFmtId="0" fontId="7" fillId="4" borderId="34" xfId="0" applyFont="1" applyFill="1" applyBorder="1" applyAlignment="1">
      <alignment horizontal="left" vertical="center" indent="1"/>
    </xf>
    <xf numFmtId="0" fontId="7" fillId="4" borderId="76" xfId="0" applyFont="1" applyFill="1" applyBorder="1" applyAlignment="1">
      <alignment horizontal="left" vertical="center" indent="1"/>
    </xf>
    <xf numFmtId="0" fontId="7" fillId="4" borderId="94" xfId="0" applyFont="1" applyFill="1" applyBorder="1" applyAlignment="1">
      <alignment horizontal="left" vertical="center" indent="1"/>
    </xf>
    <xf numFmtId="0" fontId="5" fillId="3" borderId="95" xfId="0" applyFont="1" applyFill="1" applyBorder="1" applyAlignment="1">
      <alignment horizontal="left" vertical="center" indent="1"/>
    </xf>
  </cellXfs>
  <cellStyles count="2">
    <cellStyle name="標準" xfId="0" builtinId="0"/>
    <cellStyle name="標準 2" xfId="1"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2060"/>
      <rgbColor rgb="FF808000"/>
      <rgbColor rgb="FF800080"/>
      <rgbColor rgb="FF0889C9"/>
      <rgbColor rgb="FFBFBFBF"/>
      <rgbColor rgb="FF727F88"/>
      <rgbColor rgb="FFA3B0B6"/>
      <rgbColor rgb="FF993366"/>
      <rgbColor rgb="FFF2F2F2"/>
      <rgbColor rgb="FFDDF5F0"/>
      <rgbColor rgb="FF660066"/>
      <rgbColor rgb="FFFF8080"/>
      <rgbColor rgb="FF0066CC"/>
      <rgbColor rgb="FFC9D1D5"/>
      <rgbColor rgb="FF000080"/>
      <rgbColor rgb="FFFF00FF"/>
      <rgbColor rgb="FFE1F2FB"/>
      <rgbColor rgb="FF00FFFF"/>
      <rgbColor rgb="FF800080"/>
      <rgbColor rgb="FF800000"/>
      <rgbColor rgb="FF008080"/>
      <rgbColor rgb="FF0000FF"/>
      <rgbColor rgb="FF00B0F0"/>
      <rgbColor rgb="FFCCECFF"/>
      <rgbColor rgb="FFE1F3FB"/>
      <rgbColor rgb="FFE3E7E9"/>
      <rgbColor rgb="FFB7E2F5"/>
      <rgbColor rgb="FFD9D9D9"/>
      <rgbColor rgb="FFA6A6A6"/>
      <rgbColor rgb="FFFFCCCC"/>
      <rgbColor rgb="FF3366FF"/>
      <rgbColor rgb="FF54CCB3"/>
      <rgbColor rgb="FF99CC00"/>
      <rgbColor rgb="FFE3E5E7"/>
      <rgbColor rgb="FFFF9900"/>
      <rgbColor rgb="FFFF6600"/>
      <rgbColor rgb="FF666699"/>
      <rgbColor rgb="FF8B8B8B"/>
      <rgbColor rgb="FF044464"/>
      <rgbColor rgb="FF339966"/>
      <rgbColor rgb="FF0B3041"/>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1.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c:style val="2"/>
  <c:chart>
    <c:autoTitleDeleted val="1"/>
    <c:plotArea>
      <c:layout/>
      <c:barChart>
        <c:barDir val="bar"/>
        <c:grouping val="stacked"/>
        <c:varyColors val="0"/>
        <c:ser>
          <c:idx val="0"/>
          <c:order val="0"/>
          <c:spPr>
            <a:noFill/>
            <a:ln w="0">
              <a:noFill/>
            </a:ln>
          </c:spPr>
          <c:invertIfNegative val="0"/>
          <c:dLbls>
            <c:spPr>
              <a:noFill/>
              <a:ln>
                <a:noFill/>
              </a:ln>
              <a:effectLst/>
            </c:spPr>
            <c:txPr>
              <a:bodyPr wrap="square"/>
              <a:lstStyle/>
              <a:p>
                <a:pPr>
                  <a:defRPr sz="1000" b="0" strike="noStrike" spc="-1">
                    <a:solidFill>
                      <a:srgbClr val="000000"/>
                    </a:solidFill>
                    <a:latin typeface="Arial"/>
                    <a:ea typeface="游ゴシック Medium"/>
                  </a:defRPr>
                </a:pPr>
                <a:endParaRPr lang="ja-JP"/>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'株式価値 '!$B$4:$B$6</c:f>
              <c:strCache>
                <c:ptCount val="3"/>
                <c:pt idx="0">
                  <c:v>インカム</c:v>
                </c:pt>
                <c:pt idx="1">
                  <c:v>マーケット</c:v>
                </c:pt>
                <c:pt idx="2">
                  <c:v>コスト</c:v>
                </c:pt>
              </c:strCache>
            </c:strRef>
          </c:cat>
          <c:val>
            <c:numRef>
              <c:f>'株式価値 '!$C$4:$C$6</c:f>
              <c:numCache>
                <c:formatCode>#,##0,</c:formatCode>
                <c:ptCount val="3"/>
                <c:pt idx="0">
                  <c:v>0</c:v>
                </c:pt>
                <c:pt idx="1">
                  <c:v>112202288.05</c:v>
                </c:pt>
                <c:pt idx="2">
                  <c:v>33185614.849999998</c:v>
                </c:pt>
              </c:numCache>
            </c:numRef>
          </c:val>
          <c:extLst>
            <c:ext xmlns:c16="http://schemas.microsoft.com/office/drawing/2014/chart" uri="{C3380CC4-5D6E-409C-BE32-E72D297353CC}">
              <c16:uniqueId val="{00000000-2F81-458F-AFAC-1EDF1CE5997A}"/>
            </c:ext>
          </c:extLst>
        </c:ser>
        <c:ser>
          <c:idx val="1"/>
          <c:order val="1"/>
          <c:spPr>
            <a:solidFill>
              <a:srgbClr val="0889C9"/>
            </a:solidFill>
            <a:ln w="0">
              <a:noFill/>
            </a:ln>
          </c:spPr>
          <c:invertIfNegative val="0"/>
          <c:dLbls>
            <c:spPr>
              <a:noFill/>
              <a:ln>
                <a:noFill/>
              </a:ln>
              <a:effectLst/>
            </c:spPr>
            <c:txPr>
              <a:bodyPr wrap="square"/>
              <a:lstStyle/>
              <a:p>
                <a:pPr>
                  <a:defRPr sz="1000" b="0" strike="noStrike" spc="-1">
                    <a:solidFill>
                      <a:srgbClr val="000000"/>
                    </a:solidFill>
                    <a:latin typeface="Arial"/>
                    <a:ea typeface="游ゴシック Medium"/>
                  </a:defRPr>
                </a:pPr>
                <a:endParaRPr lang="ja-JP"/>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'株式価値 '!$B$4:$B$6</c:f>
              <c:strCache>
                <c:ptCount val="3"/>
                <c:pt idx="0">
                  <c:v>インカム</c:v>
                </c:pt>
                <c:pt idx="1">
                  <c:v>マーケット</c:v>
                </c:pt>
                <c:pt idx="2">
                  <c:v>コスト</c:v>
                </c:pt>
              </c:strCache>
            </c:strRef>
          </c:cat>
          <c:val>
            <c:numRef>
              <c:f>'株式価値 '!$D$4:$D$6</c:f>
              <c:numCache>
                <c:formatCode>#,##0,</c:formatCode>
                <c:ptCount val="3"/>
                <c:pt idx="0">
                  <c:v>0</c:v>
                </c:pt>
                <c:pt idx="1">
                  <c:v>71189198.700000033</c:v>
                </c:pt>
                <c:pt idx="2">
                  <c:v>51013673.700000003</c:v>
                </c:pt>
              </c:numCache>
            </c:numRef>
          </c:val>
          <c:extLst>
            <c:ext xmlns:c16="http://schemas.microsoft.com/office/drawing/2014/chart" uri="{C3380CC4-5D6E-409C-BE32-E72D297353CC}">
              <c16:uniqueId val="{00000001-2F81-458F-AFAC-1EDF1CE5997A}"/>
            </c:ext>
          </c:extLst>
        </c:ser>
        <c:dLbls>
          <c:showLegendKey val="0"/>
          <c:showVal val="0"/>
          <c:showCatName val="0"/>
          <c:showSerName val="0"/>
          <c:showPercent val="0"/>
          <c:showBubbleSize val="0"/>
        </c:dLbls>
        <c:gapWidth val="70"/>
        <c:overlap val="100"/>
        <c:axId val="70114149"/>
        <c:axId val="98614812"/>
      </c:barChart>
      <c:catAx>
        <c:axId val="70114149"/>
        <c:scaling>
          <c:orientation val="minMax"/>
        </c:scaling>
        <c:delete val="1"/>
        <c:axPos val="l"/>
        <c:numFmt formatCode="General" sourceLinked="1"/>
        <c:majorTickMark val="out"/>
        <c:minorTickMark val="none"/>
        <c:tickLblPos val="nextTo"/>
        <c:crossAx val="98614812"/>
        <c:crosses val="autoZero"/>
        <c:auto val="1"/>
        <c:lblAlgn val="ctr"/>
        <c:lblOffset val="100"/>
        <c:noMultiLvlLbl val="0"/>
      </c:catAx>
      <c:valAx>
        <c:axId val="98614812"/>
        <c:scaling>
          <c:orientation val="minMax"/>
        </c:scaling>
        <c:delete val="0"/>
        <c:axPos val="b"/>
        <c:majorGridlines>
          <c:spPr>
            <a:ln w="9360">
              <a:solidFill>
                <a:srgbClr val="0B3041"/>
              </a:solidFill>
              <a:round/>
            </a:ln>
          </c:spPr>
        </c:majorGridlines>
        <c:numFmt formatCode="#,##0," sourceLinked="0"/>
        <c:majorTickMark val="out"/>
        <c:minorTickMark val="none"/>
        <c:tickLblPos val="nextTo"/>
        <c:spPr>
          <a:ln w="12600">
            <a:noFill/>
          </a:ln>
        </c:spPr>
        <c:txPr>
          <a:bodyPr/>
          <a:lstStyle/>
          <a:p>
            <a:pPr>
              <a:defRPr sz="900" b="0" strike="noStrike" spc="-1">
                <a:solidFill>
                  <a:srgbClr val="0B3041"/>
                </a:solidFill>
                <a:latin typeface="Arial"/>
                <a:ea typeface="游ゴシック Medium"/>
              </a:defRPr>
            </a:pPr>
            <a:endParaRPr lang="ja-JP"/>
          </a:p>
        </c:txPr>
        <c:crossAx val="70114149"/>
        <c:crosses val="autoZero"/>
        <c:crossBetween val="between"/>
      </c:valAx>
      <c:spPr>
        <a:noFill/>
        <a:ln w="0">
          <a:noFill/>
        </a:ln>
      </c:spPr>
    </c:plotArea>
    <c:plotVisOnly val="1"/>
    <c:dispBlanksAs val="gap"/>
    <c:showDLblsOverMax val="1"/>
  </c:chart>
  <c:spPr>
    <a:solidFill>
      <a:srgbClr val="FFFFFF"/>
    </a:solidFill>
    <a:ln w="12600">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c:style val="2"/>
  <c:chart>
    <c:autoTitleDeleted val="1"/>
    <c:plotArea>
      <c:layout/>
      <c:barChart>
        <c:barDir val="col"/>
        <c:grouping val="stacked"/>
        <c:varyColors val="0"/>
        <c:ser>
          <c:idx val="0"/>
          <c:order val="0"/>
          <c:tx>
            <c:strRef>
              <c:f>グラフ!$C$2</c:f>
              <c:strCache>
                <c:ptCount val="1"/>
                <c:pt idx="0">
                  <c:v>A</c:v>
                </c:pt>
              </c:strCache>
            </c:strRef>
          </c:tx>
          <c:spPr>
            <a:solidFill>
              <a:srgbClr val="0889C9"/>
            </a:solidFill>
            <a:ln w="0">
              <a:noFill/>
            </a:ln>
          </c:spPr>
          <c:invertIfNegative val="0"/>
          <c:dLbls>
            <c:spPr>
              <a:noFill/>
              <a:ln>
                <a:noFill/>
              </a:ln>
              <a:effectLst/>
            </c:spPr>
            <c:txPr>
              <a:bodyPr wrap="square"/>
              <a:lstStyle/>
              <a:p>
                <a:pPr>
                  <a:defRPr sz="1000" b="0" strike="noStrike" spc="-1">
                    <a:solidFill>
                      <a:srgbClr val="000000"/>
                    </a:solidFill>
                    <a:latin typeface="Arial"/>
                    <a:ea typeface="游ゴシック Medium"/>
                  </a:defRPr>
                </a:pPr>
                <a:endParaRPr lang="ja-JP"/>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グラフ!$B$3:$B$6</c:f>
              <c:strCache>
                <c:ptCount val="4"/>
                <c:pt idx="0">
                  <c:v>第1四半期</c:v>
                </c:pt>
                <c:pt idx="1">
                  <c:v>第2四半期</c:v>
                </c:pt>
                <c:pt idx="2">
                  <c:v>第3四半期</c:v>
                </c:pt>
                <c:pt idx="3">
                  <c:v>第4四半期</c:v>
                </c:pt>
              </c:strCache>
            </c:strRef>
          </c:cat>
          <c:val>
            <c:numRef>
              <c:f>グラフ!$C$3:$C$6</c:f>
              <c:numCache>
                <c:formatCode>General</c:formatCode>
                <c:ptCount val="4"/>
                <c:pt idx="0">
                  <c:v>50</c:v>
                </c:pt>
                <c:pt idx="1">
                  <c:v>55</c:v>
                </c:pt>
                <c:pt idx="2">
                  <c:v>52</c:v>
                </c:pt>
                <c:pt idx="3">
                  <c:v>50</c:v>
                </c:pt>
              </c:numCache>
            </c:numRef>
          </c:val>
          <c:extLst>
            <c:ext xmlns:c16="http://schemas.microsoft.com/office/drawing/2014/chart" uri="{C3380CC4-5D6E-409C-BE32-E72D297353CC}">
              <c16:uniqueId val="{00000000-F448-4DF7-89EF-850090BF3347}"/>
            </c:ext>
          </c:extLst>
        </c:ser>
        <c:ser>
          <c:idx val="1"/>
          <c:order val="1"/>
          <c:tx>
            <c:strRef>
              <c:f>グラフ!$D$2</c:f>
              <c:strCache>
                <c:ptCount val="1"/>
                <c:pt idx="0">
                  <c:v>B</c:v>
                </c:pt>
              </c:strCache>
            </c:strRef>
          </c:tx>
          <c:spPr>
            <a:solidFill>
              <a:srgbClr val="B7E2F5"/>
            </a:solidFill>
            <a:ln w="0">
              <a:noFill/>
            </a:ln>
          </c:spPr>
          <c:invertIfNegative val="0"/>
          <c:dLbls>
            <c:spPr>
              <a:noFill/>
              <a:ln>
                <a:noFill/>
              </a:ln>
              <a:effectLst/>
            </c:spPr>
            <c:txPr>
              <a:bodyPr wrap="square"/>
              <a:lstStyle/>
              <a:p>
                <a:pPr>
                  <a:defRPr sz="1000" b="0" strike="noStrike" spc="-1">
                    <a:solidFill>
                      <a:srgbClr val="000000"/>
                    </a:solidFill>
                    <a:latin typeface="Arial"/>
                    <a:ea typeface="游ゴシック Medium"/>
                  </a:defRPr>
                </a:pPr>
                <a:endParaRPr lang="ja-JP"/>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グラフ!$B$3:$B$6</c:f>
              <c:strCache>
                <c:ptCount val="4"/>
                <c:pt idx="0">
                  <c:v>第1四半期</c:v>
                </c:pt>
                <c:pt idx="1">
                  <c:v>第2四半期</c:v>
                </c:pt>
                <c:pt idx="2">
                  <c:v>第3四半期</c:v>
                </c:pt>
                <c:pt idx="3">
                  <c:v>第4四半期</c:v>
                </c:pt>
              </c:strCache>
            </c:strRef>
          </c:cat>
          <c:val>
            <c:numRef>
              <c:f>グラフ!$D$3:$D$6</c:f>
              <c:numCache>
                <c:formatCode>General</c:formatCode>
                <c:ptCount val="4"/>
                <c:pt idx="0">
                  <c:v>10</c:v>
                </c:pt>
                <c:pt idx="1">
                  <c:v>25</c:v>
                </c:pt>
                <c:pt idx="2">
                  <c:v>45</c:v>
                </c:pt>
                <c:pt idx="3">
                  <c:v>70</c:v>
                </c:pt>
              </c:numCache>
            </c:numRef>
          </c:val>
          <c:extLst>
            <c:ext xmlns:c16="http://schemas.microsoft.com/office/drawing/2014/chart" uri="{C3380CC4-5D6E-409C-BE32-E72D297353CC}">
              <c16:uniqueId val="{00000001-F448-4DF7-89EF-850090BF3347}"/>
            </c:ext>
          </c:extLst>
        </c:ser>
        <c:ser>
          <c:idx val="2"/>
          <c:order val="2"/>
          <c:tx>
            <c:strRef>
              <c:f>グラフ!$E$2</c:f>
              <c:strCache>
                <c:ptCount val="1"/>
                <c:pt idx="0">
                  <c:v>C</c:v>
                </c:pt>
              </c:strCache>
            </c:strRef>
          </c:tx>
          <c:spPr>
            <a:solidFill>
              <a:srgbClr val="C9D1D5"/>
            </a:solidFill>
            <a:ln w="0">
              <a:noFill/>
            </a:ln>
          </c:spPr>
          <c:invertIfNegative val="0"/>
          <c:dLbls>
            <c:spPr>
              <a:noFill/>
              <a:ln>
                <a:noFill/>
              </a:ln>
              <a:effectLst/>
            </c:spPr>
            <c:txPr>
              <a:bodyPr wrap="square"/>
              <a:lstStyle/>
              <a:p>
                <a:pPr>
                  <a:defRPr sz="1000" b="0" strike="noStrike" spc="-1">
                    <a:solidFill>
                      <a:srgbClr val="000000"/>
                    </a:solidFill>
                    <a:latin typeface="Arial"/>
                    <a:ea typeface="游ゴシック Medium"/>
                  </a:defRPr>
                </a:pPr>
                <a:endParaRPr lang="ja-JP"/>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グラフ!$B$3:$B$6</c:f>
              <c:strCache>
                <c:ptCount val="4"/>
                <c:pt idx="0">
                  <c:v>第1四半期</c:v>
                </c:pt>
                <c:pt idx="1">
                  <c:v>第2四半期</c:v>
                </c:pt>
                <c:pt idx="2">
                  <c:v>第3四半期</c:v>
                </c:pt>
                <c:pt idx="3">
                  <c:v>第4四半期</c:v>
                </c:pt>
              </c:strCache>
            </c:strRef>
          </c:cat>
          <c:val>
            <c:numRef>
              <c:f>グラフ!$E$3:$E$6</c:f>
              <c:numCache>
                <c:formatCode>General</c:formatCode>
                <c:ptCount val="4"/>
                <c:pt idx="0">
                  <c:v>20</c:v>
                </c:pt>
                <c:pt idx="1">
                  <c:v>22</c:v>
                </c:pt>
                <c:pt idx="2">
                  <c:v>25</c:v>
                </c:pt>
                <c:pt idx="3">
                  <c:v>25</c:v>
                </c:pt>
              </c:numCache>
            </c:numRef>
          </c:val>
          <c:extLst>
            <c:ext xmlns:c16="http://schemas.microsoft.com/office/drawing/2014/chart" uri="{C3380CC4-5D6E-409C-BE32-E72D297353CC}">
              <c16:uniqueId val="{00000002-F448-4DF7-89EF-850090BF3347}"/>
            </c:ext>
          </c:extLst>
        </c:ser>
        <c:dLbls>
          <c:showLegendKey val="0"/>
          <c:showVal val="0"/>
          <c:showCatName val="0"/>
          <c:showSerName val="0"/>
          <c:showPercent val="0"/>
          <c:showBubbleSize val="0"/>
        </c:dLbls>
        <c:gapWidth val="150"/>
        <c:overlap val="100"/>
        <c:axId val="16335330"/>
        <c:axId val="27246351"/>
      </c:barChart>
      <c:catAx>
        <c:axId val="16335330"/>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sz="1000" b="1" strike="noStrike" spc="-1">
                <a:solidFill>
                  <a:srgbClr val="000000"/>
                </a:solidFill>
                <a:latin typeface="Arial"/>
                <a:ea typeface="游ゴシック"/>
              </a:defRPr>
            </a:pPr>
            <a:endParaRPr lang="ja-JP"/>
          </a:p>
        </c:txPr>
        <c:crossAx val="27246351"/>
        <c:crosses val="autoZero"/>
        <c:auto val="1"/>
        <c:lblAlgn val="ctr"/>
        <c:lblOffset val="100"/>
        <c:noMultiLvlLbl val="0"/>
      </c:catAx>
      <c:valAx>
        <c:axId val="27246351"/>
        <c:scaling>
          <c:orientation val="minMax"/>
        </c:scaling>
        <c:delete val="0"/>
        <c:axPos val="l"/>
        <c:numFmt formatCode="General" sourceLinked="0"/>
        <c:majorTickMark val="none"/>
        <c:minorTickMark val="none"/>
        <c:tickLblPos val="nextTo"/>
        <c:spPr>
          <a:ln w="12600">
            <a:noFill/>
          </a:ln>
        </c:spPr>
        <c:txPr>
          <a:bodyPr/>
          <a:lstStyle/>
          <a:p>
            <a:pPr>
              <a:defRPr sz="800" b="0" strike="noStrike" spc="-1">
                <a:solidFill>
                  <a:srgbClr val="000000"/>
                </a:solidFill>
                <a:latin typeface="Arial"/>
                <a:ea typeface="游ゴシック Medium"/>
              </a:defRPr>
            </a:pPr>
            <a:endParaRPr lang="ja-JP"/>
          </a:p>
        </c:txPr>
        <c:crossAx val="16335330"/>
        <c:crosses val="autoZero"/>
        <c:crossBetween val="between"/>
      </c:valAx>
      <c:spPr>
        <a:noFill/>
        <a:ln w="0">
          <a:noFill/>
        </a:ln>
      </c:spPr>
    </c:plotArea>
    <c:legend>
      <c:legendPos val="t"/>
      <c:layout>
        <c:manualLayout>
          <c:xMode val="edge"/>
          <c:yMode val="edge"/>
          <c:x val="7.7234520486397104E-2"/>
          <c:y val="2.7659575240396899E-2"/>
          <c:w val="0.20066045514385"/>
          <c:h val="7.8660274715482106E-2"/>
        </c:manualLayout>
      </c:layout>
      <c:overlay val="0"/>
      <c:spPr>
        <a:noFill/>
        <a:ln w="0">
          <a:noFill/>
        </a:ln>
      </c:spPr>
      <c:txPr>
        <a:bodyPr/>
        <a:lstStyle/>
        <a:p>
          <a:pPr>
            <a:defRPr sz="1000" b="0" strike="noStrike" spc="-1">
              <a:solidFill>
                <a:srgbClr val="000000"/>
              </a:solidFill>
              <a:latin typeface="Arial"/>
              <a:ea typeface="游ゴシック Medium"/>
            </a:defRPr>
          </a:pPr>
          <a:endParaRPr lang="ja-JP"/>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c:style val="2"/>
  <c:chart>
    <c:autoTitleDeleted val="1"/>
    <c:plotArea>
      <c:layout/>
      <c:lineChart>
        <c:grouping val="standard"/>
        <c:varyColors val="0"/>
        <c:ser>
          <c:idx val="0"/>
          <c:order val="0"/>
          <c:tx>
            <c:strRef>
              <c:f>グラフ!$C$18</c:f>
              <c:strCache>
                <c:ptCount val="1"/>
                <c:pt idx="0">
                  <c:v>A</c:v>
                </c:pt>
              </c:strCache>
            </c:strRef>
          </c:tx>
          <c:spPr>
            <a:ln w="25560" cap="rnd">
              <a:solidFill>
                <a:srgbClr val="0B3041"/>
              </a:solidFill>
              <a:round/>
            </a:ln>
          </c:spPr>
          <c:marker>
            <c:symbol val="circle"/>
            <c:size val="5"/>
            <c:spPr>
              <a:solidFill>
                <a:srgbClr val="0B3041"/>
              </a:solidFill>
            </c:spPr>
          </c:marker>
          <c:dLbls>
            <c:spPr>
              <a:noFill/>
              <a:ln>
                <a:noFill/>
              </a:ln>
              <a:effectLst/>
            </c:spPr>
            <c:txPr>
              <a:bodyPr wrap="square"/>
              <a:lstStyle/>
              <a:p>
                <a:pPr>
                  <a:defRPr sz="1000" b="0" strike="noStrike" spc="-1">
                    <a:solidFill>
                      <a:srgbClr val="000000"/>
                    </a:solidFill>
                    <a:latin typeface="Arial"/>
                    <a:ea typeface="游ゴシック Medium"/>
                  </a:defRPr>
                </a:pPr>
                <a:endParaRPr lang="ja-JP"/>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グラフ!$B$19:$B$23</c:f>
              <c:strCache>
                <c:ptCount val="5"/>
                <c:pt idx="0">
                  <c:v>1ヶ月目</c:v>
                </c:pt>
                <c:pt idx="1">
                  <c:v>2ヶ月目</c:v>
                </c:pt>
                <c:pt idx="2">
                  <c:v>3か月目</c:v>
                </c:pt>
                <c:pt idx="3">
                  <c:v>4か月目</c:v>
                </c:pt>
                <c:pt idx="4">
                  <c:v>5か月目</c:v>
                </c:pt>
              </c:strCache>
            </c:strRef>
          </c:cat>
          <c:val>
            <c:numRef>
              <c:f>グラフ!$C$19:$C$23</c:f>
              <c:numCache>
                <c:formatCode>General</c:formatCode>
                <c:ptCount val="5"/>
                <c:pt idx="0">
                  <c:v>100</c:v>
                </c:pt>
                <c:pt idx="1">
                  <c:v>105</c:v>
                </c:pt>
                <c:pt idx="2">
                  <c:v>110</c:v>
                </c:pt>
                <c:pt idx="3">
                  <c:v>115</c:v>
                </c:pt>
                <c:pt idx="4">
                  <c:v>120</c:v>
                </c:pt>
              </c:numCache>
            </c:numRef>
          </c:val>
          <c:smooth val="0"/>
          <c:extLst>
            <c:ext xmlns:c16="http://schemas.microsoft.com/office/drawing/2014/chart" uri="{C3380CC4-5D6E-409C-BE32-E72D297353CC}">
              <c16:uniqueId val="{00000000-9FE0-4276-87DF-C1D3868A0FE2}"/>
            </c:ext>
          </c:extLst>
        </c:ser>
        <c:ser>
          <c:idx val="1"/>
          <c:order val="1"/>
          <c:tx>
            <c:strRef>
              <c:f>グラフ!$D$18</c:f>
              <c:strCache>
                <c:ptCount val="1"/>
                <c:pt idx="0">
                  <c:v>B</c:v>
                </c:pt>
              </c:strCache>
            </c:strRef>
          </c:tx>
          <c:spPr>
            <a:ln w="25560" cap="rnd">
              <a:solidFill>
                <a:srgbClr val="A3B0B6"/>
              </a:solidFill>
              <a:round/>
            </a:ln>
          </c:spPr>
          <c:marker>
            <c:symbol val="circle"/>
            <c:size val="5"/>
            <c:spPr>
              <a:solidFill>
                <a:srgbClr val="A3B0B6"/>
              </a:solidFill>
            </c:spPr>
          </c:marker>
          <c:dLbls>
            <c:spPr>
              <a:noFill/>
              <a:ln>
                <a:noFill/>
              </a:ln>
              <a:effectLst/>
            </c:spPr>
            <c:txPr>
              <a:bodyPr wrap="square"/>
              <a:lstStyle/>
              <a:p>
                <a:pPr>
                  <a:defRPr sz="1000" b="0" strike="noStrike" spc="-1">
                    <a:solidFill>
                      <a:srgbClr val="000000"/>
                    </a:solidFill>
                    <a:latin typeface="Arial"/>
                    <a:ea typeface="游ゴシック Medium"/>
                  </a:defRPr>
                </a:pPr>
                <a:endParaRPr lang="ja-JP"/>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グラフ!$B$19:$B$23</c:f>
              <c:strCache>
                <c:ptCount val="5"/>
                <c:pt idx="0">
                  <c:v>1ヶ月目</c:v>
                </c:pt>
                <c:pt idx="1">
                  <c:v>2ヶ月目</c:v>
                </c:pt>
                <c:pt idx="2">
                  <c:v>3か月目</c:v>
                </c:pt>
                <c:pt idx="3">
                  <c:v>4か月目</c:v>
                </c:pt>
                <c:pt idx="4">
                  <c:v>5か月目</c:v>
                </c:pt>
              </c:strCache>
            </c:strRef>
          </c:cat>
          <c:val>
            <c:numRef>
              <c:f>グラフ!$D$19:$D$23</c:f>
              <c:numCache>
                <c:formatCode>General</c:formatCode>
                <c:ptCount val="5"/>
                <c:pt idx="0">
                  <c:v>100</c:v>
                </c:pt>
                <c:pt idx="1">
                  <c:v>90</c:v>
                </c:pt>
                <c:pt idx="2">
                  <c:v>75</c:v>
                </c:pt>
                <c:pt idx="3">
                  <c:v>60</c:v>
                </c:pt>
                <c:pt idx="4">
                  <c:v>55</c:v>
                </c:pt>
              </c:numCache>
            </c:numRef>
          </c:val>
          <c:smooth val="0"/>
          <c:extLst>
            <c:ext xmlns:c16="http://schemas.microsoft.com/office/drawing/2014/chart" uri="{C3380CC4-5D6E-409C-BE32-E72D297353CC}">
              <c16:uniqueId val="{00000001-9FE0-4276-87DF-C1D3868A0FE2}"/>
            </c:ext>
          </c:extLst>
        </c:ser>
        <c:ser>
          <c:idx val="2"/>
          <c:order val="2"/>
          <c:tx>
            <c:strRef>
              <c:f>グラフ!$E$18</c:f>
              <c:strCache>
                <c:ptCount val="1"/>
                <c:pt idx="0">
                  <c:v>C</c:v>
                </c:pt>
              </c:strCache>
            </c:strRef>
          </c:tx>
          <c:spPr>
            <a:ln w="25560" cap="rnd">
              <a:solidFill>
                <a:srgbClr val="0889C9"/>
              </a:solidFill>
              <a:round/>
            </a:ln>
          </c:spPr>
          <c:marker>
            <c:symbol val="circle"/>
            <c:size val="5"/>
            <c:spPr>
              <a:solidFill>
                <a:srgbClr val="0889C9"/>
              </a:solidFill>
            </c:spPr>
          </c:marker>
          <c:dLbls>
            <c:spPr>
              <a:noFill/>
              <a:ln>
                <a:noFill/>
              </a:ln>
              <a:effectLst/>
            </c:spPr>
            <c:txPr>
              <a:bodyPr wrap="square"/>
              <a:lstStyle/>
              <a:p>
                <a:pPr>
                  <a:defRPr sz="1000" b="0" strike="noStrike" spc="-1">
                    <a:solidFill>
                      <a:srgbClr val="000000"/>
                    </a:solidFill>
                    <a:latin typeface="Arial"/>
                    <a:ea typeface="游ゴシック Medium"/>
                  </a:defRPr>
                </a:pPr>
                <a:endParaRPr lang="ja-JP"/>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グラフ!$B$19:$B$23</c:f>
              <c:strCache>
                <c:ptCount val="5"/>
                <c:pt idx="0">
                  <c:v>1ヶ月目</c:v>
                </c:pt>
                <c:pt idx="1">
                  <c:v>2ヶ月目</c:v>
                </c:pt>
                <c:pt idx="2">
                  <c:v>3か月目</c:v>
                </c:pt>
                <c:pt idx="3">
                  <c:v>4か月目</c:v>
                </c:pt>
                <c:pt idx="4">
                  <c:v>5か月目</c:v>
                </c:pt>
              </c:strCache>
            </c:strRef>
          </c:cat>
          <c:val>
            <c:numRef>
              <c:f>グラフ!$E$19:$E$23</c:f>
              <c:numCache>
                <c:formatCode>General</c:formatCode>
                <c:ptCount val="5"/>
                <c:pt idx="0">
                  <c:v>100</c:v>
                </c:pt>
                <c:pt idx="1">
                  <c:v>110</c:v>
                </c:pt>
                <c:pt idx="2">
                  <c:v>90</c:v>
                </c:pt>
                <c:pt idx="3">
                  <c:v>80</c:v>
                </c:pt>
                <c:pt idx="4">
                  <c:v>45</c:v>
                </c:pt>
              </c:numCache>
            </c:numRef>
          </c:val>
          <c:smooth val="0"/>
          <c:extLst>
            <c:ext xmlns:c16="http://schemas.microsoft.com/office/drawing/2014/chart" uri="{C3380CC4-5D6E-409C-BE32-E72D297353CC}">
              <c16:uniqueId val="{00000002-9FE0-4276-87DF-C1D3868A0FE2}"/>
            </c:ext>
          </c:extLst>
        </c:ser>
        <c:dLbls>
          <c:showLegendKey val="0"/>
          <c:showVal val="0"/>
          <c:showCatName val="0"/>
          <c:showSerName val="0"/>
          <c:showPercent val="0"/>
          <c:showBubbleSize val="0"/>
        </c:dLbls>
        <c:hiLowLines>
          <c:spPr>
            <a:ln w="0">
              <a:noFill/>
            </a:ln>
          </c:spPr>
        </c:hiLowLines>
        <c:marker val="1"/>
        <c:smooth val="0"/>
        <c:axId val="9006605"/>
        <c:axId val="15395136"/>
      </c:lineChart>
      <c:catAx>
        <c:axId val="9006605"/>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sz="1000" b="1" strike="noStrike" spc="-1">
                <a:solidFill>
                  <a:srgbClr val="000000"/>
                </a:solidFill>
                <a:latin typeface="Arial"/>
                <a:ea typeface="游ゴシック"/>
              </a:defRPr>
            </a:pPr>
            <a:endParaRPr lang="ja-JP"/>
          </a:p>
        </c:txPr>
        <c:crossAx val="15395136"/>
        <c:crosses val="autoZero"/>
        <c:auto val="1"/>
        <c:lblAlgn val="ctr"/>
        <c:lblOffset val="100"/>
        <c:noMultiLvlLbl val="0"/>
      </c:catAx>
      <c:valAx>
        <c:axId val="15395136"/>
        <c:scaling>
          <c:orientation val="minMax"/>
        </c:scaling>
        <c:delete val="0"/>
        <c:axPos val="l"/>
        <c:numFmt formatCode="General" sourceLinked="0"/>
        <c:majorTickMark val="none"/>
        <c:minorTickMark val="none"/>
        <c:tickLblPos val="nextTo"/>
        <c:spPr>
          <a:ln w="12600">
            <a:noFill/>
          </a:ln>
        </c:spPr>
        <c:txPr>
          <a:bodyPr/>
          <a:lstStyle/>
          <a:p>
            <a:pPr>
              <a:defRPr sz="800" b="0" strike="noStrike" spc="-1">
                <a:solidFill>
                  <a:srgbClr val="000000"/>
                </a:solidFill>
                <a:latin typeface="Arial"/>
                <a:ea typeface="游ゴシック Medium"/>
              </a:defRPr>
            </a:pPr>
            <a:endParaRPr lang="ja-JP"/>
          </a:p>
        </c:txPr>
        <c:crossAx val="9006605"/>
        <c:crosses val="autoZero"/>
        <c:crossBetween val="between"/>
      </c:valAx>
      <c:spPr>
        <a:noFill/>
        <a:ln w="0">
          <a:noFill/>
        </a:ln>
      </c:spPr>
    </c:plotArea>
    <c:legend>
      <c:legendPos val="t"/>
      <c:layout>
        <c:manualLayout>
          <c:xMode val="edge"/>
          <c:yMode val="edge"/>
          <c:x val="8.4000085867708602E-2"/>
          <c:y val="3.2269504447129699E-2"/>
          <c:w val="0.308533245844269"/>
          <c:h val="7.8996427529892096E-2"/>
        </c:manualLayout>
      </c:layout>
      <c:overlay val="0"/>
      <c:spPr>
        <a:noFill/>
        <a:ln w="0">
          <a:noFill/>
        </a:ln>
      </c:spPr>
      <c:txPr>
        <a:bodyPr/>
        <a:lstStyle/>
        <a:p>
          <a:pPr>
            <a:defRPr sz="1000" b="0" strike="noStrike" spc="-1">
              <a:solidFill>
                <a:srgbClr val="000000"/>
              </a:solidFill>
              <a:latin typeface="Arial"/>
              <a:ea typeface="游ゴシック Medium"/>
            </a:defRPr>
          </a:pPr>
          <a:endParaRPr lang="ja-JP"/>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c:style val="2"/>
  <c:chart>
    <c:autoTitleDeleted val="1"/>
    <c:plotArea>
      <c:layout>
        <c:manualLayout>
          <c:layoutTarget val="inner"/>
          <c:xMode val="edge"/>
          <c:yMode val="edge"/>
          <c:x val="0.295941414003148"/>
          <c:y val="0.158067480635421"/>
          <c:w val="0.44103757443022401"/>
          <c:h val="0.73506629906787502"/>
        </c:manualLayout>
      </c:layout>
      <c:doughnutChart>
        <c:varyColors val="1"/>
        <c:ser>
          <c:idx val="0"/>
          <c:order val="0"/>
          <c:tx>
            <c:strRef>
              <c:f>グラフ!$C$33</c:f>
              <c:strCache>
                <c:ptCount val="1"/>
                <c:pt idx="0">
                  <c:v>グラフタイトル</c:v>
                </c:pt>
              </c:strCache>
            </c:strRef>
          </c:tx>
          <c:spPr>
            <a:solidFill>
              <a:srgbClr val="727F88"/>
            </a:solidFill>
            <a:ln w="12600">
              <a:noFill/>
            </a:ln>
          </c:spPr>
          <c:dPt>
            <c:idx val="0"/>
            <c:bubble3D val="0"/>
            <c:spPr>
              <a:solidFill>
                <a:srgbClr val="0889C9"/>
              </a:solidFill>
              <a:ln w="12600">
                <a:solidFill>
                  <a:srgbClr val="FFFFFF"/>
                </a:solidFill>
                <a:round/>
              </a:ln>
            </c:spPr>
            <c:extLst>
              <c:ext xmlns:c16="http://schemas.microsoft.com/office/drawing/2014/chart" uri="{C3380CC4-5D6E-409C-BE32-E72D297353CC}">
                <c16:uniqueId val="{00000001-E86D-4D2A-BBB5-C616CD02A400}"/>
              </c:ext>
            </c:extLst>
          </c:dPt>
          <c:dPt>
            <c:idx val="1"/>
            <c:bubble3D val="0"/>
            <c:spPr>
              <a:solidFill>
                <a:srgbClr val="B7E2F5"/>
              </a:solidFill>
              <a:ln w="12600">
                <a:solidFill>
                  <a:srgbClr val="FFFFFF"/>
                </a:solidFill>
                <a:round/>
              </a:ln>
            </c:spPr>
            <c:extLst>
              <c:ext xmlns:c16="http://schemas.microsoft.com/office/drawing/2014/chart" uri="{C3380CC4-5D6E-409C-BE32-E72D297353CC}">
                <c16:uniqueId val="{00000003-E86D-4D2A-BBB5-C616CD02A400}"/>
              </c:ext>
            </c:extLst>
          </c:dPt>
          <c:dPt>
            <c:idx val="2"/>
            <c:bubble3D val="0"/>
            <c:spPr>
              <a:solidFill>
                <a:srgbClr val="E1F3FB"/>
              </a:solidFill>
              <a:ln w="12600">
                <a:solidFill>
                  <a:srgbClr val="FFFFFF"/>
                </a:solidFill>
                <a:round/>
              </a:ln>
            </c:spPr>
            <c:extLst>
              <c:ext xmlns:c16="http://schemas.microsoft.com/office/drawing/2014/chart" uri="{C3380CC4-5D6E-409C-BE32-E72D297353CC}">
                <c16:uniqueId val="{00000005-E86D-4D2A-BBB5-C616CD02A400}"/>
              </c:ext>
            </c:extLst>
          </c:dPt>
          <c:dPt>
            <c:idx val="3"/>
            <c:bubble3D val="0"/>
            <c:spPr>
              <a:solidFill>
                <a:srgbClr val="C9D1D5"/>
              </a:solidFill>
              <a:ln w="12600">
                <a:solidFill>
                  <a:srgbClr val="FFFFFF"/>
                </a:solidFill>
                <a:round/>
              </a:ln>
            </c:spPr>
            <c:extLst>
              <c:ext xmlns:c16="http://schemas.microsoft.com/office/drawing/2014/chart" uri="{C3380CC4-5D6E-409C-BE32-E72D297353CC}">
                <c16:uniqueId val="{00000007-E86D-4D2A-BBB5-C616CD02A400}"/>
              </c:ext>
            </c:extLst>
          </c:dPt>
          <c:dLbls>
            <c:dLbl>
              <c:idx val="0"/>
              <c:spPr/>
              <c:txPr>
                <a:bodyPr wrap="square"/>
                <a:lstStyle/>
                <a:p>
                  <a:pPr>
                    <a:defRPr sz="2000" b="1" strike="noStrike" spc="-1">
                      <a:solidFill>
                        <a:srgbClr val="FFFFFF"/>
                      </a:solidFill>
                      <a:latin typeface="Arial"/>
                      <a:ea typeface="游ゴシック Medium"/>
                    </a:defRPr>
                  </a:pPr>
                  <a:endParaRPr lang="ja-JP"/>
                </a:p>
              </c:txP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E86D-4D2A-BBB5-C616CD02A400}"/>
                </c:ext>
              </c:extLst>
            </c:dLbl>
            <c:dLbl>
              <c:idx val="1"/>
              <c:spPr/>
              <c:txPr>
                <a:bodyPr wrap="square"/>
                <a:lstStyle/>
                <a:p>
                  <a:pPr>
                    <a:defRPr sz="1600" b="1" strike="noStrike" spc="-1">
                      <a:solidFill>
                        <a:srgbClr val="000000"/>
                      </a:solidFill>
                      <a:latin typeface="Arial"/>
                      <a:ea typeface="游ゴシック Medium"/>
                    </a:defRPr>
                  </a:pPr>
                  <a:endParaRPr lang="ja-JP"/>
                </a:p>
              </c:txP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E86D-4D2A-BBB5-C616CD02A400}"/>
                </c:ext>
              </c:extLst>
            </c:dLbl>
            <c:dLbl>
              <c:idx val="2"/>
              <c:spPr/>
              <c:txPr>
                <a:bodyPr wrap="square"/>
                <a:lstStyle/>
                <a:p>
                  <a:pPr>
                    <a:defRPr sz="1600" b="1" strike="noStrike" spc="-1">
                      <a:solidFill>
                        <a:srgbClr val="000000"/>
                      </a:solidFill>
                      <a:latin typeface="Arial"/>
                      <a:ea typeface="游ゴシック Medium"/>
                    </a:defRPr>
                  </a:pPr>
                  <a:endParaRPr lang="ja-JP"/>
                </a:p>
              </c:txP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E86D-4D2A-BBB5-C616CD02A400}"/>
                </c:ext>
              </c:extLst>
            </c:dLbl>
            <c:dLbl>
              <c:idx val="3"/>
              <c:spPr/>
              <c:txPr>
                <a:bodyPr wrap="square"/>
                <a:lstStyle/>
                <a:p>
                  <a:pPr>
                    <a:defRPr sz="1600" b="1" strike="noStrike" spc="-1">
                      <a:solidFill>
                        <a:srgbClr val="000000"/>
                      </a:solidFill>
                      <a:latin typeface="Arial"/>
                      <a:ea typeface="游ゴシック Medium"/>
                    </a:defRPr>
                  </a:pPr>
                  <a:endParaRPr lang="ja-JP"/>
                </a:p>
              </c:txP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E86D-4D2A-BBB5-C616CD02A400}"/>
                </c:ext>
              </c:extLst>
            </c:dLbl>
            <c:spPr>
              <a:noFill/>
              <a:ln>
                <a:noFill/>
              </a:ln>
              <a:effectLst/>
            </c:spPr>
            <c:txPr>
              <a:bodyPr wrap="square"/>
              <a:lstStyle/>
              <a:p>
                <a:pPr>
                  <a:defRPr sz="1800" b="1" strike="noStrike" spc="-1">
                    <a:solidFill>
                      <a:srgbClr val="FFFFFF"/>
                    </a:solidFill>
                    <a:latin typeface="Arial"/>
                    <a:ea typeface="游ゴシック Medium"/>
                  </a:defRPr>
                </a:pPr>
                <a:endParaRPr lang="ja-JP"/>
              </a:p>
            </c:txPr>
            <c:showLegendKey val="0"/>
            <c:showVal val="1"/>
            <c:showCatName val="0"/>
            <c:showSerName val="0"/>
            <c:showPercent val="0"/>
            <c:showBubbleSize val="1"/>
            <c:separator>; </c:separator>
            <c:showLeaderLines val="1"/>
            <c:extLst>
              <c:ext xmlns:c15="http://schemas.microsoft.com/office/drawing/2012/chart" uri="{CE6537A1-D6FC-4f65-9D91-7224C49458BB}"/>
            </c:extLst>
          </c:dLbls>
          <c:cat>
            <c:strRef>
              <c:f>グラフ!$B$34:$B$37</c:f>
              <c:strCache>
                <c:ptCount val="4"/>
                <c:pt idx="0">
                  <c:v>A</c:v>
                </c:pt>
                <c:pt idx="1">
                  <c:v>B</c:v>
                </c:pt>
                <c:pt idx="2">
                  <c:v>C</c:v>
                </c:pt>
                <c:pt idx="3">
                  <c:v>D</c:v>
                </c:pt>
              </c:strCache>
            </c:strRef>
          </c:cat>
          <c:val>
            <c:numRef>
              <c:f>グラフ!$C$34:$C$37</c:f>
              <c:numCache>
                <c:formatCode>General</c:formatCode>
                <c:ptCount val="4"/>
                <c:pt idx="0">
                  <c:v>60</c:v>
                </c:pt>
                <c:pt idx="1">
                  <c:v>20</c:v>
                </c:pt>
                <c:pt idx="2">
                  <c:v>15</c:v>
                </c:pt>
                <c:pt idx="3">
                  <c:v>5</c:v>
                </c:pt>
              </c:numCache>
            </c:numRef>
          </c:val>
          <c:extLst>
            <c:ext xmlns:c16="http://schemas.microsoft.com/office/drawing/2014/chart" uri="{C3380CC4-5D6E-409C-BE32-E72D297353CC}">
              <c16:uniqueId val="{00000008-E86D-4D2A-BBB5-C616CD02A400}"/>
            </c:ext>
          </c:extLst>
        </c:ser>
        <c:dLbls>
          <c:showLegendKey val="0"/>
          <c:showVal val="0"/>
          <c:showCatName val="0"/>
          <c:showSerName val="0"/>
          <c:showPercent val="0"/>
          <c:showBubbleSize val="0"/>
          <c:showLeaderLines val="1"/>
        </c:dLbls>
        <c:firstSliceAng val="0"/>
        <c:holeSize val="50"/>
      </c:doughnutChart>
      <c:spPr>
        <a:noFill/>
        <a:ln w="0">
          <a:noFill/>
        </a:ln>
      </c:spPr>
    </c:plotArea>
    <c:legend>
      <c:legendPos val="t"/>
      <c:layout>
        <c:manualLayout>
          <c:xMode val="edge"/>
          <c:yMode val="edge"/>
          <c:x val="0.228603018372703"/>
          <c:y val="7.3579396325459304E-2"/>
          <c:w val="0.224702339657983"/>
          <c:h val="7.8996427529892096E-2"/>
        </c:manualLayout>
      </c:layout>
      <c:overlay val="0"/>
      <c:spPr>
        <a:noFill/>
        <a:ln w="0">
          <a:noFill/>
        </a:ln>
      </c:spPr>
      <c:txPr>
        <a:bodyPr/>
        <a:lstStyle/>
        <a:p>
          <a:pPr>
            <a:defRPr sz="1000" b="0" strike="noStrike" spc="-1">
              <a:solidFill>
                <a:srgbClr val="000000"/>
              </a:solidFill>
              <a:latin typeface="Arial"/>
              <a:ea typeface="游ゴシック Medium"/>
            </a:defRPr>
          </a:pPr>
          <a:endParaRPr lang="ja-JP"/>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c:style val="2"/>
  <c:chart>
    <c:autoTitleDeleted val="1"/>
    <c:plotArea>
      <c:layout/>
      <c:barChart>
        <c:barDir val="bar"/>
        <c:grouping val="stacked"/>
        <c:varyColors val="0"/>
        <c:ser>
          <c:idx val="0"/>
          <c:order val="0"/>
          <c:tx>
            <c:strRef>
              <c:f>グラフ!$C$51</c:f>
              <c:strCache>
                <c:ptCount val="1"/>
                <c:pt idx="0">
                  <c:v>X</c:v>
                </c:pt>
              </c:strCache>
            </c:strRef>
          </c:tx>
          <c:spPr>
            <a:solidFill>
              <a:srgbClr val="0889C9"/>
            </a:solidFill>
            <a:ln w="0">
              <a:noFill/>
            </a:ln>
          </c:spPr>
          <c:invertIfNegative val="0"/>
          <c:dLbls>
            <c:spPr>
              <a:noFill/>
              <a:ln>
                <a:noFill/>
              </a:ln>
              <a:effectLst/>
            </c:spPr>
            <c:txPr>
              <a:bodyPr wrap="square"/>
              <a:lstStyle/>
              <a:p>
                <a:pPr>
                  <a:defRPr sz="1000" b="0" strike="noStrike" spc="-1">
                    <a:solidFill>
                      <a:srgbClr val="000000"/>
                    </a:solidFill>
                    <a:latin typeface="Arial"/>
                    <a:ea typeface="游ゴシック Medium"/>
                  </a:defRPr>
                </a:pPr>
                <a:endParaRPr lang="ja-JP"/>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グラフ!$B$52:$B$55</c:f>
              <c:strCache>
                <c:ptCount val="4"/>
                <c:pt idx="0">
                  <c:v>D</c:v>
                </c:pt>
                <c:pt idx="1">
                  <c:v>C</c:v>
                </c:pt>
                <c:pt idx="2">
                  <c:v>B</c:v>
                </c:pt>
                <c:pt idx="3">
                  <c:v>A</c:v>
                </c:pt>
              </c:strCache>
            </c:strRef>
          </c:cat>
          <c:val>
            <c:numRef>
              <c:f>グラフ!$C$52:$C$55</c:f>
              <c:numCache>
                <c:formatCode>General</c:formatCode>
                <c:ptCount val="4"/>
                <c:pt idx="0">
                  <c:v>4.3</c:v>
                </c:pt>
                <c:pt idx="1">
                  <c:v>2.5</c:v>
                </c:pt>
                <c:pt idx="2">
                  <c:v>3.5</c:v>
                </c:pt>
                <c:pt idx="3">
                  <c:v>4.5</c:v>
                </c:pt>
              </c:numCache>
            </c:numRef>
          </c:val>
          <c:extLst>
            <c:ext xmlns:c16="http://schemas.microsoft.com/office/drawing/2014/chart" uri="{C3380CC4-5D6E-409C-BE32-E72D297353CC}">
              <c16:uniqueId val="{00000000-0DF3-4A6D-AC1D-262B424BED6B}"/>
            </c:ext>
          </c:extLst>
        </c:ser>
        <c:ser>
          <c:idx val="1"/>
          <c:order val="1"/>
          <c:tx>
            <c:strRef>
              <c:f>グラフ!$D$51</c:f>
              <c:strCache>
                <c:ptCount val="1"/>
                <c:pt idx="0">
                  <c:v>Y</c:v>
                </c:pt>
              </c:strCache>
            </c:strRef>
          </c:tx>
          <c:spPr>
            <a:solidFill>
              <a:srgbClr val="B7E2F5"/>
            </a:solidFill>
            <a:ln w="0">
              <a:noFill/>
            </a:ln>
          </c:spPr>
          <c:invertIfNegative val="0"/>
          <c:dLbls>
            <c:spPr>
              <a:noFill/>
              <a:ln>
                <a:noFill/>
              </a:ln>
              <a:effectLst/>
            </c:spPr>
            <c:txPr>
              <a:bodyPr wrap="square"/>
              <a:lstStyle/>
              <a:p>
                <a:pPr>
                  <a:defRPr sz="1000" b="0" strike="noStrike" spc="-1">
                    <a:solidFill>
                      <a:srgbClr val="000000"/>
                    </a:solidFill>
                    <a:latin typeface="Arial"/>
                    <a:ea typeface="游ゴシック Medium"/>
                  </a:defRPr>
                </a:pPr>
                <a:endParaRPr lang="ja-JP"/>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グラフ!$B$52:$B$55</c:f>
              <c:strCache>
                <c:ptCount val="4"/>
                <c:pt idx="0">
                  <c:v>D</c:v>
                </c:pt>
                <c:pt idx="1">
                  <c:v>C</c:v>
                </c:pt>
                <c:pt idx="2">
                  <c:v>B</c:v>
                </c:pt>
                <c:pt idx="3">
                  <c:v>A</c:v>
                </c:pt>
              </c:strCache>
            </c:strRef>
          </c:cat>
          <c:val>
            <c:numRef>
              <c:f>グラフ!$D$52:$D$55</c:f>
              <c:numCache>
                <c:formatCode>General</c:formatCode>
                <c:ptCount val="4"/>
                <c:pt idx="0">
                  <c:v>2.4</c:v>
                </c:pt>
                <c:pt idx="1">
                  <c:v>4.4000000000000004</c:v>
                </c:pt>
                <c:pt idx="2">
                  <c:v>1.8</c:v>
                </c:pt>
                <c:pt idx="3">
                  <c:v>2.8</c:v>
                </c:pt>
              </c:numCache>
            </c:numRef>
          </c:val>
          <c:extLst>
            <c:ext xmlns:c16="http://schemas.microsoft.com/office/drawing/2014/chart" uri="{C3380CC4-5D6E-409C-BE32-E72D297353CC}">
              <c16:uniqueId val="{00000001-0DF3-4A6D-AC1D-262B424BED6B}"/>
            </c:ext>
          </c:extLst>
        </c:ser>
        <c:ser>
          <c:idx val="2"/>
          <c:order val="2"/>
          <c:tx>
            <c:strRef>
              <c:f>グラフ!$E$51</c:f>
              <c:strCache>
                <c:ptCount val="1"/>
                <c:pt idx="0">
                  <c:v>Z</c:v>
                </c:pt>
              </c:strCache>
            </c:strRef>
          </c:tx>
          <c:spPr>
            <a:solidFill>
              <a:srgbClr val="C9D1D5"/>
            </a:solidFill>
            <a:ln w="0">
              <a:noFill/>
            </a:ln>
          </c:spPr>
          <c:invertIfNegative val="0"/>
          <c:dLbls>
            <c:spPr>
              <a:noFill/>
              <a:ln>
                <a:noFill/>
              </a:ln>
              <a:effectLst/>
            </c:spPr>
            <c:txPr>
              <a:bodyPr wrap="square"/>
              <a:lstStyle/>
              <a:p>
                <a:pPr>
                  <a:defRPr sz="1000" b="0" strike="noStrike" spc="-1">
                    <a:solidFill>
                      <a:srgbClr val="000000"/>
                    </a:solidFill>
                    <a:latin typeface="Arial"/>
                    <a:ea typeface="游ゴシック Medium"/>
                  </a:defRPr>
                </a:pPr>
                <a:endParaRPr lang="ja-JP"/>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グラフ!$B$52:$B$55</c:f>
              <c:strCache>
                <c:ptCount val="4"/>
                <c:pt idx="0">
                  <c:v>D</c:v>
                </c:pt>
                <c:pt idx="1">
                  <c:v>C</c:v>
                </c:pt>
                <c:pt idx="2">
                  <c:v>B</c:v>
                </c:pt>
                <c:pt idx="3">
                  <c:v>A</c:v>
                </c:pt>
              </c:strCache>
            </c:strRef>
          </c:cat>
          <c:val>
            <c:numRef>
              <c:f>グラフ!$E$52:$E$55</c:f>
              <c:numCache>
                <c:formatCode>General</c:formatCode>
                <c:ptCount val="4"/>
                <c:pt idx="0">
                  <c:v>2</c:v>
                </c:pt>
                <c:pt idx="1">
                  <c:v>2</c:v>
                </c:pt>
                <c:pt idx="2">
                  <c:v>3</c:v>
                </c:pt>
                <c:pt idx="3">
                  <c:v>5</c:v>
                </c:pt>
              </c:numCache>
            </c:numRef>
          </c:val>
          <c:extLst>
            <c:ext xmlns:c16="http://schemas.microsoft.com/office/drawing/2014/chart" uri="{C3380CC4-5D6E-409C-BE32-E72D297353CC}">
              <c16:uniqueId val="{00000002-0DF3-4A6D-AC1D-262B424BED6B}"/>
            </c:ext>
          </c:extLst>
        </c:ser>
        <c:dLbls>
          <c:showLegendKey val="0"/>
          <c:showVal val="0"/>
          <c:showCatName val="0"/>
          <c:showSerName val="0"/>
          <c:showPercent val="0"/>
          <c:showBubbleSize val="0"/>
        </c:dLbls>
        <c:gapWidth val="100"/>
        <c:overlap val="100"/>
        <c:axId val="96582852"/>
        <c:axId val="6762"/>
      </c:barChart>
      <c:catAx>
        <c:axId val="96582852"/>
        <c:scaling>
          <c:orientation val="minMax"/>
        </c:scaling>
        <c:delete val="0"/>
        <c:axPos val="l"/>
        <c:numFmt formatCode="General" sourceLinked="0"/>
        <c:majorTickMark val="none"/>
        <c:minorTickMark val="none"/>
        <c:tickLblPos val="nextTo"/>
        <c:spPr>
          <a:ln w="9360">
            <a:solidFill>
              <a:srgbClr val="000000"/>
            </a:solidFill>
            <a:round/>
          </a:ln>
        </c:spPr>
        <c:txPr>
          <a:bodyPr/>
          <a:lstStyle/>
          <a:p>
            <a:pPr>
              <a:defRPr sz="1000" b="1" strike="noStrike" spc="-1">
                <a:solidFill>
                  <a:srgbClr val="000000"/>
                </a:solidFill>
                <a:latin typeface="Arial"/>
                <a:ea typeface="游ゴシック Medium"/>
              </a:defRPr>
            </a:pPr>
            <a:endParaRPr lang="ja-JP"/>
          </a:p>
        </c:txPr>
        <c:crossAx val="6762"/>
        <c:crosses val="autoZero"/>
        <c:auto val="1"/>
        <c:lblAlgn val="ctr"/>
        <c:lblOffset val="100"/>
        <c:noMultiLvlLbl val="0"/>
      </c:catAx>
      <c:valAx>
        <c:axId val="6762"/>
        <c:scaling>
          <c:orientation val="minMax"/>
        </c:scaling>
        <c:delete val="0"/>
        <c:axPos val="b"/>
        <c:numFmt formatCode="General" sourceLinked="0"/>
        <c:majorTickMark val="none"/>
        <c:minorTickMark val="none"/>
        <c:tickLblPos val="nextTo"/>
        <c:spPr>
          <a:ln w="12600">
            <a:noFill/>
          </a:ln>
        </c:spPr>
        <c:txPr>
          <a:bodyPr/>
          <a:lstStyle/>
          <a:p>
            <a:pPr>
              <a:defRPr sz="800" b="0" strike="noStrike" spc="-1">
                <a:solidFill>
                  <a:srgbClr val="000000"/>
                </a:solidFill>
                <a:latin typeface="Arial"/>
                <a:ea typeface="游ゴシック Medium"/>
              </a:defRPr>
            </a:pPr>
            <a:endParaRPr lang="ja-JP"/>
          </a:p>
        </c:txPr>
        <c:crossAx val="96582852"/>
        <c:crosses val="autoZero"/>
        <c:crossBetween val="between"/>
      </c:valAx>
      <c:spPr>
        <a:noFill/>
        <a:ln w="0">
          <a:noFill/>
        </a:ln>
      </c:spPr>
    </c:plotArea>
    <c:legend>
      <c:legendPos val="t"/>
      <c:layout>
        <c:manualLayout>
          <c:xMode val="edge"/>
          <c:yMode val="edge"/>
          <c:x val="4.2319435000986998E-2"/>
          <c:y val="4.6150574454488003E-2"/>
          <c:w val="0.16586888338122099"/>
          <c:h val="7.8374420563543004E-2"/>
        </c:manualLayout>
      </c:layout>
      <c:overlay val="0"/>
      <c:spPr>
        <a:noFill/>
        <a:ln w="0">
          <a:noFill/>
        </a:ln>
      </c:spPr>
      <c:txPr>
        <a:bodyPr/>
        <a:lstStyle/>
        <a:p>
          <a:pPr>
            <a:defRPr sz="1000" b="0" strike="noStrike" spc="-1">
              <a:solidFill>
                <a:srgbClr val="000000"/>
              </a:solidFill>
              <a:latin typeface="Arial"/>
              <a:ea typeface="游ゴシック Medium"/>
            </a:defRPr>
          </a:pPr>
          <a:endParaRPr lang="ja-JP"/>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c:style val="2"/>
  <c:chart>
    <c:autoTitleDeleted val="1"/>
    <c:plotArea>
      <c:layout/>
      <c:barChart>
        <c:barDir val="col"/>
        <c:grouping val="stacked"/>
        <c:varyColors val="0"/>
        <c:ser>
          <c:idx val="0"/>
          <c:order val="0"/>
          <c:tx>
            <c:strRef>
              <c:f>グラフ!$C$2</c:f>
              <c:strCache>
                <c:ptCount val="1"/>
                <c:pt idx="0">
                  <c:v>A</c:v>
                </c:pt>
              </c:strCache>
            </c:strRef>
          </c:tx>
          <c:spPr>
            <a:solidFill>
              <a:srgbClr val="B7E2F5"/>
            </a:solidFill>
            <a:ln w="0">
              <a:noFill/>
            </a:ln>
          </c:spPr>
          <c:invertIfNegative val="0"/>
          <c:dPt>
            <c:idx val="3"/>
            <c:invertIfNegative val="0"/>
            <c:bubble3D val="0"/>
            <c:spPr>
              <a:solidFill>
                <a:srgbClr val="0889C9"/>
              </a:solidFill>
              <a:ln w="0">
                <a:noFill/>
              </a:ln>
            </c:spPr>
            <c:extLst>
              <c:ext xmlns:c16="http://schemas.microsoft.com/office/drawing/2014/chart" uri="{C3380CC4-5D6E-409C-BE32-E72D297353CC}">
                <c16:uniqueId val="{00000001-1F86-4501-9294-6251046F44F5}"/>
              </c:ext>
            </c:extLst>
          </c:dPt>
          <c:dLbls>
            <c:dLbl>
              <c:idx val="3"/>
              <c:spPr/>
              <c:txPr>
                <a:bodyPr wrap="square"/>
                <a:lstStyle/>
                <a:p>
                  <a:pPr>
                    <a:defRPr sz="1000" b="0" strike="noStrike" spc="-1">
                      <a:solidFill>
                        <a:srgbClr val="000000"/>
                      </a:solidFill>
                      <a:latin typeface="Arial"/>
                      <a:ea typeface="游ゴシック Medium"/>
                    </a:defRPr>
                  </a:pPr>
                  <a:endParaRPr lang="ja-JP"/>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1F86-4501-9294-6251046F44F5}"/>
                </c:ext>
              </c:extLst>
            </c:dLbl>
            <c:spPr>
              <a:noFill/>
              <a:ln>
                <a:noFill/>
              </a:ln>
              <a:effectLst/>
            </c:spPr>
            <c:txPr>
              <a:bodyPr wrap="square"/>
              <a:lstStyle/>
              <a:p>
                <a:pPr>
                  <a:defRPr sz="1000" b="0" strike="noStrike" spc="-1">
                    <a:solidFill>
                      <a:srgbClr val="000000"/>
                    </a:solidFill>
                    <a:latin typeface="Arial"/>
                    <a:ea typeface="游ゴシック Medium"/>
                  </a:defRPr>
                </a:pPr>
                <a:endParaRPr lang="ja-JP"/>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グラフ!$B$3:$B$6</c:f>
              <c:strCache>
                <c:ptCount val="4"/>
                <c:pt idx="0">
                  <c:v>第1四半期</c:v>
                </c:pt>
                <c:pt idx="1">
                  <c:v>第2四半期</c:v>
                </c:pt>
                <c:pt idx="2">
                  <c:v>第3四半期</c:v>
                </c:pt>
                <c:pt idx="3">
                  <c:v>第4四半期</c:v>
                </c:pt>
              </c:strCache>
            </c:strRef>
          </c:cat>
          <c:val>
            <c:numRef>
              <c:f>グラフ!$T$3:$T$6</c:f>
              <c:numCache>
                <c:formatCode>General</c:formatCode>
                <c:ptCount val="4"/>
                <c:pt idx="0">
                  <c:v>50</c:v>
                </c:pt>
                <c:pt idx="1">
                  <c:v>55</c:v>
                </c:pt>
                <c:pt idx="2">
                  <c:v>52</c:v>
                </c:pt>
                <c:pt idx="3">
                  <c:v>80</c:v>
                </c:pt>
              </c:numCache>
            </c:numRef>
          </c:val>
          <c:extLst>
            <c:ext xmlns:c16="http://schemas.microsoft.com/office/drawing/2014/chart" uri="{C3380CC4-5D6E-409C-BE32-E72D297353CC}">
              <c16:uniqueId val="{00000002-1F86-4501-9294-6251046F44F5}"/>
            </c:ext>
          </c:extLst>
        </c:ser>
        <c:dLbls>
          <c:showLegendKey val="0"/>
          <c:showVal val="0"/>
          <c:showCatName val="0"/>
          <c:showSerName val="0"/>
          <c:showPercent val="0"/>
          <c:showBubbleSize val="0"/>
        </c:dLbls>
        <c:gapWidth val="150"/>
        <c:overlap val="100"/>
        <c:axId val="69054951"/>
        <c:axId val="11366324"/>
      </c:barChart>
      <c:catAx>
        <c:axId val="69054951"/>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sz="1000" b="1" strike="noStrike" spc="-1">
                <a:solidFill>
                  <a:srgbClr val="000000"/>
                </a:solidFill>
                <a:latin typeface="Arial"/>
                <a:ea typeface="游ゴシック"/>
              </a:defRPr>
            </a:pPr>
            <a:endParaRPr lang="ja-JP"/>
          </a:p>
        </c:txPr>
        <c:crossAx val="11366324"/>
        <c:crosses val="autoZero"/>
        <c:auto val="1"/>
        <c:lblAlgn val="ctr"/>
        <c:lblOffset val="100"/>
        <c:noMultiLvlLbl val="0"/>
      </c:catAx>
      <c:valAx>
        <c:axId val="11366324"/>
        <c:scaling>
          <c:orientation val="minMax"/>
        </c:scaling>
        <c:delete val="0"/>
        <c:axPos val="l"/>
        <c:numFmt formatCode="General" sourceLinked="0"/>
        <c:majorTickMark val="none"/>
        <c:minorTickMark val="none"/>
        <c:tickLblPos val="nextTo"/>
        <c:spPr>
          <a:ln w="12600">
            <a:noFill/>
          </a:ln>
        </c:spPr>
        <c:txPr>
          <a:bodyPr/>
          <a:lstStyle/>
          <a:p>
            <a:pPr>
              <a:defRPr sz="800" b="0" strike="noStrike" spc="-1">
                <a:solidFill>
                  <a:srgbClr val="000000"/>
                </a:solidFill>
                <a:latin typeface="Arial"/>
                <a:ea typeface="游ゴシック Medium"/>
              </a:defRPr>
            </a:pPr>
            <a:endParaRPr lang="ja-JP"/>
          </a:p>
        </c:txPr>
        <c:crossAx val="69054951"/>
        <c:crosses val="autoZero"/>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c:style val="2"/>
  <c:chart>
    <c:autoTitleDeleted val="1"/>
    <c:plotArea>
      <c:layout/>
      <c:barChart>
        <c:barDir val="col"/>
        <c:grouping val="stacked"/>
        <c:varyColors val="0"/>
        <c:ser>
          <c:idx val="0"/>
          <c:order val="0"/>
          <c:tx>
            <c:strRef>
              <c:f>グラフ!$C$2</c:f>
              <c:strCache>
                <c:ptCount val="1"/>
                <c:pt idx="0">
                  <c:v>A</c:v>
                </c:pt>
              </c:strCache>
            </c:strRef>
          </c:tx>
          <c:spPr>
            <a:solidFill>
              <a:srgbClr val="C9D1D5"/>
            </a:solidFill>
            <a:ln w="0">
              <a:noFill/>
            </a:ln>
          </c:spPr>
          <c:invertIfNegative val="0"/>
          <c:dPt>
            <c:idx val="3"/>
            <c:invertIfNegative val="0"/>
            <c:bubble3D val="0"/>
            <c:spPr>
              <a:solidFill>
                <a:srgbClr val="0889C9"/>
              </a:solidFill>
              <a:ln w="0">
                <a:noFill/>
              </a:ln>
            </c:spPr>
            <c:extLst>
              <c:ext xmlns:c16="http://schemas.microsoft.com/office/drawing/2014/chart" uri="{C3380CC4-5D6E-409C-BE32-E72D297353CC}">
                <c16:uniqueId val="{00000001-FAC3-41AA-A292-93DD91A6039F}"/>
              </c:ext>
            </c:extLst>
          </c:dPt>
          <c:dLbls>
            <c:dLbl>
              <c:idx val="3"/>
              <c:spPr/>
              <c:txPr>
                <a:bodyPr wrap="square"/>
                <a:lstStyle/>
                <a:p>
                  <a:pPr>
                    <a:defRPr sz="1000" b="0" strike="noStrike" spc="-1">
                      <a:solidFill>
                        <a:srgbClr val="000000"/>
                      </a:solidFill>
                      <a:latin typeface="Arial"/>
                      <a:ea typeface="游ゴシック Medium"/>
                    </a:defRPr>
                  </a:pPr>
                  <a:endParaRPr lang="ja-JP"/>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FAC3-41AA-A292-93DD91A6039F}"/>
                </c:ext>
              </c:extLst>
            </c:dLbl>
            <c:spPr>
              <a:noFill/>
              <a:ln>
                <a:noFill/>
              </a:ln>
              <a:effectLst/>
            </c:spPr>
            <c:txPr>
              <a:bodyPr wrap="square"/>
              <a:lstStyle/>
              <a:p>
                <a:pPr>
                  <a:defRPr sz="1000" b="0" strike="noStrike" spc="-1">
                    <a:solidFill>
                      <a:srgbClr val="000000"/>
                    </a:solidFill>
                    <a:latin typeface="Arial"/>
                    <a:ea typeface="游ゴシック Medium"/>
                  </a:defRPr>
                </a:pPr>
                <a:endParaRPr lang="ja-JP"/>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グラフ!$B$3:$B$6</c:f>
              <c:strCache>
                <c:ptCount val="4"/>
                <c:pt idx="0">
                  <c:v>第1四半期</c:v>
                </c:pt>
                <c:pt idx="1">
                  <c:v>第2四半期</c:v>
                </c:pt>
                <c:pt idx="2">
                  <c:v>第3四半期</c:v>
                </c:pt>
                <c:pt idx="3">
                  <c:v>第4四半期</c:v>
                </c:pt>
              </c:strCache>
            </c:strRef>
          </c:cat>
          <c:val>
            <c:numRef>
              <c:f>グラフ!$T$20:$T$23</c:f>
              <c:numCache>
                <c:formatCode>General</c:formatCode>
                <c:ptCount val="4"/>
                <c:pt idx="0">
                  <c:v>50</c:v>
                </c:pt>
                <c:pt idx="1">
                  <c:v>55</c:v>
                </c:pt>
                <c:pt idx="2">
                  <c:v>52</c:v>
                </c:pt>
                <c:pt idx="3">
                  <c:v>80</c:v>
                </c:pt>
              </c:numCache>
            </c:numRef>
          </c:val>
          <c:extLst>
            <c:ext xmlns:c16="http://schemas.microsoft.com/office/drawing/2014/chart" uri="{C3380CC4-5D6E-409C-BE32-E72D297353CC}">
              <c16:uniqueId val="{00000002-FAC3-41AA-A292-93DD91A6039F}"/>
            </c:ext>
          </c:extLst>
        </c:ser>
        <c:dLbls>
          <c:showLegendKey val="0"/>
          <c:showVal val="0"/>
          <c:showCatName val="0"/>
          <c:showSerName val="0"/>
          <c:showPercent val="0"/>
          <c:showBubbleSize val="0"/>
        </c:dLbls>
        <c:gapWidth val="150"/>
        <c:overlap val="100"/>
        <c:axId val="26757531"/>
        <c:axId val="25941702"/>
      </c:barChart>
      <c:catAx>
        <c:axId val="26757531"/>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sz="1000" b="1" strike="noStrike" spc="-1">
                <a:solidFill>
                  <a:srgbClr val="000000"/>
                </a:solidFill>
                <a:latin typeface="Arial"/>
                <a:ea typeface="游ゴシック"/>
              </a:defRPr>
            </a:pPr>
            <a:endParaRPr lang="ja-JP"/>
          </a:p>
        </c:txPr>
        <c:crossAx val="25941702"/>
        <c:crosses val="autoZero"/>
        <c:auto val="1"/>
        <c:lblAlgn val="ctr"/>
        <c:lblOffset val="100"/>
        <c:noMultiLvlLbl val="0"/>
      </c:catAx>
      <c:valAx>
        <c:axId val="25941702"/>
        <c:scaling>
          <c:orientation val="minMax"/>
        </c:scaling>
        <c:delete val="0"/>
        <c:axPos val="l"/>
        <c:numFmt formatCode="General" sourceLinked="0"/>
        <c:majorTickMark val="none"/>
        <c:minorTickMark val="none"/>
        <c:tickLblPos val="nextTo"/>
        <c:spPr>
          <a:ln w="12600">
            <a:noFill/>
          </a:ln>
        </c:spPr>
        <c:txPr>
          <a:bodyPr/>
          <a:lstStyle/>
          <a:p>
            <a:pPr>
              <a:defRPr sz="800" b="0" strike="noStrike" spc="-1">
                <a:solidFill>
                  <a:srgbClr val="000000"/>
                </a:solidFill>
                <a:latin typeface="Arial"/>
                <a:ea typeface="游ゴシック Medium"/>
              </a:defRPr>
            </a:pPr>
            <a:endParaRPr lang="ja-JP"/>
          </a:p>
        </c:txPr>
        <c:crossAx val="26757531"/>
        <c:crosses val="autoZero"/>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2</xdr:col>
      <xdr:colOff>240120</xdr:colOff>
      <xdr:row>7</xdr:row>
      <xdr:rowOff>160200</xdr:rowOff>
    </xdr:from>
    <xdr:to>
      <xdr:col>5</xdr:col>
      <xdr:colOff>882720</xdr:colOff>
      <xdr:row>21</xdr:row>
      <xdr:rowOff>36720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206280</xdr:colOff>
      <xdr:row>0</xdr:row>
      <xdr:rowOff>206280</xdr:rowOff>
    </xdr:from>
    <xdr:to>
      <xdr:col>13</xdr:col>
      <xdr:colOff>138240</xdr:colOff>
      <xdr:row>12</xdr:row>
      <xdr:rowOff>204840</xdr:rowOff>
    </xdr:to>
    <xdr:graphicFrame macro="">
      <xdr:nvGraphicFramePr>
        <xdr:cNvPr id="2" name="Chart 1">
          <a:extLst>
            <a:ext uri="{FF2B5EF4-FFF2-40B4-BE49-F238E27FC236}">
              <a16:creationId xmlns:a16="http://schemas.microsoft.com/office/drawing/2014/main" id="{00000000-0008-0000-2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219240</xdr:colOff>
      <xdr:row>16</xdr:row>
      <xdr:rowOff>174600</xdr:rowOff>
    </xdr:from>
    <xdr:to>
      <xdr:col>13</xdr:col>
      <xdr:colOff>167040</xdr:colOff>
      <xdr:row>28</xdr:row>
      <xdr:rowOff>173160</xdr:rowOff>
    </xdr:to>
    <xdr:graphicFrame macro="">
      <xdr:nvGraphicFramePr>
        <xdr:cNvPr id="3" name="Chart 2">
          <a:extLst>
            <a:ext uri="{FF2B5EF4-FFF2-40B4-BE49-F238E27FC236}">
              <a16:creationId xmlns:a16="http://schemas.microsoft.com/office/drawing/2014/main" id="{00000000-0008-0000-2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225360</xdr:colOff>
      <xdr:row>31</xdr:row>
      <xdr:rowOff>181080</xdr:rowOff>
    </xdr:from>
    <xdr:to>
      <xdr:col>13</xdr:col>
      <xdr:colOff>173160</xdr:colOff>
      <xdr:row>43</xdr:row>
      <xdr:rowOff>179640</xdr:rowOff>
    </xdr:to>
    <xdr:graphicFrame macro="">
      <xdr:nvGraphicFramePr>
        <xdr:cNvPr id="4" name="Chart 3">
          <a:extLst>
            <a:ext uri="{FF2B5EF4-FFF2-40B4-BE49-F238E27FC236}">
              <a16:creationId xmlns:a16="http://schemas.microsoft.com/office/drawing/2014/main" id="{00000000-0008-0000-2C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376560</xdr:colOff>
      <xdr:row>48</xdr:row>
      <xdr:rowOff>20880</xdr:rowOff>
    </xdr:from>
    <xdr:to>
      <xdr:col>13</xdr:col>
      <xdr:colOff>311760</xdr:colOff>
      <xdr:row>60</xdr:row>
      <xdr:rowOff>41040</xdr:rowOff>
    </xdr:to>
    <xdr:graphicFrame macro="">
      <xdr:nvGraphicFramePr>
        <xdr:cNvPr id="5" name="Chart 4">
          <a:extLst>
            <a:ext uri="{FF2B5EF4-FFF2-40B4-BE49-F238E27FC236}">
              <a16:creationId xmlns:a16="http://schemas.microsoft.com/office/drawing/2014/main" id="{00000000-0008-0000-2C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206280</xdr:colOff>
      <xdr:row>0</xdr:row>
      <xdr:rowOff>206280</xdr:rowOff>
    </xdr:from>
    <xdr:to>
      <xdr:col>28</xdr:col>
      <xdr:colOff>138240</xdr:colOff>
      <xdr:row>12</xdr:row>
      <xdr:rowOff>204840</xdr:rowOff>
    </xdr:to>
    <xdr:graphicFrame macro="">
      <xdr:nvGraphicFramePr>
        <xdr:cNvPr id="6" name="Chart 5">
          <a:extLst>
            <a:ext uri="{FF2B5EF4-FFF2-40B4-BE49-F238E27FC236}">
              <a16:creationId xmlns:a16="http://schemas.microsoft.com/office/drawing/2014/main" id="{00000000-0008-0000-2C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206280</xdr:colOff>
      <xdr:row>17</xdr:row>
      <xdr:rowOff>206280</xdr:rowOff>
    </xdr:from>
    <xdr:to>
      <xdr:col>28</xdr:col>
      <xdr:colOff>138240</xdr:colOff>
      <xdr:row>29</xdr:row>
      <xdr:rowOff>204840</xdr:rowOff>
    </xdr:to>
    <xdr:graphicFrame macro="">
      <xdr:nvGraphicFramePr>
        <xdr:cNvPr id="7" name="Chart 6">
          <a:extLst>
            <a:ext uri="{FF2B5EF4-FFF2-40B4-BE49-F238E27FC236}">
              <a16:creationId xmlns:a16="http://schemas.microsoft.com/office/drawing/2014/main" id="{00000000-0008-0000-2C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26666;&#24335;&#20250;&#31038;&#12459;&#12490;&#12522;&#12450;_&#26696;&#20214;&#12510;&#12473;&#12479;&#12540;_260726%20(1).xlsx" TargetMode="External"/><Relationship Id="rId2" Type="http://schemas.openxmlformats.org/officeDocument/2006/relationships/externalLinkPath" Target="file:///C:\Users\mag-Le-0018\Downloads\&#26666;&#24335;&#20250;&#31038;&#12459;&#12490;&#12522;&#12450;_&#26696;&#20214;&#12510;&#12473;&#12479;&#12540;_260726%20(1).xlsx" TargetMode="External"/><Relationship Id="rId1" Type="http://schemas.openxmlformats.org/officeDocument/2006/relationships/externalLinkPath" Target="/Users/mag-Le-0018/Downloads/&#26666;&#24335;&#20250;&#31038;&#12459;&#12490;&#12522;&#12450;_&#26696;&#20214;&#12510;&#12473;&#12479;&#12540;_260726%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ルール"/>
      <sheetName val="財務入力→"/>
      <sheetName val="BS(借方)"/>
      <sheetName val="BS (貸方)"/>
      <sheetName val="PL"/>
      <sheetName val="CR"/>
      <sheetName val="SGA"/>
      <sheetName val="VR→ "/>
      <sheetName val="株式価値 "/>
      <sheetName val="修正BS(借方)"/>
      <sheetName val="修正BS(貸方) "/>
      <sheetName val="売掛・棚卸"/>
      <sheetName val="減価償却"/>
      <sheetName val="土地"/>
      <sheetName val="保険"/>
      <sheetName val="有価証券"/>
      <sheetName val="Sheet1"/>
      <sheetName val="未払人件費・賞与"/>
      <sheetName val="退職金"/>
      <sheetName val="税効果"/>
      <sheetName val="分割後BS"/>
      <sheetName val="ネットキャッシュ"/>
      <sheetName val="修正PL"/>
      <sheetName val="修正SGA"/>
      <sheetName val="修正CR"/>
      <sheetName val="年買法"/>
      <sheetName val="EV EBITDAマルチプル"/>
      <sheetName val="参照企業"/>
      <sheetName val="IM→"/>
      <sheetName val="会社概要"/>
      <sheetName val="PLハイライト"/>
      <sheetName val="BSハイライト"/>
      <sheetName val="取引先"/>
      <sheetName val="仕入先"/>
      <sheetName val="外注先"/>
      <sheetName val="株主"/>
      <sheetName val="取締役"/>
      <sheetName val="従業員"/>
      <sheetName val="拠点(本社等)"/>
      <sheetName val="不動産(所有)"/>
      <sheetName val="不動産(賃借) "/>
      <sheetName val="設備"/>
      <sheetName val="財務"/>
      <sheetName val="その他"/>
      <sheetName val="スケジュール(横)"/>
      <sheetName val="スケジュール(縦)"/>
      <sheetName val="グラフ"/>
      <sheetName val="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6">
          <cell r="E6">
            <v>193226490</v>
          </cell>
        </row>
        <row r="7">
          <cell r="E7">
            <v>20153150</v>
          </cell>
        </row>
        <row r="8">
          <cell r="E8">
            <v>0</v>
          </cell>
        </row>
        <row r="9">
          <cell r="E9">
            <v>204834</v>
          </cell>
        </row>
        <row r="10">
          <cell r="E10">
            <v>24020</v>
          </cell>
        </row>
        <row r="11">
          <cell r="E11">
            <v>12055237</v>
          </cell>
        </row>
        <row r="12">
          <cell r="E12">
            <v>640475</v>
          </cell>
        </row>
        <row r="13">
          <cell r="E13">
            <v>41200</v>
          </cell>
        </row>
        <row r="22">
          <cell r="E22">
            <v>700993</v>
          </cell>
        </row>
        <row r="23">
          <cell r="E23">
            <v>264868</v>
          </cell>
        </row>
        <row r="24">
          <cell r="E24">
            <v>91059</v>
          </cell>
        </row>
        <row r="36">
          <cell r="E36">
            <v>2112001</v>
          </cell>
        </row>
        <row r="47">
          <cell r="E47">
            <v>275896334</v>
          </cell>
        </row>
        <row r="48">
          <cell r="E48">
            <v>30000</v>
          </cell>
        </row>
        <row r="49">
          <cell r="E49">
            <v>50000</v>
          </cell>
        </row>
        <row r="50">
          <cell r="E50">
            <v>1263500</v>
          </cell>
        </row>
        <row r="51">
          <cell r="E51">
            <v>25040</v>
          </cell>
        </row>
        <row r="52">
          <cell r="E52">
            <v>43326766</v>
          </cell>
        </row>
        <row r="53">
          <cell r="E53">
            <v>102575</v>
          </cell>
        </row>
        <row r="60">
          <cell r="E60">
            <v>0</v>
          </cell>
        </row>
      </sheetData>
      <sheetData sheetId="10">
        <row r="6">
          <cell r="E6">
            <v>9644516</v>
          </cell>
        </row>
        <row r="7">
          <cell r="E7">
            <v>3947278</v>
          </cell>
        </row>
        <row r="8">
          <cell r="E8">
            <v>2929500</v>
          </cell>
        </row>
        <row r="9">
          <cell r="E9">
            <v>12017600</v>
          </cell>
        </row>
        <row r="10">
          <cell r="E10">
            <v>124739</v>
          </cell>
        </row>
        <row r="11">
          <cell r="E11">
            <v>41828000</v>
          </cell>
        </row>
        <row r="19">
          <cell r="E19">
            <v>145980000</v>
          </cell>
        </row>
        <row r="36">
          <cell r="E36">
            <v>10000000</v>
          </cell>
        </row>
        <row r="44">
          <cell r="E44">
            <v>323535909</v>
          </cell>
        </row>
        <row r="49">
          <cell r="E49">
            <v>201000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theme/theme1.xml><?xml version="1.0" encoding="utf-8"?>
<a:theme xmlns:a="http://schemas.openxmlformats.org/drawingml/2006/main" name="Office テーマ">
  <a:themeElements>
    <a:clrScheme name="M&amp;A">
      <a:dk1>
        <a:srgbClr val="000000"/>
      </a:dk1>
      <a:lt1>
        <a:srgbClr val="FFFFFF"/>
      </a:lt1>
      <a:dk2>
        <a:srgbClr val="0B3041"/>
      </a:dk2>
      <a:lt2>
        <a:srgbClr val="E3E7E9"/>
      </a:lt2>
      <a:accent1>
        <a:srgbClr val="727F88"/>
      </a:accent1>
      <a:accent2>
        <a:srgbClr val="E1F3FB"/>
      </a:accent2>
      <a:accent3>
        <a:srgbClr val="54CCB3"/>
      </a:accent3>
      <a:accent4>
        <a:srgbClr val="0889C9"/>
      </a:accent4>
      <a:accent5>
        <a:srgbClr val="FFFFFF"/>
      </a:accent5>
      <a:accent6>
        <a:srgbClr val="FFFFFF"/>
      </a:accent6>
      <a:hlink>
        <a:srgbClr val="FFFFFF"/>
      </a:hlink>
      <a:folHlink>
        <a:srgbClr val="FFFFFF"/>
      </a:folHlink>
    </a:clrScheme>
    <a:fontScheme name="游ゴシック&amp;Arial">
      <a:majorFont>
        <a:latin typeface="Arial"/>
        <a:ea typeface="游ゴシック"/>
        <a:cs typeface=""/>
      </a:majorFont>
      <a:minorFont>
        <a:latin typeface="Arial"/>
        <a:ea typeface="游ゴシック Medium"/>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B3:G14"/>
  <sheetViews>
    <sheetView showGridLines="0" zoomScaleNormal="100" workbookViewId="0"/>
  </sheetViews>
  <sheetFormatPr defaultColWidth="8.5" defaultRowHeight="18"/>
  <cols>
    <col min="2" max="2" width="6.25" style="5" customWidth="1"/>
  </cols>
  <sheetData>
    <row r="3" spans="2:7" ht="18" customHeight="1">
      <c r="B3" s="5">
        <v>1</v>
      </c>
      <c r="C3" s="6" t="s">
        <v>0</v>
      </c>
    </row>
    <row r="4" spans="2:7" ht="18" customHeight="1">
      <c r="B4" s="5">
        <v>2</v>
      </c>
      <c r="C4" s="6" t="s">
        <v>1</v>
      </c>
    </row>
    <row r="5" spans="2:7" ht="18" customHeight="1">
      <c r="B5" s="5">
        <v>3</v>
      </c>
      <c r="C5" s="6" t="s">
        <v>2</v>
      </c>
    </row>
    <row r="6" spans="2:7" ht="18" customHeight="1">
      <c r="B6" s="5">
        <v>4</v>
      </c>
      <c r="C6" s="6" t="s">
        <v>3</v>
      </c>
    </row>
    <row r="7" spans="2:7" ht="18" customHeight="1">
      <c r="C7" s="7"/>
      <c r="D7" s="8"/>
      <c r="E7" s="9"/>
      <c r="F7" s="10"/>
      <c r="G7" s="11"/>
    </row>
    <row r="8" spans="2:7" ht="18" customHeight="1">
      <c r="B8" s="6"/>
      <c r="C8" s="6" t="s">
        <v>4</v>
      </c>
    </row>
    <row r="10" spans="2:7" ht="20.25" customHeight="1">
      <c r="C10" s="619" t="s">
        <v>5</v>
      </c>
      <c r="D10" s="619"/>
      <c r="E10" s="619"/>
      <c r="F10" s="619"/>
    </row>
    <row r="11" spans="2:7" ht="19.5" customHeight="1">
      <c r="C11" s="12" t="s">
        <v>6</v>
      </c>
      <c r="D11" s="13">
        <f>'BS(借方)'!F10</f>
        <v>0</v>
      </c>
      <c r="E11" s="14" t="s">
        <v>7</v>
      </c>
      <c r="F11" s="15" t="s">
        <v>8</v>
      </c>
    </row>
    <row r="12" spans="2:7" ht="19.5" customHeight="1">
      <c r="C12" s="16" t="s">
        <v>9</v>
      </c>
      <c r="D12" s="17">
        <f>SUM(D13:D26)</f>
        <v>5000000</v>
      </c>
      <c r="E12" s="17">
        <f>SUM(E13:E26)</f>
        <v>-500000</v>
      </c>
      <c r="F12" s="18">
        <f>SUM(F13:F26)</f>
        <v>4500000</v>
      </c>
    </row>
    <row r="13" spans="2:7" ht="19.5" customHeight="1">
      <c r="C13" s="19" t="s">
        <v>10</v>
      </c>
      <c r="D13" s="20">
        <v>5000000</v>
      </c>
      <c r="E13" s="20">
        <v>-500000</v>
      </c>
      <c r="F13" s="21">
        <f>D13+E13</f>
        <v>4500000</v>
      </c>
    </row>
    <row r="14" spans="2:7" ht="19.5" customHeight="1">
      <c r="C14" s="19"/>
      <c r="D14" s="20"/>
      <c r="E14" s="20"/>
      <c r="F14" s="21">
        <f>D14+E14</f>
        <v>0</v>
      </c>
    </row>
  </sheetData>
  <mergeCells count="1">
    <mergeCell ref="C10:F10"/>
  </mergeCells>
  <phoneticPr fontId="60"/>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44464"/>
  </sheetPr>
  <dimension ref="A1"/>
  <sheetViews>
    <sheetView showGridLines="0" zoomScaleNormal="100" workbookViewId="0"/>
  </sheetViews>
  <sheetFormatPr defaultColWidth="8.5" defaultRowHeight="18"/>
  <sheetData/>
  <phoneticPr fontId="60"/>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78"/>
  <sheetViews>
    <sheetView showGridLines="0" zoomScale="70" zoomScaleNormal="70" workbookViewId="0">
      <pane ySplit="4" topLeftCell="A5" activePane="bottomLeft" state="frozen"/>
      <selection pane="bottomLeft" activeCell="B10" sqref="B10"/>
    </sheetView>
  </sheetViews>
  <sheetFormatPr defaultColWidth="8.5" defaultRowHeight="18"/>
  <cols>
    <col min="1" max="1" width="8.5" style="242"/>
    <col min="2" max="2" width="28" style="390" customWidth="1"/>
    <col min="3" max="5" width="16.1640625" style="391" customWidth="1"/>
    <col min="6" max="7" width="16.1640625" style="391" hidden="1" customWidth="1"/>
    <col min="8" max="8" width="8.75" style="391" customWidth="1"/>
    <col min="9" max="16384" width="8.5" style="242"/>
  </cols>
  <sheetData>
    <row r="1" spans="2:7" ht="18" customHeight="1">
      <c r="C1" s="620" t="s">
        <v>11</v>
      </c>
      <c r="D1" s="620"/>
      <c r="E1" s="620"/>
    </row>
    <row r="2" spans="2:7" ht="18" customHeight="1">
      <c r="C2" s="392" t="s">
        <v>521</v>
      </c>
      <c r="D2" s="392" t="s">
        <v>522</v>
      </c>
      <c r="E2" s="392" t="s">
        <v>523</v>
      </c>
      <c r="F2" s="392" t="s">
        <v>12</v>
      </c>
      <c r="G2" s="392" t="s">
        <v>13</v>
      </c>
    </row>
    <row r="3" spans="2:7" ht="27.75" customHeight="1">
      <c r="B3" s="621" t="s">
        <v>5</v>
      </c>
      <c r="C3" s="621"/>
      <c r="D3" s="621"/>
      <c r="E3" s="621"/>
      <c r="F3" s="621"/>
      <c r="G3" s="621"/>
    </row>
    <row r="4" spans="2:7" ht="39" customHeight="1">
      <c r="B4" s="25" t="s">
        <v>6</v>
      </c>
      <c r="C4" s="25" t="s">
        <v>524</v>
      </c>
      <c r="D4" s="25" t="s">
        <v>525</v>
      </c>
      <c r="E4" s="25" t="s">
        <v>526</v>
      </c>
      <c r="F4" s="25" t="s">
        <v>14</v>
      </c>
      <c r="G4" s="393" t="s">
        <v>15</v>
      </c>
    </row>
    <row r="5" spans="2:7" ht="22.5" customHeight="1">
      <c r="B5" s="394" t="s">
        <v>9</v>
      </c>
      <c r="C5" s="395">
        <f>SUM(C6:C19)</f>
        <v>353922232</v>
      </c>
      <c r="D5" s="395">
        <f>SUM(D6:D19)</f>
        <v>309100318</v>
      </c>
      <c r="E5" s="395">
        <f>SUM(E6:E19)</f>
        <v>226144406</v>
      </c>
      <c r="F5" s="395">
        <f>SUM(F6:F19)</f>
        <v>0</v>
      </c>
      <c r="G5" s="395">
        <f>SUM(G6:G19)</f>
        <v>0</v>
      </c>
    </row>
    <row r="6" spans="2:7" ht="22.5" customHeight="1">
      <c r="B6" s="396" t="s">
        <v>10</v>
      </c>
      <c r="C6" s="397">
        <v>260204106</v>
      </c>
      <c r="D6" s="397">
        <v>241196237</v>
      </c>
      <c r="E6" s="397">
        <v>193226490</v>
      </c>
      <c r="F6" s="397"/>
      <c r="G6" s="397"/>
    </row>
    <row r="7" spans="2:7" ht="22.5" customHeight="1">
      <c r="B7" s="396" t="s">
        <v>16</v>
      </c>
      <c r="C7" s="397">
        <v>80309192</v>
      </c>
      <c r="D7" s="397">
        <v>24606051</v>
      </c>
      <c r="E7" s="397">
        <v>20153150</v>
      </c>
      <c r="F7" s="397"/>
      <c r="G7" s="397"/>
    </row>
    <row r="8" spans="2:7" ht="22.5" customHeight="1">
      <c r="B8" s="396" t="s">
        <v>17</v>
      </c>
      <c r="C8" s="397">
        <v>-803000</v>
      </c>
      <c r="D8" s="397">
        <v>-246000</v>
      </c>
      <c r="E8" s="397">
        <v>-201000</v>
      </c>
      <c r="F8" s="397"/>
      <c r="G8" s="397"/>
    </row>
    <row r="9" spans="2:7" ht="22.5" customHeight="1">
      <c r="B9" s="396" t="s">
        <v>18</v>
      </c>
      <c r="C9" s="397">
        <v>1377066</v>
      </c>
      <c r="D9" s="397">
        <v>23573572</v>
      </c>
      <c r="E9" s="397">
        <v>204834</v>
      </c>
      <c r="F9" s="397"/>
      <c r="G9" s="397"/>
    </row>
    <row r="10" spans="2:7" ht="22.5" customHeight="1">
      <c r="B10" s="396" t="s">
        <v>19</v>
      </c>
      <c r="C10" s="397">
        <v>48976</v>
      </c>
      <c r="D10" s="397">
        <v>9771051</v>
      </c>
      <c r="E10" s="397">
        <v>24020</v>
      </c>
      <c r="F10" s="397"/>
      <c r="G10" s="397"/>
    </row>
    <row r="11" spans="2:7" ht="22.5" customHeight="1">
      <c r="B11" s="396" t="s">
        <v>20</v>
      </c>
      <c r="C11" s="397">
        <v>5809100</v>
      </c>
      <c r="D11" s="397">
        <v>4571906</v>
      </c>
      <c r="E11" s="397">
        <v>12055237</v>
      </c>
      <c r="F11" s="397"/>
      <c r="G11" s="397"/>
    </row>
    <row r="12" spans="2:7" ht="22.5" customHeight="1">
      <c r="B12" s="396" t="s">
        <v>21</v>
      </c>
      <c r="C12" s="397"/>
      <c r="D12" s="397">
        <v>79184</v>
      </c>
      <c r="E12" s="397"/>
      <c r="F12" s="397"/>
      <c r="G12" s="397"/>
    </row>
    <row r="13" spans="2:7" ht="22.5" customHeight="1">
      <c r="B13" s="396" t="s">
        <v>22</v>
      </c>
      <c r="C13" s="397">
        <v>621392</v>
      </c>
      <c r="D13" s="397">
        <v>805869</v>
      </c>
      <c r="E13" s="397">
        <v>640475</v>
      </c>
      <c r="F13" s="397"/>
      <c r="G13" s="397"/>
    </row>
    <row r="14" spans="2:7" ht="22.5" customHeight="1">
      <c r="B14" s="396" t="s">
        <v>23</v>
      </c>
      <c r="C14" s="397">
        <v>3228000</v>
      </c>
      <c r="D14" s="397">
        <v>4742448</v>
      </c>
      <c r="E14" s="397">
        <v>41200</v>
      </c>
      <c r="F14" s="397"/>
      <c r="G14" s="397"/>
    </row>
    <row r="15" spans="2:7" ht="22.5" customHeight="1">
      <c r="B15" s="396" t="s">
        <v>24</v>
      </c>
      <c r="C15" s="397">
        <v>3127400</v>
      </c>
      <c r="D15" s="397"/>
      <c r="E15" s="397"/>
      <c r="F15" s="397"/>
      <c r="G15" s="397"/>
    </row>
    <row r="16" spans="2:7" ht="22.5" customHeight="1">
      <c r="B16" s="396"/>
      <c r="C16" s="397"/>
      <c r="D16" s="397"/>
      <c r="E16" s="397"/>
      <c r="F16" s="397"/>
      <c r="G16" s="397"/>
    </row>
    <row r="17" spans="2:7" ht="22.5" customHeight="1">
      <c r="B17" s="396"/>
      <c r="C17" s="397"/>
      <c r="D17" s="397"/>
      <c r="E17" s="397"/>
      <c r="F17" s="397"/>
      <c r="G17" s="397"/>
    </row>
    <row r="18" spans="2:7" ht="22.5" customHeight="1">
      <c r="B18" s="396"/>
      <c r="C18" s="397"/>
      <c r="D18" s="397"/>
      <c r="E18" s="397"/>
      <c r="F18" s="397"/>
      <c r="G18" s="397"/>
    </row>
    <row r="19" spans="2:7" ht="22.5" customHeight="1">
      <c r="B19" s="26"/>
      <c r="C19" s="398"/>
      <c r="D19" s="398"/>
      <c r="E19" s="398"/>
      <c r="F19" s="398"/>
      <c r="G19" s="398"/>
    </row>
    <row r="20" spans="2:7" ht="22.5" customHeight="1">
      <c r="B20" s="394" t="s">
        <v>25</v>
      </c>
      <c r="C20" s="395">
        <f>C21+C35+C46</f>
        <v>140739380</v>
      </c>
      <c r="D20" s="395">
        <f>D21+D35+D46</f>
        <v>228972793</v>
      </c>
      <c r="E20" s="395">
        <f>E21+E35+E46</f>
        <v>323863136</v>
      </c>
      <c r="F20" s="395">
        <f>F21+F35+F46</f>
        <v>0</v>
      </c>
      <c r="G20" s="395">
        <f>G21+G35+G46</f>
        <v>0</v>
      </c>
    </row>
    <row r="21" spans="2:7" ht="22.5" customHeight="1">
      <c r="B21" s="399" t="s">
        <v>26</v>
      </c>
      <c r="C21" s="400">
        <f>SUM(C22:C34)</f>
        <v>1931618</v>
      </c>
      <c r="D21" s="400">
        <f>SUM(D22:D34)</f>
        <v>1479093</v>
      </c>
      <c r="E21" s="400">
        <f>SUM(E22:E34)</f>
        <v>1056920</v>
      </c>
      <c r="F21" s="400">
        <f>SUM(F22:F34)</f>
        <v>0</v>
      </c>
      <c r="G21" s="400">
        <f>SUM(G22:G34)</f>
        <v>0</v>
      </c>
    </row>
    <row r="22" spans="2:7" ht="22.5" customHeight="1">
      <c r="B22" s="396" t="s">
        <v>27</v>
      </c>
      <c r="C22" s="397">
        <v>830303</v>
      </c>
      <c r="D22" s="397">
        <v>765648</v>
      </c>
      <c r="E22" s="397">
        <v>700993</v>
      </c>
      <c r="F22" s="397"/>
      <c r="G22" s="397"/>
    </row>
    <row r="23" spans="2:7" ht="22.5" customHeight="1">
      <c r="B23" s="396" t="s">
        <v>28</v>
      </c>
      <c r="C23" s="397">
        <v>797788</v>
      </c>
      <c r="D23" s="397">
        <v>531328</v>
      </c>
      <c r="E23" s="397">
        <v>264868</v>
      </c>
      <c r="F23" s="397"/>
      <c r="G23" s="397"/>
    </row>
    <row r="24" spans="2:7" ht="22.5" customHeight="1">
      <c r="B24" s="396" t="s">
        <v>29</v>
      </c>
      <c r="C24" s="397">
        <v>303527</v>
      </c>
      <c r="D24" s="397">
        <v>182117</v>
      </c>
      <c r="E24" s="397">
        <v>91059</v>
      </c>
      <c r="F24" s="397"/>
      <c r="G24" s="397"/>
    </row>
    <row r="25" spans="2:7" ht="22.5" customHeight="1">
      <c r="B25" s="396"/>
      <c r="C25" s="397"/>
      <c r="D25" s="397"/>
      <c r="E25" s="397"/>
      <c r="F25" s="397"/>
      <c r="G25" s="397"/>
    </row>
    <row r="26" spans="2:7" ht="22.5" customHeight="1">
      <c r="B26" s="396"/>
      <c r="C26" s="397"/>
      <c r="D26" s="397"/>
      <c r="E26" s="397"/>
      <c r="F26" s="397"/>
      <c r="G26" s="397"/>
    </row>
    <row r="27" spans="2:7" ht="22.5" customHeight="1">
      <c r="B27" s="396"/>
      <c r="C27" s="397"/>
      <c r="D27" s="397"/>
      <c r="E27" s="397"/>
      <c r="F27" s="397"/>
      <c r="G27" s="397"/>
    </row>
    <row r="28" spans="2:7" ht="22.5" customHeight="1">
      <c r="B28" s="396"/>
      <c r="C28" s="397"/>
      <c r="D28" s="397"/>
      <c r="E28" s="397"/>
      <c r="F28" s="397"/>
      <c r="G28" s="397"/>
    </row>
    <row r="29" spans="2:7" ht="22.5" customHeight="1">
      <c r="B29" s="396"/>
      <c r="C29" s="397"/>
      <c r="D29" s="397"/>
      <c r="E29" s="397"/>
      <c r="F29" s="397"/>
      <c r="G29" s="397"/>
    </row>
    <row r="30" spans="2:7" ht="22.5" customHeight="1">
      <c r="B30" s="396"/>
      <c r="C30" s="397"/>
      <c r="D30" s="397"/>
      <c r="E30" s="397"/>
      <c r="F30" s="397"/>
      <c r="G30" s="397"/>
    </row>
    <row r="31" spans="2:7" ht="22.5" customHeight="1">
      <c r="B31" s="396"/>
      <c r="C31" s="397"/>
      <c r="D31" s="397"/>
      <c r="E31" s="397"/>
      <c r="F31" s="397"/>
      <c r="G31" s="397"/>
    </row>
    <row r="32" spans="2:7" ht="22.5" customHeight="1">
      <c r="B32" s="396"/>
      <c r="C32" s="397"/>
      <c r="D32" s="397"/>
      <c r="E32" s="397"/>
      <c r="F32" s="397"/>
      <c r="G32" s="397"/>
    </row>
    <row r="33" spans="2:7" ht="22.5" customHeight="1">
      <c r="B33" s="396"/>
      <c r="C33" s="397"/>
      <c r="D33" s="397"/>
      <c r="E33" s="397"/>
      <c r="F33" s="397"/>
      <c r="G33" s="397"/>
    </row>
    <row r="34" spans="2:7" ht="22.5" customHeight="1">
      <c r="B34" s="26"/>
      <c r="C34" s="398"/>
      <c r="D34" s="398"/>
      <c r="E34" s="398"/>
      <c r="F34" s="398"/>
      <c r="G34" s="398"/>
    </row>
    <row r="35" spans="2:7" ht="22.5" customHeight="1">
      <c r="B35" s="399" t="s">
        <v>30</v>
      </c>
      <c r="C35" s="401">
        <f>SUM(C36:C45)</f>
        <v>0</v>
      </c>
      <c r="D35" s="401">
        <f>SUM(D36:D45)</f>
        <v>2688001</v>
      </c>
      <c r="E35" s="401">
        <f>SUM(E36:E45)</f>
        <v>2112001</v>
      </c>
      <c r="F35" s="401">
        <f>SUM(F36:F45)</f>
        <v>0</v>
      </c>
      <c r="G35" s="401">
        <f>SUM(G36:G45)</f>
        <v>0</v>
      </c>
    </row>
    <row r="36" spans="2:7" ht="21.75" customHeight="1">
      <c r="B36" s="396" t="s">
        <v>31</v>
      </c>
      <c r="C36" s="402"/>
      <c r="D36" s="402">
        <v>2688001</v>
      </c>
      <c r="E36" s="402">
        <v>2112001</v>
      </c>
      <c r="F36" s="216"/>
      <c r="G36" s="216"/>
    </row>
    <row r="37" spans="2:7" ht="21.75" customHeight="1">
      <c r="B37" s="396"/>
      <c r="C37" s="402"/>
      <c r="D37" s="402"/>
      <c r="E37" s="402"/>
      <c r="F37" s="216"/>
      <c r="G37" s="216"/>
    </row>
    <row r="38" spans="2:7" ht="21.75" customHeight="1">
      <c r="B38" s="396"/>
      <c r="C38" s="402"/>
      <c r="D38" s="402"/>
      <c r="E38" s="402"/>
      <c r="F38" s="216"/>
      <c r="G38" s="216"/>
    </row>
    <row r="39" spans="2:7" ht="21.75" customHeight="1">
      <c r="B39" s="396"/>
      <c r="C39" s="402"/>
      <c r="D39" s="402"/>
      <c r="E39" s="402"/>
      <c r="F39" s="216"/>
      <c r="G39" s="216"/>
    </row>
    <row r="40" spans="2:7" ht="21.75" customHeight="1">
      <c r="B40" s="396"/>
      <c r="C40" s="402"/>
      <c r="D40" s="402"/>
      <c r="E40" s="402"/>
      <c r="F40" s="216"/>
      <c r="G40" s="216"/>
    </row>
    <row r="41" spans="2:7" ht="21.75" customHeight="1">
      <c r="B41" s="396"/>
      <c r="C41" s="402"/>
      <c r="D41" s="402"/>
      <c r="E41" s="402"/>
      <c r="F41" s="216"/>
      <c r="G41" s="216"/>
    </row>
    <row r="42" spans="2:7" ht="21.75" customHeight="1">
      <c r="B42" s="396"/>
      <c r="C42" s="402"/>
      <c r="D42" s="402"/>
      <c r="E42" s="402"/>
      <c r="F42" s="216"/>
      <c r="G42" s="216"/>
    </row>
    <row r="43" spans="2:7" ht="21.75" customHeight="1">
      <c r="B43" s="396"/>
      <c r="C43" s="402"/>
      <c r="D43" s="402"/>
      <c r="E43" s="402"/>
      <c r="F43" s="216"/>
      <c r="G43" s="216"/>
    </row>
    <row r="44" spans="2:7" ht="21.75" customHeight="1">
      <c r="B44" s="396"/>
      <c r="C44" s="402"/>
      <c r="D44" s="402"/>
      <c r="E44" s="402"/>
      <c r="F44" s="216"/>
      <c r="G44" s="216"/>
    </row>
    <row r="45" spans="2:7" ht="21.75" customHeight="1">
      <c r="B45" s="26"/>
      <c r="C45" s="403"/>
      <c r="D45" s="403"/>
      <c r="E45" s="403"/>
      <c r="F45" s="401"/>
      <c r="G45" s="401"/>
    </row>
    <row r="46" spans="2:7" ht="21.75" customHeight="1">
      <c r="B46" s="404" t="s">
        <v>32</v>
      </c>
      <c r="C46" s="401">
        <f>SUM(C47:C55)</f>
        <v>138807762</v>
      </c>
      <c r="D46" s="401">
        <f>SUM(D47:D55)</f>
        <v>224805699</v>
      </c>
      <c r="E46" s="401">
        <f>SUM(E47:E55)</f>
        <v>320694215</v>
      </c>
      <c r="F46" s="401">
        <f>SUM(F47:F55)</f>
        <v>0</v>
      </c>
      <c r="G46" s="401">
        <f>SUM(G47:G55)</f>
        <v>0</v>
      </c>
    </row>
    <row r="47" spans="2:7" ht="22.5" customHeight="1">
      <c r="B47" s="396" t="s">
        <v>33</v>
      </c>
      <c r="C47" s="402">
        <v>112672352</v>
      </c>
      <c r="D47" s="402">
        <v>188090341</v>
      </c>
      <c r="E47" s="402">
        <v>275896334</v>
      </c>
      <c r="F47" s="216"/>
      <c r="G47" s="216"/>
    </row>
    <row r="48" spans="2:7" ht="22.5" customHeight="1">
      <c r="B48" s="396" t="s">
        <v>34</v>
      </c>
      <c r="C48" s="402">
        <v>30000</v>
      </c>
      <c r="D48" s="402">
        <v>30000</v>
      </c>
      <c r="E48" s="402">
        <v>30000</v>
      </c>
      <c r="F48" s="402"/>
      <c r="G48" s="402"/>
    </row>
    <row r="49" spans="2:7" ht="22.5" customHeight="1">
      <c r="B49" s="396" t="s">
        <v>35</v>
      </c>
      <c r="C49" s="402">
        <v>50000</v>
      </c>
      <c r="D49" s="402">
        <v>50000</v>
      </c>
      <c r="E49" s="402">
        <v>50000</v>
      </c>
      <c r="F49" s="402"/>
      <c r="G49" s="402"/>
    </row>
    <row r="50" spans="2:7" ht="22.5" customHeight="1">
      <c r="B50" s="396" t="s">
        <v>36</v>
      </c>
      <c r="C50" s="402">
        <v>1263500</v>
      </c>
      <c r="D50" s="402">
        <v>1263500</v>
      </c>
      <c r="E50" s="402">
        <v>1263500</v>
      </c>
      <c r="F50" s="402"/>
      <c r="G50" s="402"/>
    </row>
    <row r="51" spans="2:7" ht="22.5" customHeight="1">
      <c r="B51" s="396" t="s">
        <v>37</v>
      </c>
      <c r="C51" s="402">
        <v>25040</v>
      </c>
      <c r="D51" s="402">
        <v>25040</v>
      </c>
      <c r="E51" s="402">
        <v>25040</v>
      </c>
      <c r="F51" s="402"/>
      <c r="G51" s="402"/>
    </row>
    <row r="52" spans="2:7" ht="22.5" customHeight="1">
      <c r="B52" s="396" t="s">
        <v>38</v>
      </c>
      <c r="C52" s="402">
        <v>24766870</v>
      </c>
      <c r="D52" s="402">
        <v>35346818</v>
      </c>
      <c r="E52" s="402">
        <v>43326766</v>
      </c>
      <c r="F52" s="402"/>
      <c r="G52" s="402"/>
    </row>
    <row r="53" spans="2:7" ht="22.5" customHeight="1">
      <c r="B53" s="396" t="s">
        <v>39</v>
      </c>
      <c r="C53" s="402"/>
      <c r="D53" s="402"/>
      <c r="E53" s="402">
        <v>102575</v>
      </c>
      <c r="F53" s="402"/>
      <c r="G53" s="402"/>
    </row>
    <row r="54" spans="2:7" ht="22.5" customHeight="1">
      <c r="B54" s="396"/>
      <c r="C54" s="402"/>
      <c r="D54" s="402"/>
      <c r="E54" s="402"/>
      <c r="F54" s="402"/>
      <c r="G54" s="402"/>
    </row>
    <row r="55" spans="2:7" ht="22.5" customHeight="1">
      <c r="B55" s="396"/>
      <c r="C55" s="402"/>
      <c r="D55" s="402"/>
      <c r="E55" s="402"/>
      <c r="F55" s="402"/>
      <c r="G55" s="402"/>
    </row>
    <row r="56" spans="2:7" ht="22.5" customHeight="1">
      <c r="B56" s="405" t="s">
        <v>40</v>
      </c>
      <c r="C56" s="406">
        <f>SUM(C57:C60)</f>
        <v>0</v>
      </c>
      <c r="D56" s="406">
        <f>SUM(D57:D60)</f>
        <v>0</v>
      </c>
      <c r="E56" s="406">
        <f>SUM(E57:E60)</f>
        <v>0</v>
      </c>
      <c r="F56" s="406">
        <f>SUM(F57:F60)</f>
        <v>0</v>
      </c>
      <c r="G56" s="406">
        <f>SUM(G57:G60)</f>
        <v>0</v>
      </c>
    </row>
    <row r="57" spans="2:7" ht="22.5" customHeight="1">
      <c r="B57" s="396"/>
      <c r="C57" s="402"/>
      <c r="D57" s="402"/>
      <c r="E57" s="402"/>
      <c r="F57" s="402"/>
      <c r="G57" s="402"/>
    </row>
    <row r="58" spans="2:7" ht="22.5" customHeight="1">
      <c r="B58" s="396"/>
      <c r="C58" s="402"/>
      <c r="D58" s="402"/>
      <c r="E58" s="402"/>
      <c r="F58" s="402"/>
      <c r="G58" s="402"/>
    </row>
    <row r="59" spans="2:7" ht="22.5" customHeight="1">
      <c r="B59" s="396"/>
      <c r="C59" s="402"/>
      <c r="D59" s="402"/>
      <c r="E59" s="402"/>
      <c r="F59" s="402"/>
      <c r="G59" s="402"/>
    </row>
    <row r="60" spans="2:7" ht="22.5" customHeight="1">
      <c r="B60" s="26"/>
      <c r="C60" s="403"/>
      <c r="D60" s="403"/>
      <c r="E60" s="403"/>
      <c r="F60" s="403"/>
      <c r="G60" s="403"/>
    </row>
    <row r="61" spans="2:7" ht="22.5" customHeight="1">
      <c r="B61" s="407" t="s">
        <v>41</v>
      </c>
      <c r="C61" s="408">
        <f>C5+C20+C56</f>
        <v>494661612</v>
      </c>
      <c r="D61" s="408">
        <f>D5+D20+D56</f>
        <v>538073111</v>
      </c>
      <c r="E61" s="408">
        <f>E5+E20+E56</f>
        <v>550007542</v>
      </c>
      <c r="F61" s="408">
        <f>F5+F20+F56</f>
        <v>0</v>
      </c>
      <c r="G61" s="408">
        <f>G5+G20+G56</f>
        <v>0</v>
      </c>
    </row>
    <row r="62" spans="2:7" ht="18" customHeight="1">
      <c r="C62" s="409"/>
      <c r="D62" s="409"/>
      <c r="E62" s="409"/>
      <c r="F62" s="409"/>
      <c r="G62" s="409"/>
    </row>
    <row r="63" spans="2:7" ht="18" customHeight="1">
      <c r="B63" s="410" t="s">
        <v>42</v>
      </c>
      <c r="C63" s="37" t="b">
        <f>EXACT(C61,'BS (貸方)'!C51)</f>
        <v>1</v>
      </c>
      <c r="D63" s="37" t="b">
        <f>EXACT(D61,'BS (貸方)'!D51)</f>
        <v>1</v>
      </c>
      <c r="E63" s="37" t="b">
        <f>EXACT(E61,'BS (貸方)'!E51)</f>
        <v>1</v>
      </c>
      <c r="F63" s="37" t="b">
        <f>EXACT(F61,'BS (貸方)'!F51)</f>
        <v>1</v>
      </c>
      <c r="G63" s="37" t="b">
        <f>EXACT(G61,'BS (貸方)'!G51)</f>
        <v>1</v>
      </c>
    </row>
    <row r="64" spans="2:7" ht="18" customHeight="1">
      <c r="C64" s="409"/>
      <c r="D64" s="409"/>
      <c r="E64" s="409"/>
      <c r="F64" s="409"/>
      <c r="G64" s="409"/>
    </row>
    <row r="65" spans="3:7" ht="18" customHeight="1">
      <c r="C65" s="409"/>
      <c r="D65" s="409"/>
      <c r="E65" s="409"/>
      <c r="F65" s="409"/>
      <c r="G65" s="409"/>
    </row>
    <row r="66" spans="3:7" ht="18" customHeight="1">
      <c r="C66" s="409"/>
      <c r="D66" s="409"/>
      <c r="E66" s="409"/>
      <c r="F66" s="409"/>
      <c r="G66" s="409"/>
    </row>
    <row r="67" spans="3:7" ht="18" customHeight="1">
      <c r="C67" s="409"/>
      <c r="D67" s="409"/>
      <c r="E67" s="409"/>
      <c r="F67" s="409"/>
      <c r="G67" s="409"/>
    </row>
    <row r="68" spans="3:7" ht="18" customHeight="1">
      <c r="C68" s="409"/>
      <c r="D68" s="409"/>
      <c r="E68" s="409"/>
      <c r="F68" s="409"/>
      <c r="G68" s="409"/>
    </row>
    <row r="69" spans="3:7" ht="18" customHeight="1">
      <c r="C69" s="409"/>
      <c r="D69" s="409"/>
      <c r="E69" s="409"/>
      <c r="F69" s="409"/>
      <c r="G69" s="409"/>
    </row>
    <row r="70" spans="3:7" ht="18" customHeight="1">
      <c r="C70" s="409"/>
      <c r="D70" s="409"/>
      <c r="E70" s="409"/>
      <c r="F70" s="409"/>
      <c r="G70" s="409"/>
    </row>
    <row r="71" spans="3:7" ht="18" customHeight="1">
      <c r="C71" s="409"/>
      <c r="D71" s="409"/>
      <c r="E71" s="409"/>
      <c r="F71" s="409"/>
      <c r="G71" s="409"/>
    </row>
    <row r="72" spans="3:7" ht="18" customHeight="1">
      <c r="C72" s="409"/>
      <c r="D72" s="409"/>
      <c r="E72" s="409"/>
      <c r="F72" s="409"/>
      <c r="G72" s="409"/>
    </row>
    <row r="73" spans="3:7" ht="18" customHeight="1">
      <c r="C73" s="409"/>
      <c r="D73" s="409"/>
      <c r="E73" s="409"/>
      <c r="F73" s="409"/>
      <c r="G73" s="409"/>
    </row>
    <row r="74" spans="3:7" ht="18" customHeight="1">
      <c r="C74" s="409"/>
      <c r="D74" s="409"/>
      <c r="E74" s="409"/>
      <c r="F74" s="409"/>
      <c r="G74" s="409"/>
    </row>
    <row r="75" spans="3:7" ht="18" customHeight="1">
      <c r="C75" s="409"/>
      <c r="D75" s="409"/>
      <c r="E75" s="409"/>
      <c r="F75" s="409"/>
      <c r="G75" s="409"/>
    </row>
    <row r="76" spans="3:7" ht="18" customHeight="1">
      <c r="C76" s="409"/>
      <c r="D76" s="409"/>
      <c r="E76" s="409"/>
      <c r="F76" s="409"/>
      <c r="G76" s="409"/>
    </row>
    <row r="77" spans="3:7" ht="18" customHeight="1">
      <c r="C77" s="409"/>
      <c r="D77" s="409"/>
      <c r="E77" s="409"/>
      <c r="F77" s="409"/>
      <c r="G77" s="409"/>
    </row>
    <row r="78" spans="3:7" ht="18" customHeight="1">
      <c r="C78" s="409"/>
      <c r="D78" s="409"/>
      <c r="E78" s="409"/>
      <c r="F78" s="409"/>
      <c r="G78" s="409"/>
    </row>
  </sheetData>
  <mergeCells count="2">
    <mergeCell ref="C1:E1"/>
    <mergeCell ref="B3:G3"/>
  </mergeCells>
  <phoneticPr fontId="60"/>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68"/>
  <sheetViews>
    <sheetView showGridLines="0" zoomScale="85" zoomScaleNormal="85" workbookViewId="0">
      <pane ySplit="4" topLeftCell="A37" activePane="bottomLeft" state="frozen"/>
      <selection pane="bottomLeft" activeCell="A51" sqref="A51"/>
    </sheetView>
  </sheetViews>
  <sheetFormatPr defaultColWidth="8.5" defaultRowHeight="18"/>
  <cols>
    <col min="2" max="2" width="28" style="38" customWidth="1"/>
    <col min="3" max="3" width="16.1640625" style="38" customWidth="1"/>
    <col min="4" max="5" width="16.1640625" style="23" customWidth="1"/>
    <col min="6" max="7" width="16.1640625" style="23" hidden="1" customWidth="1"/>
    <col min="8" max="8" width="8.75" style="23" customWidth="1"/>
  </cols>
  <sheetData>
    <row r="2" spans="2:7" ht="18.75" customHeight="1">
      <c r="E2" s="39" t="s">
        <v>43</v>
      </c>
    </row>
    <row r="3" spans="2:7" ht="27.75" customHeight="1">
      <c r="B3" s="622" t="s">
        <v>44</v>
      </c>
      <c r="C3" s="622"/>
      <c r="D3" s="622"/>
      <c r="E3" s="622"/>
      <c r="F3" s="622"/>
      <c r="G3" s="622"/>
    </row>
    <row r="4" spans="2:7" ht="39.75" customHeight="1">
      <c r="B4" s="24" t="s">
        <v>6</v>
      </c>
      <c r="C4" s="24" t="str">
        <f>'BS(借方)'!C4</f>
        <v>24年1月期</v>
      </c>
      <c r="D4" s="24" t="str">
        <f>'BS(借方)'!D4</f>
        <v>25年1月期</v>
      </c>
      <c r="E4" s="24" t="str">
        <f>'BS(借方)'!E4</f>
        <v>26年1月期</v>
      </c>
      <c r="F4" s="24" t="str">
        <f>'BS(借方)'!F4</f>
        <v>●●年●月期</v>
      </c>
      <c r="G4" s="40" t="str">
        <f>'BS(借方)'!G4</f>
        <v>●●年●月
（●か月TB）</v>
      </c>
    </row>
    <row r="5" spans="2:7" ht="22.5" customHeight="1">
      <c r="B5" s="41" t="s">
        <v>45</v>
      </c>
      <c r="C5" s="17">
        <f>SUM(C6:C17)</f>
        <v>47623635</v>
      </c>
      <c r="D5" s="17">
        <f>SUM(D6:D17)</f>
        <v>106163378</v>
      </c>
      <c r="E5" s="17">
        <f>SUM(E6:E17)</f>
        <v>70491633</v>
      </c>
      <c r="F5" s="17">
        <f>SUM(F6:F17)</f>
        <v>0</v>
      </c>
      <c r="G5" s="17">
        <f>SUM(G6:G17)</f>
        <v>0</v>
      </c>
    </row>
    <row r="6" spans="2:7" ht="22.5" customHeight="1">
      <c r="B6" s="42" t="s">
        <v>46</v>
      </c>
      <c r="C6" s="43">
        <v>42759404</v>
      </c>
      <c r="D6" s="20">
        <v>51250714</v>
      </c>
      <c r="E6" s="20">
        <v>9644516</v>
      </c>
      <c r="F6" s="20"/>
      <c r="G6" s="20"/>
    </row>
    <row r="7" spans="2:7" ht="22.5" customHeight="1">
      <c r="B7" s="42" t="s">
        <v>47</v>
      </c>
      <c r="C7" s="43">
        <v>3911586</v>
      </c>
      <c r="D7" s="20">
        <v>5447277</v>
      </c>
      <c r="E7" s="20">
        <v>3947278</v>
      </c>
      <c r="F7" s="20"/>
      <c r="G7" s="20"/>
    </row>
    <row r="8" spans="2:7" ht="22.5" customHeight="1">
      <c r="B8" s="42" t="s">
        <v>48</v>
      </c>
      <c r="C8" s="43">
        <v>35000</v>
      </c>
      <c r="D8" s="20">
        <v>19454800</v>
      </c>
      <c r="E8" s="20">
        <v>2929500</v>
      </c>
      <c r="F8" s="20"/>
      <c r="G8" s="20"/>
    </row>
    <row r="9" spans="2:7" ht="22.5" customHeight="1">
      <c r="B9" s="42" t="s">
        <v>49</v>
      </c>
      <c r="C9" s="43"/>
      <c r="D9" s="20"/>
      <c r="E9" s="20">
        <v>12017600</v>
      </c>
      <c r="F9" s="20"/>
      <c r="G9" s="20"/>
    </row>
    <row r="10" spans="2:7" ht="22.5" customHeight="1">
      <c r="B10" s="42" t="s">
        <v>50</v>
      </c>
      <c r="C10" s="43">
        <v>917645</v>
      </c>
      <c r="D10" s="20">
        <v>154227</v>
      </c>
      <c r="E10" s="20">
        <v>124739</v>
      </c>
      <c r="F10" s="20"/>
      <c r="G10" s="20"/>
    </row>
    <row r="11" spans="2:7" ht="22.5" customHeight="1">
      <c r="B11" s="42" t="s">
        <v>51</v>
      </c>
      <c r="C11" s="43"/>
      <c r="D11" s="20">
        <v>228360</v>
      </c>
      <c r="E11" s="20"/>
      <c r="F11" s="20"/>
      <c r="G11" s="20"/>
    </row>
    <row r="12" spans="2:7" ht="22.5" customHeight="1">
      <c r="B12" s="42" t="s">
        <v>52</v>
      </c>
      <c r="C12" s="43"/>
      <c r="D12" s="20">
        <v>29628000</v>
      </c>
      <c r="E12" s="20">
        <v>41828000</v>
      </c>
      <c r="F12" s="20"/>
      <c r="G12" s="20"/>
    </row>
    <row r="13" spans="2:7" ht="22.5" customHeight="1">
      <c r="B13" s="42"/>
      <c r="C13" s="43"/>
      <c r="D13" s="20"/>
      <c r="E13" s="20"/>
      <c r="F13" s="20"/>
      <c r="G13" s="20"/>
    </row>
    <row r="14" spans="2:7" ht="22.5" customHeight="1">
      <c r="B14" s="42"/>
      <c r="C14" s="43"/>
      <c r="D14" s="20"/>
      <c r="E14" s="20"/>
      <c r="F14" s="20"/>
      <c r="G14" s="20"/>
    </row>
    <row r="15" spans="2:7" ht="22.5" customHeight="1">
      <c r="B15" s="42"/>
      <c r="C15" s="43"/>
      <c r="D15" s="20"/>
      <c r="E15" s="20"/>
      <c r="F15" s="20"/>
      <c r="G15" s="20"/>
    </row>
    <row r="16" spans="2:7" ht="22.5" customHeight="1">
      <c r="B16" s="42"/>
      <c r="C16" s="43"/>
      <c r="D16" s="20"/>
      <c r="E16" s="20"/>
      <c r="F16" s="20"/>
      <c r="G16" s="20"/>
    </row>
    <row r="17" spans="2:7" ht="22.5" customHeight="1">
      <c r="B17" s="44"/>
      <c r="C17" s="45"/>
      <c r="D17" s="46"/>
      <c r="E17" s="46"/>
      <c r="F17" s="46"/>
      <c r="G17" s="46"/>
    </row>
    <row r="18" spans="2:7" ht="22.5" customHeight="1">
      <c r="B18" s="41" t="s">
        <v>53</v>
      </c>
      <c r="C18" s="17">
        <f>SUM(C19:C24)</f>
        <v>191690000</v>
      </c>
      <c r="D18" s="17">
        <f>SUM(D19:D24)</f>
        <v>136004000</v>
      </c>
      <c r="E18" s="17">
        <f>SUM(E19:E24)</f>
        <v>145980000</v>
      </c>
      <c r="F18" s="17">
        <f>SUM(F19:F24)</f>
        <v>0</v>
      </c>
      <c r="G18" s="17">
        <f>SUM(G19:G24)</f>
        <v>0</v>
      </c>
    </row>
    <row r="19" spans="2:7" ht="22.5" customHeight="1">
      <c r="B19" s="42" t="s">
        <v>54</v>
      </c>
      <c r="C19" s="43">
        <v>191690000</v>
      </c>
      <c r="D19" s="20">
        <v>136004000</v>
      </c>
      <c r="E19" s="20">
        <v>145980000</v>
      </c>
      <c r="F19" s="20"/>
      <c r="G19" s="20"/>
    </row>
    <row r="20" spans="2:7" ht="22.5" customHeight="1">
      <c r="B20" s="42"/>
      <c r="C20" s="43"/>
      <c r="D20" s="20"/>
      <c r="E20" s="20"/>
      <c r="F20" s="20"/>
      <c r="G20" s="20"/>
    </row>
    <row r="21" spans="2:7" ht="22.5" customHeight="1">
      <c r="B21" s="42"/>
      <c r="C21" s="43"/>
      <c r="D21" s="20"/>
      <c r="E21" s="20"/>
      <c r="F21" s="20"/>
      <c r="G21" s="20"/>
    </row>
    <row r="22" spans="2:7" ht="22.5" customHeight="1">
      <c r="B22" s="42"/>
      <c r="C22" s="43"/>
      <c r="D22" s="20"/>
      <c r="E22" s="20"/>
      <c r="F22" s="20"/>
      <c r="G22" s="20"/>
    </row>
    <row r="23" spans="2:7" ht="22.5" customHeight="1">
      <c r="B23" s="42"/>
      <c r="C23" s="43"/>
      <c r="D23" s="20"/>
      <c r="E23" s="20"/>
      <c r="F23" s="20"/>
      <c r="G23" s="20"/>
    </row>
    <row r="24" spans="2:7" ht="22.5" customHeight="1">
      <c r="B24" s="44"/>
      <c r="C24" s="45"/>
      <c r="D24" s="46"/>
      <c r="E24" s="46"/>
      <c r="F24" s="46"/>
      <c r="G24" s="46"/>
    </row>
    <row r="25" spans="2:7" ht="22.5" customHeight="1">
      <c r="B25" s="47" t="s">
        <v>55</v>
      </c>
      <c r="C25" s="48">
        <f>C5+C18</f>
        <v>239313635</v>
      </c>
      <c r="D25" s="49">
        <f>D5+D18</f>
        <v>242167378</v>
      </c>
      <c r="E25" s="49">
        <f>E5+E18</f>
        <v>216471633</v>
      </c>
      <c r="F25" s="49">
        <f>F5+F18</f>
        <v>0</v>
      </c>
      <c r="G25" s="49">
        <f>G5+G18</f>
        <v>0</v>
      </c>
    </row>
    <row r="26" spans="2:7" ht="22.5" customHeight="1">
      <c r="B26" s="50"/>
      <c r="C26" s="30"/>
      <c r="D26" s="51"/>
      <c r="E26" s="51"/>
      <c r="F26" s="51"/>
      <c r="G26" s="51"/>
    </row>
    <row r="27" spans="2:7" ht="22.5" customHeight="1">
      <c r="B27" s="50"/>
      <c r="C27" s="43"/>
      <c r="D27" s="20"/>
      <c r="E27" s="20"/>
      <c r="F27" s="20"/>
      <c r="G27" s="20"/>
    </row>
    <row r="28" spans="2:7" ht="22.5" customHeight="1">
      <c r="B28" s="50"/>
      <c r="C28" s="43"/>
      <c r="D28" s="20"/>
      <c r="E28" s="20"/>
      <c r="F28" s="20"/>
      <c r="G28" s="20"/>
    </row>
    <row r="29" spans="2:7" ht="22.5" customHeight="1">
      <c r="B29" s="50"/>
      <c r="C29" s="43"/>
      <c r="D29" s="20"/>
      <c r="E29" s="20"/>
      <c r="F29" s="20"/>
      <c r="G29" s="20"/>
    </row>
    <row r="30" spans="2:7" ht="22.5" customHeight="1">
      <c r="B30" s="50"/>
      <c r="C30" s="43"/>
      <c r="D30" s="20"/>
      <c r="E30" s="20"/>
      <c r="F30" s="20"/>
      <c r="G30" s="20"/>
    </row>
    <row r="31" spans="2:7" ht="21.75" customHeight="1">
      <c r="B31" s="50"/>
      <c r="C31" s="43"/>
      <c r="D31" s="20"/>
      <c r="E31" s="20"/>
      <c r="F31" s="20"/>
      <c r="G31" s="20"/>
    </row>
    <row r="32" spans="2:7" ht="21.75" customHeight="1">
      <c r="B32" s="50"/>
      <c r="C32" s="43"/>
      <c r="D32" s="20"/>
      <c r="E32" s="20"/>
      <c r="F32" s="20"/>
      <c r="G32" s="20"/>
    </row>
    <row r="33" spans="2:7" ht="21.75" customHeight="1">
      <c r="B33" s="50"/>
      <c r="C33" s="43"/>
      <c r="D33" s="20"/>
      <c r="E33" s="20"/>
      <c r="F33" s="20"/>
      <c r="G33" s="20"/>
    </row>
    <row r="34" spans="2:7" ht="21.75" customHeight="1">
      <c r="B34" s="623" t="s">
        <v>56</v>
      </c>
      <c r="C34" s="623"/>
      <c r="D34" s="623"/>
      <c r="E34" s="623"/>
      <c r="F34" s="623"/>
      <c r="G34" s="623"/>
    </row>
    <row r="35" spans="2:7" ht="21.75" customHeight="1">
      <c r="B35" s="52" t="s">
        <v>57</v>
      </c>
      <c r="C35" s="53">
        <f>SUM(C36:C38)</f>
        <v>10000000</v>
      </c>
      <c r="D35" s="53">
        <f>SUM(D36:D38)</f>
        <v>10000000</v>
      </c>
      <c r="E35" s="53">
        <f>SUM(E36:E38)</f>
        <v>10000000</v>
      </c>
      <c r="F35" s="53">
        <f>SUM(F36:F38)</f>
        <v>0</v>
      </c>
      <c r="G35" s="53">
        <f>SUM(G36:G38)</f>
        <v>0</v>
      </c>
    </row>
    <row r="36" spans="2:7" ht="21.75" customHeight="1">
      <c r="B36" s="42" t="s">
        <v>58</v>
      </c>
      <c r="C36" s="51">
        <v>10000000</v>
      </c>
      <c r="D36" s="30">
        <v>10000000</v>
      </c>
      <c r="E36" s="30">
        <v>10000000</v>
      </c>
      <c r="F36" s="30"/>
      <c r="G36" s="30"/>
    </row>
    <row r="37" spans="2:7" ht="21.75" customHeight="1">
      <c r="B37" s="42"/>
      <c r="C37" s="51"/>
      <c r="D37" s="30"/>
      <c r="E37" s="30"/>
      <c r="F37" s="30"/>
      <c r="G37" s="30"/>
    </row>
    <row r="38" spans="2:7" ht="21.75" customHeight="1">
      <c r="B38" s="44"/>
      <c r="C38" s="54"/>
      <c r="D38" s="31"/>
      <c r="E38" s="31"/>
      <c r="F38" s="31"/>
      <c r="G38" s="31"/>
    </row>
    <row r="39" spans="2:7" ht="22.5" customHeight="1">
      <c r="B39" s="52" t="s">
        <v>59</v>
      </c>
      <c r="C39" s="53">
        <f>SUM(C40:C42)</f>
        <v>0</v>
      </c>
      <c r="D39" s="53">
        <f>SUM(D40:D42)</f>
        <v>0</v>
      </c>
      <c r="E39" s="53">
        <f>SUM(E40:E42)</f>
        <v>0</v>
      </c>
      <c r="F39" s="53">
        <f>SUM(F40:F42)</f>
        <v>0</v>
      </c>
      <c r="G39" s="53">
        <f>SUM(G40:G42)</f>
        <v>0</v>
      </c>
    </row>
    <row r="40" spans="2:7" ht="22.5" customHeight="1">
      <c r="B40" s="42"/>
      <c r="C40" s="51"/>
      <c r="D40" s="30"/>
      <c r="E40" s="30"/>
      <c r="F40" s="30"/>
      <c r="G40" s="30"/>
    </row>
    <row r="41" spans="2:7" ht="22.5" customHeight="1">
      <c r="B41" s="42"/>
      <c r="C41" s="51"/>
      <c r="D41" s="30"/>
      <c r="E41" s="30"/>
      <c r="F41" s="30"/>
      <c r="G41" s="30"/>
    </row>
    <row r="42" spans="2:7" ht="22.5" customHeight="1">
      <c r="B42" s="55"/>
      <c r="C42" s="56"/>
      <c r="D42" s="57"/>
      <c r="E42" s="57"/>
      <c r="F42" s="57"/>
      <c r="G42" s="57"/>
    </row>
    <row r="43" spans="2:7" ht="22.5" customHeight="1">
      <c r="B43" s="58" t="s">
        <v>60</v>
      </c>
      <c r="C43" s="53">
        <f>SUM(C44:C48)</f>
        <v>245347977</v>
      </c>
      <c r="D43" s="53">
        <f>SUM(D44:D48)</f>
        <v>285905733</v>
      </c>
      <c r="E43" s="53">
        <f>SUM(E44:E48)</f>
        <v>323535909</v>
      </c>
      <c r="F43" s="53">
        <f>SUM(F44:F48)</f>
        <v>0</v>
      </c>
      <c r="G43" s="53">
        <f>SUM(G44:G48)</f>
        <v>0</v>
      </c>
    </row>
    <row r="44" spans="2:7" ht="22.5" customHeight="1">
      <c r="B44" s="42" t="s">
        <v>61</v>
      </c>
      <c r="C44" s="51">
        <v>245347977</v>
      </c>
      <c r="D44" s="30">
        <v>285905733</v>
      </c>
      <c r="E44" s="30">
        <v>323535909</v>
      </c>
      <c r="F44" s="30"/>
      <c r="G44" s="30"/>
    </row>
    <row r="45" spans="2:7" ht="22.5" customHeight="1">
      <c r="B45" s="42"/>
      <c r="C45" s="51"/>
      <c r="D45" s="30"/>
      <c r="E45" s="30"/>
      <c r="F45" s="30"/>
      <c r="G45" s="30"/>
    </row>
    <row r="46" spans="2:7" ht="22.5" customHeight="1">
      <c r="B46" s="42"/>
      <c r="C46" s="51"/>
      <c r="D46" s="30"/>
      <c r="E46" s="30"/>
      <c r="F46" s="30"/>
      <c r="G46" s="30"/>
    </row>
    <row r="47" spans="2:7" ht="22.5" customHeight="1">
      <c r="B47" s="42"/>
      <c r="C47" s="51"/>
      <c r="D47" s="30"/>
      <c r="E47" s="30"/>
      <c r="F47" s="30"/>
      <c r="G47" s="30"/>
    </row>
    <row r="48" spans="2:7" ht="22.5" customHeight="1">
      <c r="B48" s="44"/>
      <c r="C48" s="54"/>
      <c r="D48" s="31"/>
      <c r="E48" s="31"/>
      <c r="F48" s="31"/>
      <c r="G48" s="31"/>
    </row>
    <row r="49" spans="2:7" ht="22.5" customHeight="1">
      <c r="B49" s="59" t="s">
        <v>62</v>
      </c>
      <c r="C49" s="60">
        <v>0</v>
      </c>
      <c r="D49" s="61">
        <v>0</v>
      </c>
      <c r="E49" s="61">
        <v>0</v>
      </c>
      <c r="F49" s="61">
        <v>0</v>
      </c>
      <c r="G49" s="61">
        <v>0</v>
      </c>
    </row>
    <row r="50" spans="2:7" ht="22.5" customHeight="1">
      <c r="B50" s="62" t="s">
        <v>63</v>
      </c>
      <c r="C50" s="63">
        <f>C35+C39+C43+C49</f>
        <v>255347977</v>
      </c>
      <c r="D50" s="63">
        <f>D35+D39+D43+D49</f>
        <v>295905733</v>
      </c>
      <c r="E50" s="63">
        <f>E35+E39+E43+E49</f>
        <v>333535909</v>
      </c>
      <c r="F50" s="63">
        <f>F35+F39+F43+F49</f>
        <v>0</v>
      </c>
      <c r="G50" s="63">
        <f>G35+G39+G43+G49</f>
        <v>0</v>
      </c>
    </row>
    <row r="51" spans="2:7" ht="22.5" customHeight="1">
      <c r="B51" s="64" t="s">
        <v>64</v>
      </c>
      <c r="C51" s="65">
        <f>C25+C50</f>
        <v>494661612</v>
      </c>
      <c r="D51" s="65">
        <f>D25+D50</f>
        <v>538073111</v>
      </c>
      <c r="E51" s="65">
        <f>E25+E50</f>
        <v>550007542</v>
      </c>
      <c r="F51" s="65">
        <f>F25+F50</f>
        <v>0</v>
      </c>
      <c r="G51" s="65">
        <f>G25+G50</f>
        <v>0</v>
      </c>
    </row>
    <row r="52" spans="2:7" ht="18" customHeight="1">
      <c r="C52" s="66"/>
      <c r="D52" s="35"/>
      <c r="E52" s="35"/>
      <c r="F52" s="35"/>
      <c r="G52" s="35"/>
    </row>
    <row r="53" spans="2:7" ht="18" customHeight="1">
      <c r="B53" s="36" t="s">
        <v>42</v>
      </c>
      <c r="C53" s="67" t="b">
        <f>EXACT(C51,'BS(借方)'!C61)</f>
        <v>1</v>
      </c>
      <c r="D53" s="67" t="b">
        <f>EXACT(D51,'BS(借方)'!D61)</f>
        <v>1</v>
      </c>
      <c r="E53" s="67" t="b">
        <f>EXACT(E51,'BS(借方)'!E61)</f>
        <v>1</v>
      </c>
      <c r="F53" s="67" t="b">
        <f>EXACT(F51,'BS(借方)'!F61)</f>
        <v>1</v>
      </c>
      <c r="G53" s="67" t="b">
        <f>EXACT(G51,'BS(借方)'!G61)</f>
        <v>1</v>
      </c>
    </row>
    <row r="54" spans="2:7" ht="18" customHeight="1">
      <c r="C54" s="66"/>
      <c r="D54" s="35"/>
      <c r="E54" s="35"/>
      <c r="F54" s="35"/>
      <c r="G54" s="35"/>
    </row>
    <row r="55" spans="2:7" ht="18" customHeight="1">
      <c r="C55" s="66"/>
      <c r="D55" s="35"/>
      <c r="E55" s="35"/>
      <c r="F55" s="35"/>
      <c r="G55" s="35"/>
    </row>
    <row r="56" spans="2:7" ht="18" customHeight="1">
      <c r="C56" s="66"/>
      <c r="D56" s="35"/>
      <c r="E56" s="35"/>
      <c r="F56" s="35"/>
      <c r="G56" s="35"/>
    </row>
    <row r="57" spans="2:7" ht="18" customHeight="1">
      <c r="C57" s="66"/>
      <c r="D57" s="35"/>
      <c r="E57" s="35"/>
      <c r="F57" s="35"/>
      <c r="G57" s="35"/>
    </row>
    <row r="58" spans="2:7" ht="18" customHeight="1">
      <c r="C58" s="66"/>
      <c r="D58" s="35"/>
      <c r="E58" s="35"/>
      <c r="F58" s="35"/>
      <c r="G58" s="35"/>
    </row>
    <row r="59" spans="2:7" ht="18" customHeight="1">
      <c r="C59" s="66"/>
      <c r="D59" s="35"/>
      <c r="E59" s="35"/>
      <c r="F59" s="35"/>
      <c r="G59" s="35"/>
    </row>
    <row r="60" spans="2:7" ht="18" customHeight="1">
      <c r="C60" s="66"/>
      <c r="D60" s="35"/>
      <c r="E60" s="35"/>
      <c r="F60" s="35"/>
      <c r="G60" s="35"/>
    </row>
    <row r="61" spans="2:7" ht="18" customHeight="1">
      <c r="C61" s="66"/>
      <c r="D61" s="35"/>
      <c r="E61" s="35"/>
      <c r="F61" s="35"/>
      <c r="G61" s="35"/>
    </row>
    <row r="62" spans="2:7" ht="18" customHeight="1">
      <c r="C62" s="66"/>
      <c r="D62" s="35"/>
      <c r="E62" s="35"/>
      <c r="F62" s="35"/>
      <c r="G62" s="35"/>
    </row>
    <row r="63" spans="2:7" ht="18" customHeight="1">
      <c r="C63" s="66"/>
      <c r="D63" s="35"/>
      <c r="E63" s="35"/>
      <c r="F63" s="35"/>
      <c r="G63" s="35"/>
    </row>
    <row r="64" spans="2:7" ht="18" customHeight="1">
      <c r="C64" s="66"/>
      <c r="D64" s="35"/>
      <c r="E64" s="35"/>
      <c r="F64" s="35"/>
      <c r="G64" s="35"/>
    </row>
    <row r="65" spans="3:7" ht="18" customHeight="1">
      <c r="C65" s="66"/>
      <c r="D65" s="35"/>
      <c r="E65" s="35"/>
      <c r="F65" s="35"/>
      <c r="G65" s="35"/>
    </row>
    <row r="66" spans="3:7" ht="18" customHeight="1">
      <c r="C66" s="66"/>
      <c r="D66" s="35"/>
      <c r="E66" s="35"/>
      <c r="F66" s="35"/>
      <c r="G66" s="35"/>
    </row>
    <row r="67" spans="3:7" ht="18" customHeight="1">
      <c r="C67" s="66"/>
      <c r="D67" s="35"/>
      <c r="E67" s="35"/>
      <c r="F67" s="35"/>
      <c r="G67" s="35"/>
    </row>
    <row r="68" spans="3:7" ht="18" customHeight="1">
      <c r="C68" s="66"/>
      <c r="D68" s="35"/>
      <c r="E68" s="35"/>
      <c r="F68" s="35"/>
      <c r="G68" s="35"/>
    </row>
  </sheetData>
  <mergeCells count="2">
    <mergeCell ref="B3:G3"/>
    <mergeCell ref="B34:G34"/>
  </mergeCells>
  <phoneticPr fontId="60"/>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N82"/>
  <sheetViews>
    <sheetView showGridLines="0" zoomScale="85" zoomScaleNormal="85" workbookViewId="0">
      <pane ySplit="4" topLeftCell="A5" activePane="bottomLeft" state="frozen"/>
      <selection pane="bottomLeft" activeCell="N20" sqref="N20"/>
    </sheetView>
  </sheetViews>
  <sheetFormatPr defaultColWidth="8.5" defaultRowHeight="18"/>
  <cols>
    <col min="1" max="1" width="8.5" style="242"/>
    <col min="2" max="2" width="28" style="390" customWidth="1"/>
    <col min="3" max="7" width="15" style="391" customWidth="1"/>
    <col min="8" max="8" width="15" style="444" customWidth="1"/>
    <col min="9" max="9" width="15" style="444" hidden="1" customWidth="1"/>
    <col min="10" max="12" width="15" style="391" hidden="1" customWidth="1"/>
    <col min="13" max="13" width="16.1640625" style="391" customWidth="1"/>
    <col min="14" max="14" width="8.75" style="391" customWidth="1"/>
    <col min="15" max="16384" width="8.5" style="242"/>
  </cols>
  <sheetData>
    <row r="2" spans="2:12" ht="18.75" customHeight="1">
      <c r="B2" s="242"/>
      <c r="C2" s="444"/>
      <c r="D2" s="479"/>
      <c r="G2" s="444"/>
      <c r="H2" s="39" t="s">
        <v>527</v>
      </c>
      <c r="I2" s="242"/>
      <c r="K2" s="444"/>
      <c r="L2" s="479"/>
    </row>
    <row r="3" spans="2:12" ht="19.5" customHeight="1">
      <c r="B3" s="625" t="s">
        <v>6</v>
      </c>
      <c r="C3" s="626" t="str">
        <f>'BS(借方)'!C4</f>
        <v>24年1月期</v>
      </c>
      <c r="D3" s="626"/>
      <c r="E3" s="627" t="str">
        <f>'BS(借方)'!D4</f>
        <v>25年1月期</v>
      </c>
      <c r="F3" s="627"/>
      <c r="G3" s="621" t="str">
        <f>'BS(借方)'!E4</f>
        <v>26年1月期</v>
      </c>
      <c r="H3" s="621"/>
      <c r="I3" s="628" t="str">
        <f>'BS(借方)'!F4</f>
        <v>●●年●月期</v>
      </c>
      <c r="J3" s="628"/>
      <c r="K3" s="624" t="s">
        <v>65</v>
      </c>
      <c r="L3" s="624"/>
    </row>
    <row r="4" spans="2:12" ht="19.5" customHeight="1">
      <c r="B4" s="625"/>
      <c r="C4" s="496" t="s">
        <v>66</v>
      </c>
      <c r="D4" s="480" t="s">
        <v>67</v>
      </c>
      <c r="E4" s="496" t="s">
        <v>66</v>
      </c>
      <c r="F4" s="496" t="s">
        <v>67</v>
      </c>
      <c r="G4" s="496" t="s">
        <v>66</v>
      </c>
      <c r="H4" s="480" t="s">
        <v>67</v>
      </c>
      <c r="I4" s="496" t="s">
        <v>66</v>
      </c>
      <c r="J4" s="480" t="s">
        <v>67</v>
      </c>
      <c r="K4" s="497" t="s">
        <v>66</v>
      </c>
      <c r="L4" s="482" t="s">
        <v>67</v>
      </c>
    </row>
    <row r="5" spans="2:12" ht="22.5" customHeight="1">
      <c r="B5" s="498" t="s">
        <v>68</v>
      </c>
      <c r="C5" s="499">
        <v>301575965</v>
      </c>
      <c r="D5" s="488">
        <f>IF(C5=0,"",C5/C$11)</f>
        <v>0.95207809973554047</v>
      </c>
      <c r="E5" s="499">
        <v>285379413</v>
      </c>
      <c r="F5" s="488">
        <f>IF(E5=0,"",E5/E$11)</f>
        <v>0.64293749540446199</v>
      </c>
      <c r="G5" s="499">
        <v>387747182</v>
      </c>
      <c r="H5" s="488">
        <f>IF(G5=0,"",G5/G$11)</f>
        <v>0.91780018811880637</v>
      </c>
      <c r="I5" s="499"/>
      <c r="J5" s="488" t="str">
        <f>IF(I5=0,"",I5/I$11)</f>
        <v/>
      </c>
      <c r="K5" s="499"/>
      <c r="L5" s="488" t="str">
        <f>IF(K5=0,"",K5/K$11)</f>
        <v/>
      </c>
    </row>
    <row r="6" spans="2:12" ht="22.5" customHeight="1">
      <c r="B6" s="489" t="s">
        <v>69</v>
      </c>
      <c r="C6" s="402">
        <v>15179525</v>
      </c>
      <c r="D6" s="488">
        <f>IF(C6=0,"",C6/C$11)</f>
        <v>4.7921900264459506E-2</v>
      </c>
      <c r="E6" s="402">
        <v>158488638</v>
      </c>
      <c r="F6" s="488">
        <f>IF(E6=0,"",E6/E$11)</f>
        <v>0.35706250459553801</v>
      </c>
      <c r="G6" s="402">
        <v>34727325</v>
      </c>
      <c r="H6" s="488">
        <f>IF(G6=0,"",G6/G$11)</f>
        <v>8.2199811881193574E-2</v>
      </c>
      <c r="I6" s="402"/>
      <c r="J6" s="488" t="str">
        <f>IF(I6=0,"",I6/I$11)</f>
        <v/>
      </c>
      <c r="K6" s="402"/>
      <c r="L6" s="488" t="str">
        <f>IF(K6=0,"",K6/K$11)</f>
        <v/>
      </c>
    </row>
    <row r="7" spans="2:12" ht="22.5" customHeight="1">
      <c r="B7" s="489"/>
      <c r="C7" s="402"/>
      <c r="D7" s="488"/>
      <c r="E7" s="402"/>
      <c r="F7" s="488"/>
      <c r="G7" s="402"/>
      <c r="H7" s="488"/>
      <c r="I7" s="402"/>
      <c r="J7" s="488"/>
      <c r="K7" s="402"/>
      <c r="L7" s="488"/>
    </row>
    <row r="8" spans="2:12" ht="22.5" customHeight="1">
      <c r="B8" s="489"/>
      <c r="C8" s="402"/>
      <c r="D8" s="488"/>
      <c r="E8" s="402"/>
      <c r="F8" s="488"/>
      <c r="G8" s="402"/>
      <c r="H8" s="488"/>
      <c r="I8" s="402"/>
      <c r="J8" s="488"/>
      <c r="K8" s="402"/>
      <c r="L8" s="488"/>
    </row>
    <row r="9" spans="2:12" ht="22.5" customHeight="1">
      <c r="B9" s="489"/>
      <c r="C9" s="402"/>
      <c r="D9" s="488" t="str">
        <f t="shared" ref="D9:D40" si="0">IF(C9=0,"",C9/C$11)</f>
        <v/>
      </c>
      <c r="E9" s="402"/>
      <c r="F9" s="488" t="str">
        <f t="shared" ref="F9:F40" si="1">IF(E9=0,"",E9/E$11)</f>
        <v/>
      </c>
      <c r="G9" s="402"/>
      <c r="H9" s="488" t="str">
        <f t="shared" ref="H9:H40" si="2">IF(G9=0,"",G9/G$11)</f>
        <v/>
      </c>
      <c r="I9" s="402"/>
      <c r="J9" s="488" t="str">
        <f>IF(I9=0,"",I9/I$11)</f>
        <v/>
      </c>
      <c r="K9" s="402"/>
      <c r="L9" s="488" t="str">
        <f>IF(K9=0,"",K9/K$11)</f>
        <v/>
      </c>
    </row>
    <row r="10" spans="2:12" ht="22.5" customHeight="1">
      <c r="B10" s="72"/>
      <c r="C10" s="403"/>
      <c r="D10" s="500" t="str">
        <f t="shared" si="0"/>
        <v/>
      </c>
      <c r="E10" s="403"/>
      <c r="F10" s="500" t="str">
        <f t="shared" si="1"/>
        <v/>
      </c>
      <c r="G10" s="403"/>
      <c r="H10" s="500" t="str">
        <f t="shared" si="2"/>
        <v/>
      </c>
      <c r="I10" s="403"/>
      <c r="J10" s="500" t="str">
        <f>IF(I10=0,"",I10/I$11)</f>
        <v/>
      </c>
      <c r="K10" s="403"/>
      <c r="L10" s="500" t="str">
        <f>IF(K10=0,"",K10/K$11)</f>
        <v/>
      </c>
    </row>
    <row r="11" spans="2:12" ht="22.5" customHeight="1">
      <c r="B11" s="451" t="s">
        <v>68</v>
      </c>
      <c r="C11" s="447">
        <f>SUM(C5:C10)</f>
        <v>316755490</v>
      </c>
      <c r="D11" s="501">
        <f t="shared" si="0"/>
        <v>1</v>
      </c>
      <c r="E11" s="447">
        <f>SUM(E5:E10)</f>
        <v>443868051</v>
      </c>
      <c r="F11" s="501">
        <f t="shared" si="1"/>
        <v>1</v>
      </c>
      <c r="G11" s="447">
        <f>SUM(G5:G10)</f>
        <v>422474507</v>
      </c>
      <c r="H11" s="501">
        <f t="shared" si="2"/>
        <v>1</v>
      </c>
      <c r="I11" s="447">
        <f>SUM(I5:I10)</f>
        <v>0</v>
      </c>
      <c r="J11" s="501" t="str">
        <f>IF(I11=0,"",I11/I$11)</f>
        <v/>
      </c>
      <c r="K11" s="447">
        <f>SUM(K5:K10)</f>
        <v>0</v>
      </c>
      <c r="L11" s="501" t="str">
        <f>IF(K11=0,"",K11/K$11)</f>
        <v/>
      </c>
    </row>
    <row r="12" spans="2:12" ht="22.5" customHeight="1">
      <c r="B12" s="502" t="s">
        <v>70</v>
      </c>
      <c r="C12" s="402">
        <v>3024069</v>
      </c>
      <c r="D12" s="488">
        <f t="shared" si="0"/>
        <v>9.5470136918542441E-3</v>
      </c>
      <c r="E12" s="402">
        <v>1426042</v>
      </c>
      <c r="F12" s="488">
        <f t="shared" si="1"/>
        <v>3.2127610824596157E-3</v>
      </c>
      <c r="G12" s="402">
        <v>33344623</v>
      </c>
      <c r="H12" s="488">
        <f t="shared" si="2"/>
        <v>7.8926946945937257E-2</v>
      </c>
      <c r="I12" s="402"/>
      <c r="J12" s="488" t="str">
        <f>IF(I12=0,"",I12/I$11)</f>
        <v/>
      </c>
      <c r="K12" s="402"/>
      <c r="L12" s="488" t="str">
        <f>IF(K12=0,"",K12/K$11)</f>
        <v/>
      </c>
    </row>
    <row r="13" spans="2:12" ht="22.5" customHeight="1">
      <c r="B13" s="489" t="s">
        <v>71</v>
      </c>
      <c r="C13" s="402">
        <v>172656708</v>
      </c>
      <c r="D13" s="488">
        <f t="shared" si="0"/>
        <v>0.54507881773414568</v>
      </c>
      <c r="E13" s="402">
        <v>237257918</v>
      </c>
      <c r="F13" s="488">
        <f t="shared" si="1"/>
        <v>0.53452353118336959</v>
      </c>
      <c r="G13" s="402">
        <v>225575333</v>
      </c>
      <c r="H13" s="488">
        <f t="shared" si="2"/>
        <v>0.53393833062689389</v>
      </c>
      <c r="I13" s="402"/>
      <c r="J13" s="488"/>
      <c r="K13" s="402"/>
      <c r="L13" s="488"/>
    </row>
    <row r="14" spans="2:12" ht="22.5" customHeight="1">
      <c r="B14" s="489" t="s">
        <v>72</v>
      </c>
      <c r="C14" s="402">
        <v>26573925</v>
      </c>
      <c r="D14" s="488">
        <f t="shared" si="0"/>
        <v>8.3894126033932356E-2</v>
      </c>
      <c r="E14" s="402">
        <v>50722738</v>
      </c>
      <c r="F14" s="488">
        <f t="shared" si="1"/>
        <v>0.11427436123353694</v>
      </c>
      <c r="G14" s="402">
        <v>21094265</v>
      </c>
      <c r="H14" s="488">
        <f t="shared" si="2"/>
        <v>4.9930267153374064E-2</v>
      </c>
      <c r="I14" s="402"/>
      <c r="J14" s="488"/>
      <c r="K14" s="402"/>
      <c r="L14" s="488"/>
    </row>
    <row r="15" spans="2:12" ht="22.5" customHeight="1">
      <c r="B15" s="489" t="s">
        <v>73</v>
      </c>
      <c r="C15" s="402">
        <v>6307077</v>
      </c>
      <c r="D15" s="488">
        <f t="shared" si="0"/>
        <v>1.9911500192151366E-2</v>
      </c>
      <c r="E15" s="402">
        <v>2327904</v>
      </c>
      <c r="F15" s="488">
        <f t="shared" si="1"/>
        <v>5.2445856257403844E-3</v>
      </c>
      <c r="G15" s="402">
        <v>2831360</v>
      </c>
      <c r="H15" s="488">
        <f t="shared" si="2"/>
        <v>6.7018481661900607E-3</v>
      </c>
      <c r="I15" s="402"/>
      <c r="J15" s="488"/>
      <c r="K15" s="402"/>
      <c r="L15" s="488"/>
    </row>
    <row r="16" spans="2:12" ht="22.5" customHeight="1">
      <c r="B16" s="489" t="s">
        <v>74</v>
      </c>
      <c r="C16" s="402">
        <v>4487974</v>
      </c>
      <c r="D16" s="488">
        <f t="shared" si="0"/>
        <v>1.4168575262894417E-2</v>
      </c>
      <c r="E16" s="402">
        <v>13796708</v>
      </c>
      <c r="F16" s="488">
        <f t="shared" si="1"/>
        <v>3.1082903959672465E-2</v>
      </c>
      <c r="G16" s="402">
        <v>3637077</v>
      </c>
      <c r="H16" s="488">
        <f t="shared" si="2"/>
        <v>8.6089857251434102E-3</v>
      </c>
      <c r="I16" s="402"/>
      <c r="J16" s="488" t="str">
        <f>IF(I16=0,"",I16/I$11)</f>
        <v/>
      </c>
      <c r="K16" s="402"/>
      <c r="L16" s="488" t="str">
        <f>IF(K16=0,"",K16/K$11)</f>
        <v/>
      </c>
    </row>
    <row r="17" spans="2:12" ht="22.5" customHeight="1">
      <c r="B17" s="489" t="s">
        <v>75</v>
      </c>
      <c r="C17" s="402">
        <v>8299304</v>
      </c>
      <c r="D17" s="488">
        <f t="shared" si="0"/>
        <v>2.6200979184291328E-2</v>
      </c>
      <c r="E17" s="402">
        <v>9972324</v>
      </c>
      <c r="F17" s="488">
        <f t="shared" si="1"/>
        <v>2.2466865947060471E-2</v>
      </c>
      <c r="G17" s="402">
        <v>5262263</v>
      </c>
      <c r="H17" s="488">
        <f t="shared" si="2"/>
        <v>1.2455811919558024E-2</v>
      </c>
      <c r="I17" s="402"/>
      <c r="J17" s="488" t="str">
        <f>IF(I17=0,"",I17/I$11)</f>
        <v/>
      </c>
      <c r="K17" s="402"/>
      <c r="L17" s="488" t="str">
        <f>IF(K17=0,"",K17/K$11)</f>
        <v/>
      </c>
    </row>
    <row r="18" spans="2:12" ht="22.5" customHeight="1">
      <c r="B18" s="489" t="s">
        <v>76</v>
      </c>
      <c r="C18" s="402"/>
      <c r="D18" s="488" t="str">
        <f t="shared" si="0"/>
        <v/>
      </c>
      <c r="E18" s="402"/>
      <c r="F18" s="488" t="str">
        <f t="shared" si="1"/>
        <v/>
      </c>
      <c r="G18" s="402">
        <v>-100</v>
      </c>
      <c r="H18" s="488">
        <f t="shared" si="2"/>
        <v>-2.3670067268697943E-7</v>
      </c>
      <c r="I18" s="402"/>
      <c r="J18" s="488" t="str">
        <f>IF(I18=0,"",I18/I$11)</f>
        <v/>
      </c>
      <c r="K18" s="402"/>
      <c r="L18" s="488" t="str">
        <f>IF(K18=0,"",K18/K$11)</f>
        <v/>
      </c>
    </row>
    <row r="19" spans="2:12" ht="22.5" customHeight="1">
      <c r="B19" s="489" t="s">
        <v>77</v>
      </c>
      <c r="C19" s="402">
        <v>-6722798</v>
      </c>
      <c r="D19" s="488">
        <f t="shared" si="0"/>
        <v>-2.1223935218928645E-2</v>
      </c>
      <c r="E19" s="402">
        <v>-17217311</v>
      </c>
      <c r="F19" s="488">
        <f t="shared" si="1"/>
        <v>-3.8789254962619507E-2</v>
      </c>
      <c r="G19" s="402">
        <v>-19844732</v>
      </c>
      <c r="H19" s="488">
        <f t="shared" si="2"/>
        <v>-4.697261413692827E-2</v>
      </c>
      <c r="I19" s="402"/>
      <c r="J19" s="488"/>
      <c r="K19" s="402"/>
      <c r="L19" s="488"/>
    </row>
    <row r="20" spans="2:12" ht="22.5" customHeight="1">
      <c r="B20" s="489" t="s">
        <v>78</v>
      </c>
      <c r="C20" s="402">
        <v>-1426042</v>
      </c>
      <c r="D20" s="488">
        <f t="shared" si="0"/>
        <v>-4.5020277312320615E-3</v>
      </c>
      <c r="E20" s="402">
        <v>-33344623</v>
      </c>
      <c r="F20" s="488">
        <f t="shared" si="1"/>
        <v>-7.5122827436841136E-2</v>
      </c>
      <c r="G20" s="402">
        <v>-228854</v>
      </c>
      <c r="H20" s="488">
        <f t="shared" si="2"/>
        <v>-5.4169895747105986E-4</v>
      </c>
      <c r="I20" s="402"/>
      <c r="J20" s="488"/>
      <c r="K20" s="402"/>
      <c r="L20" s="488"/>
    </row>
    <row r="21" spans="2:12" ht="22.5" customHeight="1">
      <c r="B21" s="503" t="s">
        <v>79</v>
      </c>
      <c r="C21" s="504">
        <f>SUM(C12:C20)</f>
        <v>213200217</v>
      </c>
      <c r="D21" s="505">
        <f t="shared" si="0"/>
        <v>0.67307504914910865</v>
      </c>
      <c r="E21" s="504">
        <f>SUM(E12:E20)</f>
        <v>264941700</v>
      </c>
      <c r="F21" s="505">
        <f t="shared" si="1"/>
        <v>0.59689292663237892</v>
      </c>
      <c r="G21" s="504">
        <f>SUM(G12:G20)</f>
        <v>271671235</v>
      </c>
      <c r="H21" s="505">
        <f t="shared" si="2"/>
        <v>0.6430476407420247</v>
      </c>
      <c r="I21" s="504">
        <f>SUM(I12:I18)</f>
        <v>0</v>
      </c>
      <c r="J21" s="505" t="str">
        <f t="shared" ref="J21:J61" si="3">IF(I21=0,"",I21/I$11)</f>
        <v/>
      </c>
      <c r="K21" s="504">
        <f>SUM(K12:K18)</f>
        <v>0</v>
      </c>
      <c r="L21" s="505" t="str">
        <f t="shared" ref="L21:L61" si="4">IF(K21=0,"",K21/K$11)</f>
        <v/>
      </c>
    </row>
    <row r="22" spans="2:12" ht="22.5" customHeight="1">
      <c r="B22" s="451" t="s">
        <v>80</v>
      </c>
      <c r="C22" s="447">
        <f>C11-C21</f>
        <v>103555273</v>
      </c>
      <c r="D22" s="501">
        <f t="shared" si="0"/>
        <v>0.32692495085089135</v>
      </c>
      <c r="E22" s="447">
        <f>E11-E21</f>
        <v>178926351</v>
      </c>
      <c r="F22" s="501">
        <f t="shared" si="1"/>
        <v>0.40310707336762114</v>
      </c>
      <c r="G22" s="447">
        <f>G11-G21</f>
        <v>150803272</v>
      </c>
      <c r="H22" s="501">
        <f t="shared" si="2"/>
        <v>0.3569523592579753</v>
      </c>
      <c r="I22" s="447">
        <f>I11-I21</f>
        <v>0</v>
      </c>
      <c r="J22" s="501" t="str">
        <f t="shared" si="3"/>
        <v/>
      </c>
      <c r="K22" s="447">
        <f>K11-K21</f>
        <v>0</v>
      </c>
      <c r="L22" s="501" t="str">
        <f t="shared" si="4"/>
        <v/>
      </c>
    </row>
    <row r="23" spans="2:12" ht="22.5" customHeight="1">
      <c r="B23" s="503" t="s">
        <v>81</v>
      </c>
      <c r="C23" s="506">
        <f>SGA!C40</f>
        <v>97395979</v>
      </c>
      <c r="D23" s="507">
        <f t="shared" si="0"/>
        <v>0.30748000295117223</v>
      </c>
      <c r="E23" s="506">
        <f>SGA!E40</f>
        <v>100735586</v>
      </c>
      <c r="F23" s="507">
        <f t="shared" si="1"/>
        <v>0.22694939582394047</v>
      </c>
      <c r="G23" s="506">
        <f>SGA!G40</f>
        <v>92289462</v>
      </c>
      <c r="H23" s="507">
        <f t="shared" si="2"/>
        <v>0.21844977737319426</v>
      </c>
      <c r="I23" s="506">
        <f>SGA!I40</f>
        <v>0</v>
      </c>
      <c r="J23" s="507" t="str">
        <f t="shared" si="3"/>
        <v/>
      </c>
      <c r="K23" s="506">
        <f>SGA!K40</f>
        <v>0</v>
      </c>
      <c r="L23" s="507" t="str">
        <f t="shared" si="4"/>
        <v/>
      </c>
    </row>
    <row r="24" spans="2:12" ht="22.5" customHeight="1">
      <c r="B24" s="451" t="s">
        <v>82</v>
      </c>
      <c r="C24" s="447">
        <f>C22- C23</f>
        <v>6159294</v>
      </c>
      <c r="D24" s="501">
        <f t="shared" si="0"/>
        <v>1.9444947899719119E-2</v>
      </c>
      <c r="E24" s="447">
        <f>E22- E23</f>
        <v>78190765</v>
      </c>
      <c r="F24" s="501">
        <f t="shared" si="1"/>
        <v>0.17615767754368067</v>
      </c>
      <c r="G24" s="447">
        <f>G22- G23</f>
        <v>58513810</v>
      </c>
      <c r="H24" s="501">
        <f t="shared" si="2"/>
        <v>0.13850258188478104</v>
      </c>
      <c r="I24" s="447">
        <f>I22- I23</f>
        <v>0</v>
      </c>
      <c r="J24" s="501" t="str">
        <f t="shared" si="3"/>
        <v/>
      </c>
      <c r="K24" s="447">
        <f>K22- K23</f>
        <v>0</v>
      </c>
      <c r="L24" s="501" t="str">
        <f t="shared" si="4"/>
        <v/>
      </c>
    </row>
    <row r="25" spans="2:12" ht="22.5" customHeight="1">
      <c r="B25" s="503" t="s">
        <v>83</v>
      </c>
      <c r="C25" s="506">
        <f>SUM(C26:C32)</f>
        <v>1358290</v>
      </c>
      <c r="D25" s="507">
        <f t="shared" si="0"/>
        <v>4.2881340430753071E-3</v>
      </c>
      <c r="E25" s="506">
        <f>SUM(E26:E32)</f>
        <v>13984344</v>
      </c>
      <c r="F25" s="507">
        <f t="shared" si="1"/>
        <v>3.1505633190977288E-2</v>
      </c>
      <c r="G25" s="506">
        <f>SUM(G26:G32)</f>
        <v>8626001</v>
      </c>
      <c r="H25" s="507">
        <f t="shared" si="2"/>
        <v>2.0417802392985573E-2</v>
      </c>
      <c r="I25" s="506">
        <f>SUM(I26:I32)</f>
        <v>0</v>
      </c>
      <c r="J25" s="507" t="str">
        <f t="shared" si="3"/>
        <v/>
      </c>
      <c r="K25" s="506">
        <f>SUM(K26:K32)</f>
        <v>0</v>
      </c>
      <c r="L25" s="507" t="str">
        <f t="shared" si="4"/>
        <v/>
      </c>
    </row>
    <row r="26" spans="2:12" ht="22.5" customHeight="1">
      <c r="B26" s="508" t="s">
        <v>84</v>
      </c>
      <c r="C26" s="402">
        <v>101059</v>
      </c>
      <c r="D26" s="488">
        <f t="shared" si="0"/>
        <v>3.1904419399329115E-4</v>
      </c>
      <c r="E26" s="402">
        <v>1035013</v>
      </c>
      <c r="F26" s="488">
        <f t="shared" si="1"/>
        <v>2.331803331346324E-3</v>
      </c>
      <c r="G26" s="402">
        <v>326339</v>
      </c>
      <c r="H26" s="488">
        <f t="shared" si="2"/>
        <v>7.7244660823996185E-4</v>
      </c>
      <c r="I26" s="402"/>
      <c r="J26" s="488" t="str">
        <f t="shared" si="3"/>
        <v/>
      </c>
      <c r="K26" s="402"/>
      <c r="L26" s="488" t="str">
        <f t="shared" si="4"/>
        <v/>
      </c>
    </row>
    <row r="27" spans="2:12" ht="22.5" customHeight="1">
      <c r="B27" s="448" t="s">
        <v>85</v>
      </c>
      <c r="C27" s="402">
        <v>712050</v>
      </c>
      <c r="D27" s="488">
        <f t="shared" si="0"/>
        <v>2.247948409670816E-3</v>
      </c>
      <c r="E27" s="402">
        <v>7151912</v>
      </c>
      <c r="F27" s="488">
        <f t="shared" si="1"/>
        <v>1.6112698320789931E-2</v>
      </c>
      <c r="G27" s="402">
        <v>7555640</v>
      </c>
      <c r="H27" s="488">
        <f t="shared" si="2"/>
        <v>1.7884250705806494E-2</v>
      </c>
      <c r="I27" s="402"/>
      <c r="J27" s="488" t="str">
        <f t="shared" si="3"/>
        <v/>
      </c>
      <c r="K27" s="402"/>
      <c r="L27" s="488" t="str">
        <f t="shared" si="4"/>
        <v/>
      </c>
    </row>
    <row r="28" spans="2:12" ht="22.5" customHeight="1">
      <c r="B28" s="448" t="s">
        <v>86</v>
      </c>
      <c r="C28" s="402">
        <v>534000</v>
      </c>
      <c r="D28" s="488">
        <f t="shared" si="0"/>
        <v>1.6858429194076478E-3</v>
      </c>
      <c r="E28" s="402">
        <v>803000</v>
      </c>
      <c r="F28" s="488">
        <f t="shared" si="1"/>
        <v>1.8090961901648559E-3</v>
      </c>
      <c r="G28" s="402">
        <v>246000</v>
      </c>
      <c r="H28" s="488">
        <f t="shared" si="2"/>
        <v>5.8228365480996944E-4</v>
      </c>
      <c r="I28" s="402"/>
      <c r="J28" s="488" t="str">
        <f t="shared" si="3"/>
        <v/>
      </c>
      <c r="K28" s="402"/>
      <c r="L28" s="488" t="str">
        <f t="shared" si="4"/>
        <v/>
      </c>
    </row>
    <row r="29" spans="2:12" ht="22.5" customHeight="1">
      <c r="B29" s="448" t="s">
        <v>87</v>
      </c>
      <c r="C29" s="402">
        <v>2197</v>
      </c>
      <c r="D29" s="488">
        <f t="shared" si="0"/>
        <v>6.9359492395853975E-6</v>
      </c>
      <c r="E29" s="402">
        <v>2195483</v>
      </c>
      <c r="F29" s="488">
        <f t="shared" si="1"/>
        <v>4.9462514705749796E-3</v>
      </c>
      <c r="G29" s="402">
        <v>216735</v>
      </c>
      <c r="H29" s="488">
        <f t="shared" si="2"/>
        <v>5.1301320294812487E-4</v>
      </c>
      <c r="I29" s="402"/>
      <c r="J29" s="488" t="str">
        <f t="shared" si="3"/>
        <v/>
      </c>
      <c r="K29" s="402"/>
      <c r="L29" s="488" t="str">
        <f t="shared" si="4"/>
        <v/>
      </c>
    </row>
    <row r="30" spans="2:12" ht="22.5" customHeight="1">
      <c r="B30" s="448" t="s">
        <v>88</v>
      </c>
      <c r="C30" s="402"/>
      <c r="D30" s="488" t="str">
        <f t="shared" si="0"/>
        <v/>
      </c>
      <c r="E30" s="402"/>
      <c r="F30" s="488" t="str">
        <f t="shared" si="1"/>
        <v/>
      </c>
      <c r="G30" s="402">
        <v>10455</v>
      </c>
      <c r="H30" s="488">
        <f t="shared" si="2"/>
        <v>2.4747055329423699E-5</v>
      </c>
      <c r="I30" s="402"/>
      <c r="J30" s="488" t="str">
        <f t="shared" si="3"/>
        <v/>
      </c>
      <c r="K30" s="402"/>
      <c r="L30" s="488" t="str">
        <f t="shared" si="4"/>
        <v/>
      </c>
    </row>
    <row r="31" spans="2:12" ht="22.5" customHeight="1">
      <c r="B31" s="448" t="s">
        <v>89</v>
      </c>
      <c r="C31" s="402">
        <v>8984</v>
      </c>
      <c r="D31" s="488">
        <f t="shared" si="0"/>
        <v>2.8362570763966869E-5</v>
      </c>
      <c r="E31" s="402">
        <v>2798936</v>
      </c>
      <c r="F31" s="488">
        <f t="shared" si="1"/>
        <v>6.3057838781011974E-3</v>
      </c>
      <c r="G31" s="402">
        <v>270832</v>
      </c>
      <c r="H31" s="488">
        <f t="shared" si="2"/>
        <v>6.4106116585160009E-4</v>
      </c>
      <c r="I31" s="402"/>
      <c r="J31" s="488" t="str">
        <f t="shared" si="3"/>
        <v/>
      </c>
      <c r="K31" s="402"/>
      <c r="L31" s="488" t="str">
        <f t="shared" si="4"/>
        <v/>
      </c>
    </row>
    <row r="32" spans="2:12" ht="22.5" customHeight="1">
      <c r="B32" s="78"/>
      <c r="C32" s="403"/>
      <c r="D32" s="500" t="str">
        <f t="shared" si="0"/>
        <v/>
      </c>
      <c r="E32" s="403"/>
      <c r="F32" s="500" t="str">
        <f t="shared" si="1"/>
        <v/>
      </c>
      <c r="G32" s="403"/>
      <c r="H32" s="500" t="str">
        <f t="shared" si="2"/>
        <v/>
      </c>
      <c r="I32" s="403"/>
      <c r="J32" s="500" t="str">
        <f t="shared" si="3"/>
        <v/>
      </c>
      <c r="K32" s="403"/>
      <c r="L32" s="500" t="str">
        <f t="shared" si="4"/>
        <v/>
      </c>
    </row>
    <row r="33" spans="2:12" ht="22.5" customHeight="1">
      <c r="B33" s="503" t="s">
        <v>90</v>
      </c>
      <c r="C33" s="506">
        <f>SUM(C34:C40)</f>
        <v>852015</v>
      </c>
      <c r="D33" s="507">
        <f t="shared" si="0"/>
        <v>2.689819204080725E-3</v>
      </c>
      <c r="E33" s="506">
        <f>SUM(E34:E40)</f>
        <v>2246448</v>
      </c>
      <c r="F33" s="507">
        <f t="shared" si="1"/>
        <v>5.0610716291450315E-3</v>
      </c>
      <c r="G33" s="506">
        <f>SUM(G34:G40)</f>
        <v>2196742</v>
      </c>
      <c r="H33" s="507">
        <f t="shared" si="2"/>
        <v>5.1997030911974055E-3</v>
      </c>
      <c r="I33" s="506">
        <f>SUM(I34:I40)</f>
        <v>0</v>
      </c>
      <c r="J33" s="507" t="str">
        <f t="shared" si="3"/>
        <v/>
      </c>
      <c r="K33" s="506">
        <f>SUM(K34:K40)</f>
        <v>0</v>
      </c>
      <c r="L33" s="507" t="str">
        <f t="shared" si="4"/>
        <v/>
      </c>
    </row>
    <row r="34" spans="2:12" ht="22.5" customHeight="1">
      <c r="B34" s="508" t="s">
        <v>91</v>
      </c>
      <c r="C34" s="402">
        <v>852015</v>
      </c>
      <c r="D34" s="488">
        <f t="shared" si="0"/>
        <v>2.689819204080725E-3</v>
      </c>
      <c r="E34" s="402">
        <v>1716559</v>
      </c>
      <c r="F34" s="488">
        <f t="shared" si="1"/>
        <v>3.8672731595183001E-3</v>
      </c>
      <c r="G34" s="402">
        <v>2196742</v>
      </c>
      <c r="H34" s="488">
        <f t="shared" si="2"/>
        <v>5.1997030911974055E-3</v>
      </c>
      <c r="I34" s="402"/>
      <c r="J34" s="488" t="str">
        <f t="shared" si="3"/>
        <v/>
      </c>
      <c r="K34" s="402"/>
      <c r="L34" s="488" t="str">
        <f t="shared" si="4"/>
        <v/>
      </c>
    </row>
    <row r="35" spans="2:12" ht="22.5" customHeight="1">
      <c r="B35" s="448" t="s">
        <v>92</v>
      </c>
      <c r="C35" s="402"/>
      <c r="D35" s="488" t="str">
        <f t="shared" si="0"/>
        <v/>
      </c>
      <c r="E35" s="402">
        <v>529889</v>
      </c>
      <c r="F35" s="488">
        <f t="shared" si="1"/>
        <v>1.1937984696267314E-3</v>
      </c>
      <c r="G35" s="402"/>
      <c r="H35" s="488" t="str">
        <f t="shared" si="2"/>
        <v/>
      </c>
      <c r="I35" s="402"/>
      <c r="J35" s="488" t="str">
        <f t="shared" si="3"/>
        <v/>
      </c>
      <c r="K35" s="402"/>
      <c r="L35" s="488" t="str">
        <f t="shared" si="4"/>
        <v/>
      </c>
    </row>
    <row r="36" spans="2:12" ht="22.5" customHeight="1">
      <c r="B36" s="448"/>
      <c r="C36" s="402"/>
      <c r="D36" s="488" t="str">
        <f t="shared" si="0"/>
        <v/>
      </c>
      <c r="E36" s="402"/>
      <c r="F36" s="488" t="str">
        <f t="shared" si="1"/>
        <v/>
      </c>
      <c r="G36" s="402"/>
      <c r="H36" s="488" t="str">
        <f t="shared" si="2"/>
        <v/>
      </c>
      <c r="I36" s="402"/>
      <c r="J36" s="488" t="str">
        <f t="shared" si="3"/>
        <v/>
      </c>
      <c r="K36" s="402"/>
      <c r="L36" s="488" t="str">
        <f t="shared" si="4"/>
        <v/>
      </c>
    </row>
    <row r="37" spans="2:12" ht="22.5" customHeight="1">
      <c r="B37" s="448"/>
      <c r="C37" s="402"/>
      <c r="D37" s="488" t="str">
        <f t="shared" si="0"/>
        <v/>
      </c>
      <c r="E37" s="402"/>
      <c r="F37" s="488" t="str">
        <f t="shared" si="1"/>
        <v/>
      </c>
      <c r="G37" s="402"/>
      <c r="H37" s="488" t="str">
        <f t="shared" si="2"/>
        <v/>
      </c>
      <c r="I37" s="402"/>
      <c r="J37" s="488" t="str">
        <f t="shared" si="3"/>
        <v/>
      </c>
      <c r="K37" s="402"/>
      <c r="L37" s="488" t="str">
        <f t="shared" si="4"/>
        <v/>
      </c>
    </row>
    <row r="38" spans="2:12" ht="22.5" customHeight="1">
      <c r="B38" s="448"/>
      <c r="C38" s="402"/>
      <c r="D38" s="488" t="str">
        <f t="shared" si="0"/>
        <v/>
      </c>
      <c r="E38" s="402"/>
      <c r="F38" s="488" t="str">
        <f t="shared" si="1"/>
        <v/>
      </c>
      <c r="G38" s="402"/>
      <c r="H38" s="488" t="str">
        <f t="shared" si="2"/>
        <v/>
      </c>
      <c r="I38" s="402"/>
      <c r="J38" s="488" t="str">
        <f t="shared" si="3"/>
        <v/>
      </c>
      <c r="K38" s="402"/>
      <c r="L38" s="488" t="str">
        <f t="shared" si="4"/>
        <v/>
      </c>
    </row>
    <row r="39" spans="2:12" ht="22.5" customHeight="1">
      <c r="B39" s="448"/>
      <c r="C39" s="402"/>
      <c r="D39" s="488" t="str">
        <f t="shared" si="0"/>
        <v/>
      </c>
      <c r="E39" s="402"/>
      <c r="F39" s="488" t="str">
        <f t="shared" si="1"/>
        <v/>
      </c>
      <c r="G39" s="402"/>
      <c r="H39" s="488" t="str">
        <f t="shared" si="2"/>
        <v/>
      </c>
      <c r="I39" s="402"/>
      <c r="J39" s="488" t="str">
        <f t="shared" si="3"/>
        <v/>
      </c>
      <c r="K39" s="402"/>
      <c r="L39" s="488" t="str">
        <f t="shared" si="4"/>
        <v/>
      </c>
    </row>
    <row r="40" spans="2:12" ht="22.5" customHeight="1">
      <c r="B40" s="78"/>
      <c r="C40" s="403"/>
      <c r="D40" s="500" t="str">
        <f t="shared" si="0"/>
        <v/>
      </c>
      <c r="E40" s="403"/>
      <c r="F40" s="500" t="str">
        <f t="shared" si="1"/>
        <v/>
      </c>
      <c r="G40" s="403"/>
      <c r="H40" s="500" t="str">
        <f t="shared" si="2"/>
        <v/>
      </c>
      <c r="I40" s="403"/>
      <c r="J40" s="500" t="str">
        <f t="shared" si="3"/>
        <v/>
      </c>
      <c r="K40" s="403"/>
      <c r="L40" s="500" t="str">
        <f t="shared" si="4"/>
        <v/>
      </c>
    </row>
    <row r="41" spans="2:12" ht="22.5" customHeight="1">
      <c r="B41" s="451" t="s">
        <v>93</v>
      </c>
      <c r="C41" s="447">
        <f>C24+C25-C33</f>
        <v>6665569</v>
      </c>
      <c r="D41" s="501">
        <f t="shared" ref="D41:D61" si="5">IF(C41=0,"",C41/C$11)</f>
        <v>2.1043262738713701E-2</v>
      </c>
      <c r="E41" s="447">
        <f>E24+E25-E33</f>
        <v>89928661</v>
      </c>
      <c r="F41" s="501">
        <f t="shared" ref="F41:F61" si="6">IF(E41=0,"",E41/E$11)</f>
        <v>0.20260223910551292</v>
      </c>
      <c r="G41" s="447">
        <f>G24+G25-G33</f>
        <v>64943069</v>
      </c>
      <c r="H41" s="501">
        <f t="shared" ref="H41:H61" si="7">IF(G41=0,"",G41/G$11)</f>
        <v>0.1537206811865692</v>
      </c>
      <c r="I41" s="447">
        <f>I24+I25-I33</f>
        <v>0</v>
      </c>
      <c r="J41" s="501" t="str">
        <f t="shared" si="3"/>
        <v/>
      </c>
      <c r="K41" s="447">
        <f>K24+K25-K33</f>
        <v>0</v>
      </c>
      <c r="L41" s="501" t="str">
        <f t="shared" si="4"/>
        <v/>
      </c>
    </row>
    <row r="42" spans="2:12" ht="22.5" customHeight="1">
      <c r="B42" s="503" t="s">
        <v>94</v>
      </c>
      <c r="C42" s="504">
        <f>SUM(C43:C48)</f>
        <v>0</v>
      </c>
      <c r="D42" s="505" t="str">
        <f t="shared" si="5"/>
        <v/>
      </c>
      <c r="E42" s="504">
        <f>SUM(E43:E48)</f>
        <v>21984310</v>
      </c>
      <c r="F42" s="505">
        <f t="shared" si="6"/>
        <v>4.9528930839854476E-2</v>
      </c>
      <c r="G42" s="504">
        <f>SUM(G43:G48)</f>
        <v>12486495</v>
      </c>
      <c r="H42" s="505">
        <f t="shared" si="7"/>
        <v>2.955561766002605E-2</v>
      </c>
      <c r="I42" s="504">
        <f>SUM(I43:I48)</f>
        <v>0</v>
      </c>
      <c r="J42" s="505" t="str">
        <f t="shared" si="3"/>
        <v/>
      </c>
      <c r="K42" s="504">
        <f>SUM(K43:K48)</f>
        <v>0</v>
      </c>
      <c r="L42" s="505" t="str">
        <f t="shared" si="4"/>
        <v/>
      </c>
    </row>
    <row r="43" spans="2:12" ht="22.5" customHeight="1">
      <c r="B43" s="448" t="s">
        <v>95</v>
      </c>
      <c r="C43" s="402"/>
      <c r="D43" s="488" t="str">
        <f t="shared" si="5"/>
        <v/>
      </c>
      <c r="E43" s="402">
        <v>21984310</v>
      </c>
      <c r="F43" s="488">
        <f t="shared" si="6"/>
        <v>4.9528930839854476E-2</v>
      </c>
      <c r="G43" s="402">
        <v>12486495</v>
      </c>
      <c r="H43" s="488">
        <f t="shared" si="7"/>
        <v>2.955561766002605E-2</v>
      </c>
      <c r="I43" s="402"/>
      <c r="J43" s="488" t="str">
        <f t="shared" si="3"/>
        <v/>
      </c>
      <c r="K43" s="402"/>
      <c r="L43" s="488" t="str">
        <f t="shared" si="4"/>
        <v/>
      </c>
    </row>
    <row r="44" spans="2:12" ht="22.5" customHeight="1">
      <c r="B44" s="448"/>
      <c r="C44" s="402"/>
      <c r="D44" s="488" t="str">
        <f t="shared" si="5"/>
        <v/>
      </c>
      <c r="E44" s="402"/>
      <c r="F44" s="488" t="str">
        <f t="shared" si="6"/>
        <v/>
      </c>
      <c r="G44" s="402"/>
      <c r="H44" s="488" t="str">
        <f t="shared" si="7"/>
        <v/>
      </c>
      <c r="I44" s="402"/>
      <c r="J44" s="488" t="str">
        <f t="shared" si="3"/>
        <v/>
      </c>
      <c r="K44" s="402"/>
      <c r="L44" s="488" t="str">
        <f t="shared" si="4"/>
        <v/>
      </c>
    </row>
    <row r="45" spans="2:12" ht="22.5" customHeight="1">
      <c r="B45" s="448"/>
      <c r="C45" s="402"/>
      <c r="D45" s="488" t="str">
        <f t="shared" si="5"/>
        <v/>
      </c>
      <c r="E45" s="402"/>
      <c r="F45" s="488" t="str">
        <f t="shared" si="6"/>
        <v/>
      </c>
      <c r="G45" s="402"/>
      <c r="H45" s="488" t="str">
        <f t="shared" si="7"/>
        <v/>
      </c>
      <c r="I45" s="402"/>
      <c r="J45" s="488" t="str">
        <f t="shared" si="3"/>
        <v/>
      </c>
      <c r="K45" s="402"/>
      <c r="L45" s="488" t="str">
        <f t="shared" si="4"/>
        <v/>
      </c>
    </row>
    <row r="46" spans="2:12" ht="22.5" customHeight="1">
      <c r="B46" s="448"/>
      <c r="C46" s="402"/>
      <c r="D46" s="488" t="str">
        <f t="shared" si="5"/>
        <v/>
      </c>
      <c r="E46" s="402"/>
      <c r="F46" s="488" t="str">
        <f t="shared" si="6"/>
        <v/>
      </c>
      <c r="G46" s="402"/>
      <c r="H46" s="488" t="str">
        <f t="shared" si="7"/>
        <v/>
      </c>
      <c r="I46" s="402"/>
      <c r="J46" s="488" t="str">
        <f t="shared" si="3"/>
        <v/>
      </c>
      <c r="K46" s="402"/>
      <c r="L46" s="488" t="str">
        <f t="shared" si="4"/>
        <v/>
      </c>
    </row>
    <row r="47" spans="2:12" ht="22.5" customHeight="1">
      <c r="B47" s="448"/>
      <c r="C47" s="402"/>
      <c r="D47" s="488" t="str">
        <f t="shared" si="5"/>
        <v/>
      </c>
      <c r="E47" s="402"/>
      <c r="F47" s="488" t="str">
        <f t="shared" si="6"/>
        <v/>
      </c>
      <c r="G47" s="402"/>
      <c r="H47" s="488" t="str">
        <f t="shared" si="7"/>
        <v/>
      </c>
      <c r="I47" s="402"/>
      <c r="J47" s="488" t="str">
        <f t="shared" si="3"/>
        <v/>
      </c>
      <c r="K47" s="402"/>
      <c r="L47" s="488" t="str">
        <f t="shared" si="4"/>
        <v/>
      </c>
    </row>
    <row r="48" spans="2:12" ht="22.5" customHeight="1">
      <c r="B48" s="78"/>
      <c r="C48" s="403"/>
      <c r="D48" s="500" t="str">
        <f t="shared" si="5"/>
        <v/>
      </c>
      <c r="E48" s="403"/>
      <c r="F48" s="500" t="str">
        <f t="shared" si="6"/>
        <v/>
      </c>
      <c r="G48" s="403"/>
      <c r="H48" s="500" t="str">
        <f t="shared" si="7"/>
        <v/>
      </c>
      <c r="I48" s="403"/>
      <c r="J48" s="500" t="str">
        <f t="shared" si="3"/>
        <v/>
      </c>
      <c r="K48" s="403"/>
      <c r="L48" s="500" t="str">
        <f t="shared" si="4"/>
        <v/>
      </c>
    </row>
    <row r="49" spans="2:12" ht="22.5" customHeight="1">
      <c r="B49" s="503" t="s">
        <v>96</v>
      </c>
      <c r="C49" s="504">
        <f>SUM(C50:C55)</f>
        <v>11676176</v>
      </c>
      <c r="D49" s="507">
        <f t="shared" si="5"/>
        <v>3.6861795197298715E-2</v>
      </c>
      <c r="E49" s="504">
        <f>SUM(E50:E55)</f>
        <v>50657768</v>
      </c>
      <c r="F49" s="507">
        <f t="shared" si="6"/>
        <v>0.11412798890542361</v>
      </c>
      <c r="G49" s="504">
        <f>SUM(G50:G55)</f>
        <v>25990527</v>
      </c>
      <c r="H49" s="507">
        <f t="shared" si="7"/>
        <v>6.1519752243891015E-2</v>
      </c>
      <c r="I49" s="504">
        <f>SUM(I50:I55)</f>
        <v>0</v>
      </c>
      <c r="J49" s="507" t="str">
        <f t="shared" si="3"/>
        <v/>
      </c>
      <c r="K49" s="504">
        <f>SUM(K50:K55)</f>
        <v>0</v>
      </c>
      <c r="L49" s="507" t="str">
        <f t="shared" si="4"/>
        <v/>
      </c>
    </row>
    <row r="50" spans="2:12" ht="22.5" customHeight="1">
      <c r="B50" s="508" t="s">
        <v>97</v>
      </c>
      <c r="C50" s="402"/>
      <c r="D50" s="488" t="str">
        <f t="shared" si="5"/>
        <v/>
      </c>
      <c r="E50" s="402">
        <v>27860505</v>
      </c>
      <c r="F50" s="488">
        <f t="shared" si="6"/>
        <v>6.2767538544917706E-2</v>
      </c>
      <c r="G50" s="402">
        <v>565843</v>
      </c>
      <c r="H50" s="488">
        <f t="shared" si="7"/>
        <v>1.339354187352185E-3</v>
      </c>
      <c r="I50" s="402"/>
      <c r="J50" s="488" t="str">
        <f t="shared" si="3"/>
        <v/>
      </c>
      <c r="K50" s="402"/>
      <c r="L50" s="488" t="str">
        <f t="shared" si="4"/>
        <v/>
      </c>
    </row>
    <row r="51" spans="2:12" ht="22.5" customHeight="1">
      <c r="B51" s="448" t="s">
        <v>98</v>
      </c>
      <c r="C51" s="402">
        <v>2</v>
      </c>
      <c r="D51" s="488">
        <f t="shared" si="5"/>
        <v>6.3140184247477446E-9</v>
      </c>
      <c r="E51" s="402"/>
      <c r="F51" s="488" t="str">
        <f t="shared" si="6"/>
        <v/>
      </c>
      <c r="G51" s="402"/>
      <c r="H51" s="488" t="str">
        <f t="shared" si="7"/>
        <v/>
      </c>
      <c r="I51" s="402"/>
      <c r="J51" s="488" t="str">
        <f t="shared" si="3"/>
        <v/>
      </c>
      <c r="K51" s="402"/>
      <c r="L51" s="488" t="str">
        <f t="shared" si="4"/>
        <v/>
      </c>
    </row>
    <row r="52" spans="2:12" ht="22.5" customHeight="1">
      <c r="B52" s="448" t="s">
        <v>99</v>
      </c>
      <c r="C52" s="402">
        <v>6722798</v>
      </c>
      <c r="D52" s="488">
        <f t="shared" si="5"/>
        <v>2.1223935218928645E-2</v>
      </c>
      <c r="E52" s="402">
        <v>17217311</v>
      </c>
      <c r="F52" s="488">
        <f t="shared" si="6"/>
        <v>3.8789254962619507E-2</v>
      </c>
      <c r="G52" s="402">
        <v>19844732</v>
      </c>
      <c r="H52" s="488">
        <f t="shared" si="7"/>
        <v>4.697261413692827E-2</v>
      </c>
      <c r="I52" s="402"/>
      <c r="J52" s="488" t="str">
        <f t="shared" si="3"/>
        <v/>
      </c>
      <c r="K52" s="402"/>
      <c r="L52" s="488" t="str">
        <f t="shared" si="4"/>
        <v/>
      </c>
    </row>
    <row r="53" spans="2:12" ht="22.5" customHeight="1">
      <c r="B53" s="448" t="s">
        <v>100</v>
      </c>
      <c r="C53" s="402">
        <v>4953376</v>
      </c>
      <c r="D53" s="488">
        <f t="shared" si="5"/>
        <v>1.5637853664351643E-2</v>
      </c>
      <c r="E53" s="402">
        <v>5579952</v>
      </c>
      <c r="F53" s="488">
        <f t="shared" si="6"/>
        <v>1.2571195397886387E-2</v>
      </c>
      <c r="G53" s="402">
        <v>5579952</v>
      </c>
      <c r="H53" s="488">
        <f t="shared" si="7"/>
        <v>1.3207783919610562E-2</v>
      </c>
      <c r="I53" s="402"/>
      <c r="J53" s="488" t="str">
        <f t="shared" si="3"/>
        <v/>
      </c>
      <c r="K53" s="402"/>
      <c r="L53" s="488" t="str">
        <f t="shared" si="4"/>
        <v/>
      </c>
    </row>
    <row r="54" spans="2:12" ht="22.5" customHeight="1">
      <c r="B54" s="448"/>
      <c r="C54" s="402"/>
      <c r="D54" s="488" t="str">
        <f t="shared" si="5"/>
        <v/>
      </c>
      <c r="E54" s="402"/>
      <c r="F54" s="488" t="str">
        <f t="shared" si="6"/>
        <v/>
      </c>
      <c r="G54" s="402"/>
      <c r="H54" s="488" t="str">
        <f t="shared" si="7"/>
        <v/>
      </c>
      <c r="I54" s="402"/>
      <c r="J54" s="488" t="str">
        <f t="shared" si="3"/>
        <v/>
      </c>
      <c r="K54" s="402"/>
      <c r="L54" s="488" t="str">
        <f t="shared" si="4"/>
        <v/>
      </c>
    </row>
    <row r="55" spans="2:12" ht="22.5" customHeight="1">
      <c r="B55" s="78"/>
      <c r="C55" s="403"/>
      <c r="D55" s="500" t="str">
        <f t="shared" si="5"/>
        <v/>
      </c>
      <c r="E55" s="403"/>
      <c r="F55" s="500" t="str">
        <f t="shared" si="6"/>
        <v/>
      </c>
      <c r="G55" s="403"/>
      <c r="H55" s="500" t="str">
        <f t="shared" si="7"/>
        <v/>
      </c>
      <c r="I55" s="403"/>
      <c r="J55" s="500" t="str">
        <f t="shared" si="3"/>
        <v/>
      </c>
      <c r="K55" s="403"/>
      <c r="L55" s="500" t="str">
        <f t="shared" si="4"/>
        <v/>
      </c>
    </row>
    <row r="56" spans="2:12" ht="22.5" customHeight="1">
      <c r="B56" s="451" t="s">
        <v>101</v>
      </c>
      <c r="C56" s="447">
        <f>C41+C42-C49</f>
        <v>-5010607</v>
      </c>
      <c r="D56" s="501">
        <f t="shared" si="5"/>
        <v>-1.581853245858501E-2</v>
      </c>
      <c r="E56" s="447">
        <f>E41+E42-E49</f>
        <v>61255203</v>
      </c>
      <c r="F56" s="501">
        <f t="shared" si="6"/>
        <v>0.13800318103994377</v>
      </c>
      <c r="G56" s="447">
        <f>G41+G42-G49</f>
        <v>51439037</v>
      </c>
      <c r="H56" s="501">
        <f t="shared" si="7"/>
        <v>0.12175654660270424</v>
      </c>
      <c r="I56" s="447">
        <f>I41+I42-I49</f>
        <v>0</v>
      </c>
      <c r="J56" s="501" t="str">
        <f t="shared" si="3"/>
        <v/>
      </c>
      <c r="K56" s="447">
        <f>K41+K42-K49</f>
        <v>0</v>
      </c>
      <c r="L56" s="501" t="str">
        <f t="shared" si="4"/>
        <v/>
      </c>
    </row>
    <row r="57" spans="2:12" ht="22.5" customHeight="1">
      <c r="B57" s="503" t="s">
        <v>102</v>
      </c>
      <c r="C57" s="504">
        <f>SUM(C58:C60)</f>
        <v>159573</v>
      </c>
      <c r="D57" s="505">
        <f t="shared" si="5"/>
        <v>5.0377343104613596E-4</v>
      </c>
      <c r="E57" s="504">
        <f>SUM(E58:E60)</f>
        <v>20697447</v>
      </c>
      <c r="F57" s="505">
        <f t="shared" si="6"/>
        <v>4.6629729157956448E-2</v>
      </c>
      <c r="G57" s="504">
        <f>SUM(G58:G60)</f>
        <v>13808861</v>
      </c>
      <c r="H57" s="505">
        <f t="shared" si="7"/>
        <v>3.2685666877409952E-2</v>
      </c>
      <c r="I57" s="504">
        <f>SUM(I58:I60)</f>
        <v>0</v>
      </c>
      <c r="J57" s="505" t="str">
        <f t="shared" si="3"/>
        <v/>
      </c>
      <c r="K57" s="504">
        <f>SUM(K58:K60)</f>
        <v>0</v>
      </c>
      <c r="L57" s="505" t="str">
        <f t="shared" si="4"/>
        <v/>
      </c>
    </row>
    <row r="58" spans="2:12" ht="22.5" customHeight="1">
      <c r="B58" s="448" t="s">
        <v>102</v>
      </c>
      <c r="C58" s="402">
        <v>159573</v>
      </c>
      <c r="D58" s="488">
        <f t="shared" si="5"/>
        <v>5.0377343104613596E-4</v>
      </c>
      <c r="E58" s="402">
        <v>20697447</v>
      </c>
      <c r="F58" s="488">
        <f t="shared" si="6"/>
        <v>4.6629729157956448E-2</v>
      </c>
      <c r="G58" s="402">
        <v>13808861</v>
      </c>
      <c r="H58" s="488">
        <f t="shared" si="7"/>
        <v>3.2685666877409952E-2</v>
      </c>
      <c r="I58" s="402"/>
      <c r="J58" s="488" t="str">
        <f t="shared" si="3"/>
        <v/>
      </c>
      <c r="K58" s="402"/>
      <c r="L58" s="488" t="str">
        <f t="shared" si="4"/>
        <v/>
      </c>
    </row>
    <row r="59" spans="2:12" ht="22.5" customHeight="1">
      <c r="B59" s="448"/>
      <c r="C59" s="402"/>
      <c r="D59" s="488" t="str">
        <f t="shared" si="5"/>
        <v/>
      </c>
      <c r="E59" s="402"/>
      <c r="F59" s="488" t="str">
        <f t="shared" si="6"/>
        <v/>
      </c>
      <c r="G59" s="402"/>
      <c r="H59" s="488" t="str">
        <f t="shared" si="7"/>
        <v/>
      </c>
      <c r="I59" s="402"/>
      <c r="J59" s="488" t="str">
        <f t="shared" si="3"/>
        <v/>
      </c>
      <c r="K59" s="402"/>
      <c r="L59" s="488" t="str">
        <f t="shared" si="4"/>
        <v/>
      </c>
    </row>
    <row r="60" spans="2:12" ht="22.5" customHeight="1">
      <c r="B60" s="79"/>
      <c r="C60" s="403"/>
      <c r="D60" s="500" t="str">
        <f t="shared" si="5"/>
        <v/>
      </c>
      <c r="E60" s="403"/>
      <c r="F60" s="500" t="str">
        <f t="shared" si="6"/>
        <v/>
      </c>
      <c r="G60" s="403"/>
      <c r="H60" s="500" t="str">
        <f t="shared" si="7"/>
        <v/>
      </c>
      <c r="I60" s="403"/>
      <c r="J60" s="500" t="str">
        <f t="shared" si="3"/>
        <v/>
      </c>
      <c r="K60" s="403"/>
      <c r="L60" s="500" t="str">
        <f t="shared" si="4"/>
        <v/>
      </c>
    </row>
    <row r="61" spans="2:12" ht="22.5" customHeight="1">
      <c r="B61" s="451" t="s">
        <v>103</v>
      </c>
      <c r="C61" s="447">
        <f>C56-C57</f>
        <v>-5170180</v>
      </c>
      <c r="D61" s="501">
        <f t="shared" si="5"/>
        <v>-1.6322305889631149E-2</v>
      </c>
      <c r="E61" s="447">
        <f>E56-E57</f>
        <v>40557756</v>
      </c>
      <c r="F61" s="501">
        <f t="shared" si="6"/>
        <v>9.1373451881987339E-2</v>
      </c>
      <c r="G61" s="447">
        <f>G56-G57</f>
        <v>37630176</v>
      </c>
      <c r="H61" s="501">
        <f t="shared" si="7"/>
        <v>8.9070879725294289E-2</v>
      </c>
      <c r="I61" s="447">
        <f>I56-I57</f>
        <v>0</v>
      </c>
      <c r="J61" s="501" t="str">
        <f t="shared" si="3"/>
        <v/>
      </c>
      <c r="K61" s="447">
        <f>K56-K57</f>
        <v>0</v>
      </c>
      <c r="L61" s="501" t="str">
        <f t="shared" si="4"/>
        <v/>
      </c>
    </row>
    <row r="62" spans="2:12" ht="18" customHeight="1">
      <c r="C62" s="409"/>
      <c r="D62" s="509"/>
      <c r="E62" s="409"/>
      <c r="F62" s="509"/>
      <c r="G62" s="409"/>
      <c r="H62" s="510"/>
      <c r="I62" s="495"/>
      <c r="J62" s="509"/>
      <c r="K62" s="409"/>
      <c r="L62" s="509"/>
    </row>
    <row r="63" spans="2:12" ht="18" customHeight="1">
      <c r="C63" s="409">
        <v>-5170180</v>
      </c>
      <c r="D63" s="509"/>
      <c r="E63" s="409">
        <v>40557756</v>
      </c>
      <c r="F63" s="509"/>
      <c r="G63" s="409">
        <v>37630176</v>
      </c>
      <c r="H63" s="510"/>
      <c r="I63" s="495"/>
      <c r="J63" s="509"/>
      <c r="K63" s="409"/>
      <c r="L63" s="509"/>
    </row>
    <row r="64" spans="2:12" ht="18" customHeight="1">
      <c r="C64" s="409" t="b">
        <f>C63=C61</f>
        <v>1</v>
      </c>
      <c r="D64" s="509"/>
      <c r="E64" s="409" t="b">
        <f>E63=E61</f>
        <v>1</v>
      </c>
      <c r="F64" s="509"/>
      <c r="G64" s="409" t="b">
        <f>G63=G61</f>
        <v>1</v>
      </c>
      <c r="H64" s="510"/>
      <c r="I64" s="495"/>
      <c r="J64" s="509"/>
      <c r="K64" s="409"/>
      <c r="L64" s="509"/>
    </row>
    <row r="65" spans="3:12" ht="18" customHeight="1">
      <c r="C65" s="409"/>
      <c r="D65" s="509"/>
      <c r="E65" s="409"/>
      <c r="F65" s="509"/>
      <c r="G65" s="409"/>
      <c r="H65" s="510"/>
      <c r="I65" s="495"/>
      <c r="J65" s="509"/>
      <c r="K65" s="409"/>
      <c r="L65" s="509"/>
    </row>
    <row r="66" spans="3:12" ht="18" customHeight="1">
      <c r="C66" s="409"/>
      <c r="D66" s="509"/>
      <c r="E66" s="409"/>
      <c r="F66" s="509"/>
      <c r="G66" s="409"/>
      <c r="H66" s="510"/>
      <c r="I66" s="495"/>
      <c r="J66" s="509"/>
      <c r="K66" s="409"/>
      <c r="L66" s="509"/>
    </row>
    <row r="67" spans="3:12" ht="18" customHeight="1">
      <c r="C67" s="409"/>
      <c r="D67" s="509"/>
      <c r="E67" s="409"/>
      <c r="F67" s="509"/>
      <c r="G67" s="409"/>
      <c r="H67" s="510"/>
      <c r="I67" s="495"/>
      <c r="J67" s="509"/>
      <c r="K67" s="409"/>
      <c r="L67" s="509"/>
    </row>
    <row r="68" spans="3:12" ht="18" customHeight="1">
      <c r="C68" s="409"/>
      <c r="D68" s="509"/>
      <c r="E68" s="409"/>
      <c r="F68" s="409"/>
      <c r="G68" s="409"/>
      <c r="H68" s="510"/>
      <c r="I68" s="495"/>
      <c r="J68" s="509"/>
      <c r="K68" s="409"/>
      <c r="L68" s="509"/>
    </row>
    <row r="69" spans="3:12" ht="18" customHeight="1">
      <c r="C69" s="409"/>
      <c r="D69" s="509"/>
      <c r="E69" s="409"/>
      <c r="F69" s="409"/>
      <c r="G69" s="409"/>
      <c r="H69" s="510"/>
      <c r="I69" s="495"/>
      <c r="J69" s="509"/>
      <c r="K69" s="409"/>
      <c r="L69" s="509"/>
    </row>
    <row r="70" spans="3:12" ht="18" customHeight="1">
      <c r="C70" s="409"/>
      <c r="D70" s="509"/>
      <c r="E70" s="409"/>
      <c r="F70" s="409"/>
      <c r="G70" s="409"/>
      <c r="H70" s="510"/>
      <c r="I70" s="495"/>
      <c r="J70" s="509"/>
      <c r="K70" s="409"/>
      <c r="L70" s="409"/>
    </row>
    <row r="71" spans="3:12" ht="18" customHeight="1">
      <c r="C71" s="409"/>
      <c r="D71" s="509"/>
      <c r="E71" s="409"/>
      <c r="F71" s="409"/>
      <c r="G71" s="409"/>
      <c r="H71" s="510"/>
      <c r="I71" s="495"/>
      <c r="J71" s="509"/>
      <c r="K71" s="409"/>
      <c r="L71" s="409"/>
    </row>
    <row r="72" spans="3:12" ht="18" customHeight="1">
      <c r="C72" s="409"/>
      <c r="D72" s="409"/>
      <c r="E72" s="409"/>
      <c r="F72" s="409"/>
      <c r="G72" s="409"/>
      <c r="H72" s="510"/>
      <c r="I72" s="495"/>
      <c r="J72" s="509"/>
      <c r="K72" s="409"/>
      <c r="L72" s="409"/>
    </row>
    <row r="73" spans="3:12" ht="18" customHeight="1">
      <c r="C73" s="409"/>
      <c r="D73" s="409"/>
      <c r="E73" s="409"/>
      <c r="F73" s="409"/>
      <c r="G73" s="409"/>
      <c r="H73" s="510"/>
      <c r="I73" s="495"/>
      <c r="J73" s="509"/>
      <c r="K73" s="409"/>
      <c r="L73" s="409"/>
    </row>
    <row r="74" spans="3:12" ht="18" customHeight="1">
      <c r="C74" s="409"/>
      <c r="D74" s="409"/>
      <c r="E74" s="409"/>
      <c r="F74" s="409"/>
      <c r="G74" s="409"/>
      <c r="H74" s="510"/>
      <c r="I74" s="495"/>
      <c r="J74" s="509"/>
      <c r="K74" s="409"/>
      <c r="L74" s="409"/>
    </row>
    <row r="75" spans="3:12" ht="18" customHeight="1">
      <c r="C75" s="409"/>
      <c r="D75" s="409"/>
      <c r="E75" s="409"/>
      <c r="F75" s="409"/>
      <c r="G75" s="409"/>
      <c r="H75" s="510"/>
      <c r="I75" s="495"/>
      <c r="J75" s="509"/>
      <c r="K75" s="409"/>
      <c r="L75" s="409"/>
    </row>
    <row r="76" spans="3:12" ht="18" customHeight="1">
      <c r="C76" s="409"/>
      <c r="D76" s="409"/>
      <c r="E76" s="409"/>
      <c r="F76" s="409"/>
      <c r="G76" s="409"/>
      <c r="H76" s="495"/>
      <c r="I76" s="495"/>
      <c r="J76" s="509"/>
      <c r="K76" s="409"/>
      <c r="L76" s="409"/>
    </row>
    <row r="77" spans="3:12" ht="18" customHeight="1">
      <c r="C77" s="409"/>
      <c r="D77" s="409"/>
      <c r="E77" s="409"/>
      <c r="F77" s="409"/>
      <c r="G77" s="409"/>
      <c r="H77" s="495"/>
      <c r="I77" s="495"/>
      <c r="J77" s="509"/>
      <c r="K77" s="409"/>
      <c r="L77" s="409"/>
    </row>
    <row r="78" spans="3:12" ht="18" customHeight="1">
      <c r="C78" s="409"/>
      <c r="D78" s="409"/>
      <c r="E78" s="409"/>
      <c r="F78" s="409"/>
      <c r="G78" s="409"/>
      <c r="H78" s="495"/>
      <c r="I78" s="495"/>
      <c r="J78" s="509"/>
      <c r="K78" s="409"/>
      <c r="L78" s="409"/>
    </row>
    <row r="79" spans="3:12" ht="18" customHeight="1">
      <c r="C79" s="409"/>
      <c r="D79" s="409"/>
      <c r="E79" s="409"/>
      <c r="F79" s="409"/>
      <c r="G79" s="409"/>
      <c r="H79" s="495"/>
      <c r="I79" s="495"/>
      <c r="J79" s="509"/>
      <c r="K79" s="409"/>
      <c r="L79" s="409"/>
    </row>
    <row r="80" spans="3:12" ht="18" customHeight="1">
      <c r="C80" s="409"/>
      <c r="D80" s="409"/>
      <c r="E80" s="409"/>
      <c r="F80" s="409"/>
      <c r="G80" s="409"/>
      <c r="H80" s="495"/>
      <c r="I80" s="495"/>
      <c r="J80" s="509"/>
      <c r="K80" s="409"/>
      <c r="L80" s="409"/>
    </row>
    <row r="81" spans="3:12" ht="18" customHeight="1">
      <c r="C81" s="409"/>
      <c r="D81" s="409"/>
      <c r="E81" s="409"/>
      <c r="F81" s="409"/>
      <c r="G81" s="409"/>
      <c r="H81" s="495"/>
      <c r="I81" s="495"/>
      <c r="J81" s="409"/>
      <c r="K81" s="409"/>
      <c r="L81" s="409"/>
    </row>
    <row r="82" spans="3:12" ht="18" customHeight="1">
      <c r="C82" s="409"/>
      <c r="D82" s="409"/>
      <c r="E82" s="409"/>
      <c r="F82" s="409"/>
      <c r="G82" s="409"/>
      <c r="H82" s="495"/>
      <c r="I82" s="495"/>
      <c r="J82" s="409"/>
      <c r="K82" s="409"/>
      <c r="L82" s="409"/>
    </row>
  </sheetData>
  <mergeCells count="6">
    <mergeCell ref="K3:L3"/>
    <mergeCell ref="B3:B4"/>
    <mergeCell ref="C3:D3"/>
    <mergeCell ref="E3:F3"/>
    <mergeCell ref="G3:H3"/>
    <mergeCell ref="I3:J3"/>
  </mergeCells>
  <phoneticPr fontId="60"/>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4:N62"/>
  <sheetViews>
    <sheetView showGridLines="0" topLeftCell="A2" zoomScale="85" zoomScaleNormal="85" workbookViewId="0">
      <pane ySplit="5" topLeftCell="A7" activePane="bottomLeft" state="frozen"/>
      <selection activeCell="A2" sqref="A2"/>
      <selection pane="bottomLeft" activeCell="F19" sqref="F19"/>
    </sheetView>
  </sheetViews>
  <sheetFormatPr defaultColWidth="8.5" defaultRowHeight="18"/>
  <cols>
    <col min="2" max="2" width="28" style="22" customWidth="1"/>
    <col min="3" max="3" width="15" style="23" customWidth="1"/>
    <col min="4" max="4" width="15" style="80" customWidth="1"/>
    <col min="5" max="5" width="15" style="23" customWidth="1"/>
    <col min="6" max="6" width="15" style="80" customWidth="1"/>
    <col min="7" max="7" width="15" style="23" customWidth="1"/>
    <col min="8" max="8" width="15" style="81" customWidth="1"/>
    <col min="9" max="9" width="15" style="38" hidden="1" customWidth="1"/>
    <col min="10" max="10" width="15" style="80" hidden="1" customWidth="1"/>
    <col min="11" max="11" width="15" style="23" hidden="1" customWidth="1"/>
    <col min="12" max="12" width="15" style="80" hidden="1" customWidth="1"/>
    <col min="13" max="13" width="16.1640625" style="23" customWidth="1"/>
    <col min="14" max="14" width="8.75" style="23" customWidth="1"/>
  </cols>
  <sheetData>
    <row r="4" spans="1:12" ht="18.75" customHeight="1">
      <c r="B4" s="6"/>
      <c r="C4" s="38"/>
      <c r="D4" s="82"/>
      <c r="G4" s="38"/>
      <c r="H4" s="39" t="s">
        <v>43</v>
      </c>
      <c r="I4" s="6"/>
      <c r="K4" s="38"/>
      <c r="L4" s="82"/>
    </row>
    <row r="5" spans="1:12" ht="19.5" customHeight="1">
      <c r="B5" s="630" t="s">
        <v>6</v>
      </c>
      <c r="C5" s="626" t="str">
        <f>'BS(借方)'!C4</f>
        <v>24年1月期</v>
      </c>
      <c r="D5" s="626"/>
      <c r="E5" s="627" t="str">
        <f>'BS(借方)'!D4</f>
        <v>25年1月期</v>
      </c>
      <c r="F5" s="627"/>
      <c r="G5" s="621" t="str">
        <f>'BS(借方)'!E4</f>
        <v>26年1月期</v>
      </c>
      <c r="H5" s="621"/>
      <c r="I5" s="631" t="str">
        <f>'BS(借方)'!F4</f>
        <v>●●年●月期</v>
      </c>
      <c r="J5" s="631"/>
      <c r="K5" s="629" t="str">
        <f>'BS(借方)'!G4</f>
        <v>●●年●月
（●か月TB）</v>
      </c>
      <c r="L5" s="629"/>
    </row>
    <row r="6" spans="1:12" ht="19.5" customHeight="1">
      <c r="B6" s="630"/>
      <c r="C6" s="83" t="s">
        <v>66</v>
      </c>
      <c r="D6" s="84" t="s">
        <v>67</v>
      </c>
      <c r="E6" s="83" t="s">
        <v>66</v>
      </c>
      <c r="F6" s="85" t="s">
        <v>67</v>
      </c>
      <c r="G6" s="83" t="s">
        <v>66</v>
      </c>
      <c r="H6" s="84" t="s">
        <v>67</v>
      </c>
      <c r="I6" s="83" t="s">
        <v>66</v>
      </c>
      <c r="J6" s="84" t="s">
        <v>67</v>
      </c>
      <c r="K6" s="86" t="s">
        <v>66</v>
      </c>
      <c r="L6" s="87" t="s">
        <v>67</v>
      </c>
    </row>
    <row r="7" spans="1:12" ht="22.5" customHeight="1">
      <c r="A7" s="88" t="s">
        <v>104</v>
      </c>
      <c r="B7" s="89" t="s">
        <v>105</v>
      </c>
      <c r="C7" s="90">
        <f>PL!C11</f>
        <v>316755490</v>
      </c>
      <c r="D7" s="91" t="s">
        <v>106</v>
      </c>
      <c r="E7" s="92">
        <f>PL!E11</f>
        <v>443868051</v>
      </c>
      <c r="F7" s="91" t="s">
        <v>106</v>
      </c>
      <c r="G7" s="92">
        <f>PL!G11</f>
        <v>422474507</v>
      </c>
      <c r="H7" s="91" t="s">
        <v>106</v>
      </c>
      <c r="I7" s="92">
        <f>PL!I11</f>
        <v>0</v>
      </c>
      <c r="J7" s="91" t="s">
        <v>106</v>
      </c>
      <c r="K7" s="92">
        <f>PL!K11</f>
        <v>0</v>
      </c>
      <c r="L7" s="91" t="s">
        <v>106</v>
      </c>
    </row>
    <row r="8" spans="1:12" ht="22.5" customHeight="1">
      <c r="B8" s="93"/>
      <c r="C8" s="51"/>
      <c r="D8" s="70" t="str">
        <f t="shared" ref="D8:D15" si="0">IF(C8=0,"",C8/C$7)</f>
        <v/>
      </c>
      <c r="E8" s="30"/>
      <c r="F8" s="70" t="str">
        <f t="shared" ref="F8:F15" si="1">IF(E8=0,"",E8/E$7)</f>
        <v/>
      </c>
      <c r="G8" s="30"/>
      <c r="H8" s="70" t="str">
        <f t="shared" ref="H8:H15" si="2">IF(G8=0,"",G8/G$7)</f>
        <v/>
      </c>
      <c r="I8" s="30"/>
      <c r="J8" s="70" t="str">
        <f t="shared" ref="J8:J15" si="3">IF(I8=0,"",I8/I$7)</f>
        <v/>
      </c>
      <c r="K8" s="30"/>
      <c r="L8" s="70" t="str">
        <f t="shared" ref="L8:L15" si="4">IF(K8=0,"",K8/K$7)</f>
        <v/>
      </c>
    </row>
    <row r="9" spans="1:12" ht="22.5" customHeight="1">
      <c r="B9" s="71"/>
      <c r="C9" s="51"/>
      <c r="D9" s="70" t="str">
        <f t="shared" si="0"/>
        <v/>
      </c>
      <c r="E9" s="30"/>
      <c r="F9" s="70" t="str">
        <f t="shared" si="1"/>
        <v/>
      </c>
      <c r="G9" s="30"/>
      <c r="H9" s="70" t="str">
        <f t="shared" si="2"/>
        <v/>
      </c>
      <c r="I9" s="30"/>
      <c r="J9" s="70" t="str">
        <f t="shared" si="3"/>
        <v/>
      </c>
      <c r="K9" s="30"/>
      <c r="L9" s="70" t="str">
        <f t="shared" si="4"/>
        <v/>
      </c>
    </row>
    <row r="10" spans="1:12" ht="22.5" customHeight="1">
      <c r="B10" s="71"/>
      <c r="C10" s="51"/>
      <c r="D10" s="70" t="str">
        <f t="shared" si="0"/>
        <v/>
      </c>
      <c r="E10" s="30"/>
      <c r="F10" s="70" t="str">
        <f t="shared" si="1"/>
        <v/>
      </c>
      <c r="G10" s="30"/>
      <c r="H10" s="70" t="str">
        <f t="shared" si="2"/>
        <v/>
      </c>
      <c r="I10" s="30"/>
      <c r="J10" s="70" t="str">
        <f t="shared" si="3"/>
        <v/>
      </c>
      <c r="K10" s="30"/>
      <c r="L10" s="70" t="str">
        <f t="shared" si="4"/>
        <v/>
      </c>
    </row>
    <row r="11" spans="1:12" ht="22.5" customHeight="1">
      <c r="B11" s="71"/>
      <c r="C11" s="51"/>
      <c r="D11" s="70" t="str">
        <f t="shared" si="0"/>
        <v/>
      </c>
      <c r="E11" s="30"/>
      <c r="F11" s="70" t="str">
        <f t="shared" si="1"/>
        <v/>
      </c>
      <c r="G11" s="30"/>
      <c r="H11" s="70" t="str">
        <f t="shared" si="2"/>
        <v/>
      </c>
      <c r="I11" s="30"/>
      <c r="J11" s="70" t="str">
        <f t="shared" si="3"/>
        <v/>
      </c>
      <c r="K11" s="30"/>
      <c r="L11" s="70" t="str">
        <f t="shared" si="4"/>
        <v/>
      </c>
    </row>
    <row r="12" spans="1:12" ht="22.5" customHeight="1">
      <c r="B12" s="71"/>
      <c r="C12" s="51"/>
      <c r="D12" s="70" t="str">
        <f t="shared" si="0"/>
        <v/>
      </c>
      <c r="E12" s="30"/>
      <c r="F12" s="70" t="str">
        <f t="shared" si="1"/>
        <v/>
      </c>
      <c r="G12" s="30"/>
      <c r="H12" s="70" t="str">
        <f t="shared" si="2"/>
        <v/>
      </c>
      <c r="I12" s="30"/>
      <c r="J12" s="70" t="str">
        <f t="shared" si="3"/>
        <v/>
      </c>
      <c r="K12" s="30"/>
      <c r="L12" s="70" t="str">
        <f t="shared" si="4"/>
        <v/>
      </c>
    </row>
    <row r="13" spans="1:12" ht="22.5" customHeight="1">
      <c r="B13" s="72"/>
      <c r="C13" s="54"/>
      <c r="D13" s="73" t="str">
        <f t="shared" si="0"/>
        <v/>
      </c>
      <c r="E13" s="31"/>
      <c r="F13" s="73" t="str">
        <f t="shared" si="1"/>
        <v/>
      </c>
      <c r="G13" s="31"/>
      <c r="H13" s="73" t="str">
        <f t="shared" si="2"/>
        <v/>
      </c>
      <c r="I13" s="31"/>
      <c r="J13" s="73" t="str">
        <f t="shared" si="3"/>
        <v/>
      </c>
      <c r="K13" s="31"/>
      <c r="L13" s="73" t="str">
        <f t="shared" si="4"/>
        <v/>
      </c>
    </row>
    <row r="14" spans="1:12" ht="22.5" customHeight="1">
      <c r="B14" s="94" t="s">
        <v>107</v>
      </c>
      <c r="C14" s="95">
        <f>SUM(C8:C13)</f>
        <v>0</v>
      </c>
      <c r="D14" s="76" t="str">
        <f t="shared" si="0"/>
        <v/>
      </c>
      <c r="E14" s="75">
        <f>SUM(E8:E13)</f>
        <v>0</v>
      </c>
      <c r="F14" s="76" t="str">
        <f t="shared" si="1"/>
        <v/>
      </c>
      <c r="G14" s="75">
        <f>SUM(G8:G13)</f>
        <v>0</v>
      </c>
      <c r="H14" s="76" t="str">
        <f t="shared" si="2"/>
        <v/>
      </c>
      <c r="I14" s="75">
        <f>SUM(I8:I13)</f>
        <v>0</v>
      </c>
      <c r="J14" s="76" t="str">
        <f t="shared" si="3"/>
        <v/>
      </c>
      <c r="K14" s="75">
        <f>SUM(K8:K13)</f>
        <v>0</v>
      </c>
      <c r="L14" s="76" t="str">
        <f t="shared" si="4"/>
        <v/>
      </c>
    </row>
    <row r="15" spans="1:12" ht="22.5" customHeight="1">
      <c r="B15" s="93"/>
      <c r="C15" s="51"/>
      <c r="D15" s="70" t="str">
        <f t="shared" si="0"/>
        <v/>
      </c>
      <c r="E15" s="30"/>
      <c r="F15" s="70" t="str">
        <f t="shared" si="1"/>
        <v/>
      </c>
      <c r="G15" s="30"/>
      <c r="H15" s="70" t="str">
        <f t="shared" si="2"/>
        <v/>
      </c>
      <c r="I15" s="30"/>
      <c r="J15" s="70" t="str">
        <f t="shared" si="3"/>
        <v/>
      </c>
      <c r="K15" s="30"/>
      <c r="L15" s="70" t="str">
        <f t="shared" si="4"/>
        <v/>
      </c>
    </row>
    <row r="16" spans="1:12" ht="22.5" customHeight="1">
      <c r="B16" s="71"/>
      <c r="C16" s="51"/>
      <c r="D16" s="70"/>
      <c r="E16" s="30"/>
      <c r="F16" s="70"/>
      <c r="G16" s="30"/>
      <c r="H16" s="70"/>
      <c r="I16" s="30"/>
      <c r="J16" s="70"/>
      <c r="K16" s="30"/>
      <c r="L16" s="70"/>
    </row>
    <row r="17" spans="2:12" ht="22.5" customHeight="1">
      <c r="B17" s="71"/>
      <c r="C17" s="51"/>
      <c r="D17" s="70"/>
      <c r="E17" s="30"/>
      <c r="F17" s="70"/>
      <c r="G17" s="30"/>
      <c r="H17" s="70"/>
      <c r="I17" s="30"/>
      <c r="J17" s="70"/>
      <c r="K17" s="30"/>
      <c r="L17" s="70"/>
    </row>
    <row r="18" spans="2:12" ht="22.5" customHeight="1">
      <c r="B18" s="71"/>
      <c r="C18" s="51"/>
      <c r="D18" s="70" t="str">
        <f t="shared" ref="D18:D24" si="5">IF(C18=0,"",C18/C$7)</f>
        <v/>
      </c>
      <c r="E18" s="30"/>
      <c r="F18" s="70" t="str">
        <f t="shared" ref="F18:F24" si="6">IF(E18=0,"",E18/E$7)</f>
        <v/>
      </c>
      <c r="G18" s="30"/>
      <c r="H18" s="70" t="str">
        <f t="shared" ref="H18:H24" si="7">IF(G18=0,"",G18/G$7)</f>
        <v/>
      </c>
      <c r="I18" s="30"/>
      <c r="J18" s="70" t="str">
        <f t="shared" ref="J18:J24" si="8">IF(I18=0,"",I18/I$7)</f>
        <v/>
      </c>
      <c r="K18" s="30"/>
      <c r="L18" s="70" t="str">
        <f t="shared" ref="L18:L24" si="9">IF(K18=0,"",K18/K$7)</f>
        <v/>
      </c>
    </row>
    <row r="19" spans="2:12" ht="22.5" customHeight="1">
      <c r="B19" s="71"/>
      <c r="C19" s="51"/>
      <c r="D19" s="70" t="str">
        <f t="shared" si="5"/>
        <v/>
      </c>
      <c r="E19" s="30"/>
      <c r="F19" s="70" t="str">
        <f t="shared" si="6"/>
        <v/>
      </c>
      <c r="G19" s="30"/>
      <c r="H19" s="70" t="str">
        <f t="shared" si="7"/>
        <v/>
      </c>
      <c r="I19" s="30"/>
      <c r="J19" s="70" t="str">
        <f t="shared" si="8"/>
        <v/>
      </c>
      <c r="K19" s="30"/>
      <c r="L19" s="70" t="str">
        <f t="shared" si="9"/>
        <v/>
      </c>
    </row>
    <row r="20" spans="2:12" ht="22.5" customHeight="1">
      <c r="B20" s="71"/>
      <c r="C20" s="51"/>
      <c r="D20" s="70" t="str">
        <f t="shared" si="5"/>
        <v/>
      </c>
      <c r="E20" s="30"/>
      <c r="F20" s="70" t="str">
        <f t="shared" si="6"/>
        <v/>
      </c>
      <c r="G20" s="30"/>
      <c r="H20" s="70" t="str">
        <f t="shared" si="7"/>
        <v/>
      </c>
      <c r="I20" s="30"/>
      <c r="J20" s="70" t="str">
        <f t="shared" si="8"/>
        <v/>
      </c>
      <c r="K20" s="30"/>
      <c r="L20" s="70" t="str">
        <f t="shared" si="9"/>
        <v/>
      </c>
    </row>
    <row r="21" spans="2:12" ht="22.5" customHeight="1">
      <c r="B21" s="71"/>
      <c r="C21" s="51"/>
      <c r="D21" s="70" t="str">
        <f t="shared" si="5"/>
        <v/>
      </c>
      <c r="E21" s="30"/>
      <c r="F21" s="70" t="str">
        <f t="shared" si="6"/>
        <v/>
      </c>
      <c r="G21" s="30"/>
      <c r="H21" s="70" t="str">
        <f t="shared" si="7"/>
        <v/>
      </c>
      <c r="I21" s="30"/>
      <c r="J21" s="70" t="str">
        <f t="shared" si="8"/>
        <v/>
      </c>
      <c r="K21" s="30"/>
      <c r="L21" s="70" t="str">
        <f t="shared" si="9"/>
        <v/>
      </c>
    </row>
    <row r="22" spans="2:12" ht="22.5" customHeight="1">
      <c r="B22" s="72"/>
      <c r="C22" s="54"/>
      <c r="D22" s="73" t="str">
        <f t="shared" si="5"/>
        <v/>
      </c>
      <c r="E22" s="31"/>
      <c r="F22" s="73" t="str">
        <f t="shared" si="6"/>
        <v/>
      </c>
      <c r="G22" s="31"/>
      <c r="H22" s="73" t="str">
        <f t="shared" si="7"/>
        <v/>
      </c>
      <c r="I22" s="31"/>
      <c r="J22" s="73" t="str">
        <f t="shared" si="8"/>
        <v/>
      </c>
      <c r="K22" s="31"/>
      <c r="L22" s="73" t="str">
        <f t="shared" si="9"/>
        <v/>
      </c>
    </row>
    <row r="23" spans="2:12" ht="22.5" customHeight="1">
      <c r="B23" s="94" t="s">
        <v>108</v>
      </c>
      <c r="C23" s="95">
        <f>SUM(C15:C22)</f>
        <v>0</v>
      </c>
      <c r="D23" s="76" t="str">
        <f t="shared" si="5"/>
        <v/>
      </c>
      <c r="E23" s="75">
        <f>SUM(E15:E22)</f>
        <v>0</v>
      </c>
      <c r="F23" s="76" t="str">
        <f t="shared" si="6"/>
        <v/>
      </c>
      <c r="G23" s="75">
        <f>SUM(G15:G22)</f>
        <v>0</v>
      </c>
      <c r="H23" s="76" t="str">
        <f t="shared" si="7"/>
        <v/>
      </c>
      <c r="I23" s="75">
        <f>SUM(I15:I22)</f>
        <v>0</v>
      </c>
      <c r="J23" s="76" t="str">
        <f t="shared" si="8"/>
        <v/>
      </c>
      <c r="K23" s="75">
        <f>SUM(K15:K22)</f>
        <v>0</v>
      </c>
      <c r="L23" s="76" t="str">
        <f t="shared" si="9"/>
        <v/>
      </c>
    </row>
    <row r="24" spans="2:12" ht="22.5" customHeight="1">
      <c r="B24" s="93"/>
      <c r="C24" s="51"/>
      <c r="D24" s="70" t="str">
        <f t="shared" si="5"/>
        <v/>
      </c>
      <c r="E24" s="30"/>
      <c r="F24" s="70" t="str">
        <f t="shared" si="6"/>
        <v/>
      </c>
      <c r="G24" s="30"/>
      <c r="H24" s="70" t="str">
        <f t="shared" si="7"/>
        <v/>
      </c>
      <c r="I24" s="30"/>
      <c r="J24" s="70" t="str">
        <f t="shared" si="8"/>
        <v/>
      </c>
      <c r="K24" s="30"/>
      <c r="L24" s="70" t="str">
        <f t="shared" si="9"/>
        <v/>
      </c>
    </row>
    <row r="25" spans="2:12" ht="22.5" customHeight="1">
      <c r="B25" s="71"/>
      <c r="C25" s="51"/>
      <c r="D25" s="70"/>
      <c r="E25" s="30"/>
      <c r="F25" s="70"/>
      <c r="G25" s="30"/>
      <c r="H25" s="70"/>
      <c r="I25" s="30"/>
      <c r="J25" s="70"/>
      <c r="K25" s="30"/>
      <c r="L25" s="70"/>
    </row>
    <row r="26" spans="2:12" ht="22.5" customHeight="1">
      <c r="B26" s="71"/>
      <c r="C26" s="51"/>
      <c r="D26" s="70"/>
      <c r="E26" s="30"/>
      <c r="F26" s="70"/>
      <c r="G26" s="30"/>
      <c r="H26" s="70"/>
      <c r="I26" s="30"/>
      <c r="J26" s="70"/>
      <c r="K26" s="30"/>
      <c r="L26" s="70"/>
    </row>
    <row r="27" spans="2:12" ht="22.5" customHeight="1">
      <c r="B27" s="71"/>
      <c r="C27" s="51"/>
      <c r="D27" s="70"/>
      <c r="E27" s="30"/>
      <c r="F27" s="70"/>
      <c r="G27" s="30"/>
      <c r="H27" s="70"/>
      <c r="I27" s="30"/>
      <c r="J27" s="70"/>
      <c r="K27" s="30"/>
      <c r="L27" s="70"/>
    </row>
    <row r="28" spans="2:12" ht="22.5" customHeight="1">
      <c r="B28" s="71"/>
      <c r="C28" s="51"/>
      <c r="D28" s="70" t="str">
        <f t="shared" ref="D28:D36" si="10">IF(C28=0,"",C28/C$7)</f>
        <v/>
      </c>
      <c r="E28" s="30"/>
      <c r="F28" s="70" t="str">
        <f t="shared" ref="F28:F36" si="11">IF(E28=0,"",E28/E$7)</f>
        <v/>
      </c>
      <c r="G28" s="30"/>
      <c r="H28" s="70" t="str">
        <f t="shared" ref="H28:H36" si="12">IF(G28=0,"",G28/G$7)</f>
        <v/>
      </c>
      <c r="I28" s="30"/>
      <c r="J28" s="70" t="str">
        <f t="shared" ref="J28:J36" si="13">IF(I28=0,"",I28/I$7)</f>
        <v/>
      </c>
      <c r="K28" s="30"/>
      <c r="L28" s="70" t="str">
        <f t="shared" ref="L28:L36" si="14">IF(K28=0,"",K28/K$7)</f>
        <v/>
      </c>
    </row>
    <row r="29" spans="2:12" ht="22.5" customHeight="1">
      <c r="B29" s="71"/>
      <c r="C29" s="51"/>
      <c r="D29" s="70" t="str">
        <f t="shared" si="10"/>
        <v/>
      </c>
      <c r="E29" s="30"/>
      <c r="F29" s="70" t="str">
        <f t="shared" si="11"/>
        <v/>
      </c>
      <c r="G29" s="30"/>
      <c r="H29" s="70" t="str">
        <f t="shared" si="12"/>
        <v/>
      </c>
      <c r="I29" s="30"/>
      <c r="J29" s="70" t="str">
        <f t="shared" si="13"/>
        <v/>
      </c>
      <c r="K29" s="30"/>
      <c r="L29" s="70" t="str">
        <f t="shared" si="14"/>
        <v/>
      </c>
    </row>
    <row r="30" spans="2:12" ht="22.5" customHeight="1">
      <c r="B30" s="71"/>
      <c r="C30" s="51"/>
      <c r="D30" s="70" t="str">
        <f t="shared" si="10"/>
        <v/>
      </c>
      <c r="E30" s="30"/>
      <c r="F30" s="70" t="str">
        <f t="shared" si="11"/>
        <v/>
      </c>
      <c r="G30" s="30"/>
      <c r="H30" s="70" t="str">
        <f t="shared" si="12"/>
        <v/>
      </c>
      <c r="I30" s="30"/>
      <c r="J30" s="70" t="str">
        <f t="shared" si="13"/>
        <v/>
      </c>
      <c r="K30" s="30"/>
      <c r="L30" s="70" t="str">
        <f t="shared" si="14"/>
        <v/>
      </c>
    </row>
    <row r="31" spans="2:12" ht="22.5" customHeight="1">
      <c r="B31" s="71"/>
      <c r="C31" s="51"/>
      <c r="D31" s="70" t="str">
        <f t="shared" si="10"/>
        <v/>
      </c>
      <c r="E31" s="30"/>
      <c r="F31" s="70" t="str">
        <f t="shared" si="11"/>
        <v/>
      </c>
      <c r="G31" s="30"/>
      <c r="H31" s="70" t="str">
        <f t="shared" si="12"/>
        <v/>
      </c>
      <c r="I31" s="30"/>
      <c r="J31" s="70" t="str">
        <f t="shared" si="13"/>
        <v/>
      </c>
      <c r="K31" s="30"/>
      <c r="L31" s="70" t="str">
        <f t="shared" si="14"/>
        <v/>
      </c>
    </row>
    <row r="32" spans="2:12" ht="22.5" customHeight="1">
      <c r="B32" s="72"/>
      <c r="C32" s="54"/>
      <c r="D32" s="73" t="str">
        <f t="shared" si="10"/>
        <v/>
      </c>
      <c r="E32" s="31"/>
      <c r="F32" s="73" t="str">
        <f t="shared" si="11"/>
        <v/>
      </c>
      <c r="G32" s="31"/>
      <c r="H32" s="73" t="str">
        <f t="shared" si="12"/>
        <v/>
      </c>
      <c r="I32" s="31"/>
      <c r="J32" s="73" t="str">
        <f t="shared" si="13"/>
        <v/>
      </c>
      <c r="K32" s="31"/>
      <c r="L32" s="73" t="str">
        <f t="shared" si="14"/>
        <v/>
      </c>
    </row>
    <row r="33" spans="2:12" ht="22.5" customHeight="1">
      <c r="B33" s="94" t="s">
        <v>109</v>
      </c>
      <c r="C33" s="95">
        <f>SUM(C24:C32)</f>
        <v>0</v>
      </c>
      <c r="D33" s="76" t="str">
        <f t="shared" si="10"/>
        <v/>
      </c>
      <c r="E33" s="75">
        <f>SUM(E24:E32)</f>
        <v>0</v>
      </c>
      <c r="F33" s="76" t="str">
        <f t="shared" si="11"/>
        <v/>
      </c>
      <c r="G33" s="75">
        <f>SUM(G24:G32)</f>
        <v>0</v>
      </c>
      <c r="H33" s="76" t="str">
        <f t="shared" si="12"/>
        <v/>
      </c>
      <c r="I33" s="75">
        <f>SUM(I24:I32)</f>
        <v>0</v>
      </c>
      <c r="J33" s="76" t="str">
        <f t="shared" si="13"/>
        <v/>
      </c>
      <c r="K33" s="75">
        <f>SUM(K24:K32)</f>
        <v>0</v>
      </c>
      <c r="L33" s="76" t="str">
        <f t="shared" si="14"/>
        <v/>
      </c>
    </row>
    <row r="34" spans="2:12" ht="22.5" customHeight="1">
      <c r="B34" s="93"/>
      <c r="C34" s="51"/>
      <c r="D34" s="70" t="str">
        <f t="shared" si="10"/>
        <v/>
      </c>
      <c r="E34" s="30"/>
      <c r="F34" s="70" t="str">
        <f t="shared" si="11"/>
        <v/>
      </c>
      <c r="G34" s="30"/>
      <c r="H34" s="70" t="str">
        <f t="shared" si="12"/>
        <v/>
      </c>
      <c r="I34" s="30"/>
      <c r="J34" s="70" t="str">
        <f t="shared" si="13"/>
        <v/>
      </c>
      <c r="K34" s="30"/>
      <c r="L34" s="70" t="str">
        <f t="shared" si="14"/>
        <v/>
      </c>
    </row>
    <row r="35" spans="2:12" ht="22.5" customHeight="1">
      <c r="B35" s="71"/>
      <c r="C35" s="51"/>
      <c r="D35" s="70" t="str">
        <f t="shared" si="10"/>
        <v/>
      </c>
      <c r="E35" s="30"/>
      <c r="F35" s="70" t="str">
        <f t="shared" si="11"/>
        <v/>
      </c>
      <c r="G35" s="30"/>
      <c r="H35" s="70" t="str">
        <f t="shared" si="12"/>
        <v/>
      </c>
      <c r="I35" s="30"/>
      <c r="J35" s="70" t="str">
        <f t="shared" si="13"/>
        <v/>
      </c>
      <c r="K35" s="30"/>
      <c r="L35" s="70" t="str">
        <f t="shared" si="14"/>
        <v/>
      </c>
    </row>
    <row r="36" spans="2:12" ht="22.5" customHeight="1">
      <c r="B36" s="71"/>
      <c r="C36" s="51"/>
      <c r="D36" s="70" t="str">
        <f t="shared" si="10"/>
        <v/>
      </c>
      <c r="E36" s="30"/>
      <c r="F36" s="70" t="str">
        <f t="shared" si="11"/>
        <v/>
      </c>
      <c r="G36" s="30"/>
      <c r="H36" s="70" t="str">
        <f t="shared" si="12"/>
        <v/>
      </c>
      <c r="I36" s="30"/>
      <c r="J36" s="70" t="str">
        <f t="shared" si="13"/>
        <v/>
      </c>
      <c r="K36" s="30"/>
      <c r="L36" s="70" t="str">
        <f t="shared" si="14"/>
        <v/>
      </c>
    </row>
    <row r="37" spans="2:12" ht="22.5" customHeight="1">
      <c r="B37" s="71"/>
      <c r="C37" s="51"/>
      <c r="D37" s="70"/>
      <c r="E37" s="30"/>
      <c r="F37" s="70"/>
      <c r="G37" s="30"/>
      <c r="H37" s="70"/>
      <c r="I37" s="30"/>
      <c r="J37" s="70"/>
      <c r="K37" s="30"/>
      <c r="L37" s="70"/>
    </row>
    <row r="38" spans="2:12" ht="22.5" customHeight="1">
      <c r="B38" s="71"/>
      <c r="C38" s="51"/>
      <c r="D38" s="70"/>
      <c r="E38" s="30"/>
      <c r="F38" s="70"/>
      <c r="G38" s="30"/>
      <c r="H38" s="70"/>
      <c r="I38" s="30"/>
      <c r="J38" s="70"/>
      <c r="K38" s="30"/>
      <c r="L38" s="70"/>
    </row>
    <row r="39" spans="2:12" ht="22.5" customHeight="1">
      <c r="B39" s="71"/>
      <c r="C39" s="51"/>
      <c r="D39" s="70" t="str">
        <f t="shared" ref="D39:D51" si="15">IF(C39=0,"",C39/C$7)</f>
        <v/>
      </c>
      <c r="E39" s="30"/>
      <c r="F39" s="70" t="str">
        <f t="shared" ref="F39:F51" si="16">IF(E39=0,"",E39/E$7)</f>
        <v/>
      </c>
      <c r="G39" s="30"/>
      <c r="H39" s="70" t="str">
        <f t="shared" ref="H39:H51" si="17">IF(G39=0,"",G39/G$7)</f>
        <v/>
      </c>
      <c r="I39" s="30"/>
      <c r="J39" s="70" t="str">
        <f t="shared" ref="J39:J51" si="18">IF(I39=0,"",I39/I$7)</f>
        <v/>
      </c>
      <c r="K39" s="30"/>
      <c r="L39" s="70" t="str">
        <f t="shared" ref="L39:L51" si="19">IF(K39=0,"",K39/K$7)</f>
        <v/>
      </c>
    </row>
    <row r="40" spans="2:12" ht="22.5" customHeight="1">
      <c r="B40" s="71"/>
      <c r="C40" s="51"/>
      <c r="D40" s="70" t="str">
        <f t="shared" si="15"/>
        <v/>
      </c>
      <c r="E40" s="30"/>
      <c r="F40" s="70" t="str">
        <f t="shared" si="16"/>
        <v/>
      </c>
      <c r="G40" s="30"/>
      <c r="H40" s="70" t="str">
        <f t="shared" si="17"/>
        <v/>
      </c>
      <c r="I40" s="30"/>
      <c r="J40" s="70" t="str">
        <f t="shared" si="18"/>
        <v/>
      </c>
      <c r="K40" s="30"/>
      <c r="L40" s="70" t="str">
        <f t="shared" si="19"/>
        <v/>
      </c>
    </row>
    <row r="41" spans="2:12" ht="22.5" customHeight="1">
      <c r="B41" s="71"/>
      <c r="C41" s="51"/>
      <c r="D41" s="70" t="str">
        <f t="shared" si="15"/>
        <v/>
      </c>
      <c r="E41" s="30"/>
      <c r="F41" s="70" t="str">
        <f t="shared" si="16"/>
        <v/>
      </c>
      <c r="G41" s="30"/>
      <c r="H41" s="70" t="str">
        <f t="shared" si="17"/>
        <v/>
      </c>
      <c r="I41" s="30"/>
      <c r="J41" s="70" t="str">
        <f t="shared" si="18"/>
        <v/>
      </c>
      <c r="K41" s="30"/>
      <c r="L41" s="70" t="str">
        <f t="shared" si="19"/>
        <v/>
      </c>
    </row>
    <row r="42" spans="2:12" ht="22.5" customHeight="1">
      <c r="B42" s="71"/>
      <c r="C42" s="51"/>
      <c r="D42" s="70" t="str">
        <f t="shared" si="15"/>
        <v/>
      </c>
      <c r="E42" s="30"/>
      <c r="F42" s="70" t="str">
        <f t="shared" si="16"/>
        <v/>
      </c>
      <c r="G42" s="30"/>
      <c r="H42" s="70" t="str">
        <f t="shared" si="17"/>
        <v/>
      </c>
      <c r="I42" s="30"/>
      <c r="J42" s="70" t="str">
        <f t="shared" si="18"/>
        <v/>
      </c>
      <c r="K42" s="30"/>
      <c r="L42" s="70" t="str">
        <f t="shared" si="19"/>
        <v/>
      </c>
    </row>
    <row r="43" spans="2:12" ht="22.5" customHeight="1">
      <c r="B43" s="71"/>
      <c r="C43" s="51"/>
      <c r="D43" s="70" t="str">
        <f t="shared" si="15"/>
        <v/>
      </c>
      <c r="E43" s="30"/>
      <c r="F43" s="70" t="str">
        <f t="shared" si="16"/>
        <v/>
      </c>
      <c r="G43" s="30"/>
      <c r="H43" s="70" t="str">
        <f t="shared" si="17"/>
        <v/>
      </c>
      <c r="I43" s="30"/>
      <c r="J43" s="70" t="str">
        <f t="shared" si="18"/>
        <v/>
      </c>
      <c r="K43" s="30"/>
      <c r="L43" s="70" t="str">
        <f t="shared" si="19"/>
        <v/>
      </c>
    </row>
    <row r="44" spans="2:12" ht="22.5" customHeight="1">
      <c r="B44" s="71"/>
      <c r="C44" s="51"/>
      <c r="D44" s="70" t="str">
        <f t="shared" si="15"/>
        <v/>
      </c>
      <c r="E44" s="30"/>
      <c r="F44" s="70" t="str">
        <f t="shared" si="16"/>
        <v/>
      </c>
      <c r="G44" s="30"/>
      <c r="H44" s="70" t="str">
        <f t="shared" si="17"/>
        <v/>
      </c>
      <c r="I44" s="30"/>
      <c r="J44" s="70" t="str">
        <f t="shared" si="18"/>
        <v/>
      </c>
      <c r="K44" s="30"/>
      <c r="L44" s="70" t="str">
        <f t="shared" si="19"/>
        <v/>
      </c>
    </row>
    <row r="45" spans="2:12" ht="22.5" customHeight="1">
      <c r="B45" s="72"/>
      <c r="C45" s="54"/>
      <c r="D45" s="73" t="str">
        <f t="shared" si="15"/>
        <v/>
      </c>
      <c r="E45" s="31"/>
      <c r="F45" s="73" t="str">
        <f t="shared" si="16"/>
        <v/>
      </c>
      <c r="G45" s="31"/>
      <c r="H45" s="73" t="str">
        <f t="shared" si="17"/>
        <v/>
      </c>
      <c r="I45" s="31"/>
      <c r="J45" s="73" t="str">
        <f t="shared" si="18"/>
        <v/>
      </c>
      <c r="K45" s="31"/>
      <c r="L45" s="73" t="str">
        <f t="shared" si="19"/>
        <v/>
      </c>
    </row>
    <row r="46" spans="2:12" ht="22.5" customHeight="1">
      <c r="B46" s="94" t="s">
        <v>110</v>
      </c>
      <c r="C46" s="95">
        <f>SUM(C34:C45)</f>
        <v>0</v>
      </c>
      <c r="D46" s="76" t="str">
        <f t="shared" si="15"/>
        <v/>
      </c>
      <c r="E46" s="75">
        <f>SUM(E34:E45)</f>
        <v>0</v>
      </c>
      <c r="F46" s="76" t="str">
        <f t="shared" si="16"/>
        <v/>
      </c>
      <c r="G46" s="75">
        <f>SUM(G34:G45)</f>
        <v>0</v>
      </c>
      <c r="H46" s="76" t="str">
        <f t="shared" si="17"/>
        <v/>
      </c>
      <c r="I46" s="75">
        <f>SUM(I34:I45)</f>
        <v>0</v>
      </c>
      <c r="J46" s="76" t="str">
        <f t="shared" si="18"/>
        <v/>
      </c>
      <c r="K46" s="75">
        <f>SUM(K34:K45)</f>
        <v>0</v>
      </c>
      <c r="L46" s="76" t="str">
        <f t="shared" si="19"/>
        <v/>
      </c>
    </row>
    <row r="47" spans="2:12" ht="22.5" customHeight="1">
      <c r="B47" s="96" t="s">
        <v>111</v>
      </c>
      <c r="C47" s="95">
        <f>C14+C23+C33+C46</f>
        <v>0</v>
      </c>
      <c r="D47" s="76" t="str">
        <f t="shared" si="15"/>
        <v/>
      </c>
      <c r="E47" s="95">
        <f>E14+E23+E33+E46</f>
        <v>0</v>
      </c>
      <c r="F47" s="76" t="str">
        <f t="shared" si="16"/>
        <v/>
      </c>
      <c r="G47" s="95">
        <f>G14+G23+G33+G46</f>
        <v>0</v>
      </c>
      <c r="H47" s="76" t="str">
        <f t="shared" si="17"/>
        <v/>
      </c>
      <c r="I47" s="95">
        <f>I14+I23+I33+I46</f>
        <v>0</v>
      </c>
      <c r="J47" s="76" t="str">
        <f t="shared" si="18"/>
        <v/>
      </c>
      <c r="K47" s="95">
        <f>K14+K23+K33+K46</f>
        <v>0</v>
      </c>
      <c r="L47" s="76" t="str">
        <f t="shared" si="19"/>
        <v/>
      </c>
    </row>
    <row r="48" spans="2:12" ht="22.5" customHeight="1">
      <c r="B48" s="97" t="s">
        <v>112</v>
      </c>
      <c r="C48" s="54"/>
      <c r="D48" s="73" t="str">
        <f t="shared" si="15"/>
        <v/>
      </c>
      <c r="E48" s="31">
        <f>SUM(E36:E47)</f>
        <v>0</v>
      </c>
      <c r="F48" s="73" t="str">
        <f t="shared" si="16"/>
        <v/>
      </c>
      <c r="G48" s="31">
        <f>SUM(G36:G47)</f>
        <v>0</v>
      </c>
      <c r="H48" s="73" t="str">
        <f t="shared" si="17"/>
        <v/>
      </c>
      <c r="I48" s="31">
        <f>SUM(I36:I47)</f>
        <v>0</v>
      </c>
      <c r="J48" s="73" t="str">
        <f t="shared" si="18"/>
        <v/>
      </c>
      <c r="K48" s="31">
        <f>SUM(K36:K47)</f>
        <v>0</v>
      </c>
      <c r="L48" s="73" t="str">
        <f t="shared" si="19"/>
        <v/>
      </c>
    </row>
    <row r="49" spans="2:12" ht="22.5" customHeight="1">
      <c r="B49" s="74" t="s">
        <v>113</v>
      </c>
      <c r="C49" s="95">
        <f>SUM(C47:C48)</f>
        <v>0</v>
      </c>
      <c r="D49" s="76" t="str">
        <f t="shared" si="15"/>
        <v/>
      </c>
      <c r="E49" s="75">
        <f>SUM(E47:E48)</f>
        <v>0</v>
      </c>
      <c r="F49" s="76" t="str">
        <f t="shared" si="16"/>
        <v/>
      </c>
      <c r="G49" s="75">
        <f>SUM(G47:G48)</f>
        <v>0</v>
      </c>
      <c r="H49" s="76" t="str">
        <f t="shared" si="17"/>
        <v/>
      </c>
      <c r="I49" s="75">
        <f>SUM(I47:I48)</f>
        <v>0</v>
      </c>
      <c r="J49" s="76" t="str">
        <f t="shared" si="18"/>
        <v/>
      </c>
      <c r="K49" s="75">
        <f>SUM(K47:K48)</f>
        <v>0</v>
      </c>
      <c r="L49" s="76" t="str">
        <f t="shared" si="19"/>
        <v/>
      </c>
    </row>
    <row r="50" spans="2:12" ht="22.5" customHeight="1">
      <c r="B50" s="98" t="s">
        <v>114</v>
      </c>
      <c r="C50" s="99"/>
      <c r="D50" s="100" t="str">
        <f t="shared" si="15"/>
        <v/>
      </c>
      <c r="E50" s="101">
        <f>SUM(E40:E49)</f>
        <v>0</v>
      </c>
      <c r="F50" s="100" t="str">
        <f t="shared" si="16"/>
        <v/>
      </c>
      <c r="G50" s="101">
        <f>SUM(G40:G49)</f>
        <v>0</v>
      </c>
      <c r="H50" s="100" t="str">
        <f t="shared" si="17"/>
        <v/>
      </c>
      <c r="I50" s="101">
        <f>SUM(I40:I49)</f>
        <v>0</v>
      </c>
      <c r="J50" s="100" t="str">
        <f t="shared" si="18"/>
        <v/>
      </c>
      <c r="K50" s="101">
        <f>SUM(K40:K49)</f>
        <v>0</v>
      </c>
      <c r="L50" s="100" t="str">
        <f t="shared" si="19"/>
        <v/>
      </c>
    </row>
    <row r="51" spans="2:12" ht="22.5" customHeight="1">
      <c r="B51" s="74" t="s">
        <v>115</v>
      </c>
      <c r="C51" s="95">
        <f>C49-C50</f>
        <v>0</v>
      </c>
      <c r="D51" s="76" t="str">
        <f t="shared" si="15"/>
        <v/>
      </c>
      <c r="E51" s="75">
        <f>E49-E50</f>
        <v>0</v>
      </c>
      <c r="F51" s="76" t="str">
        <f t="shared" si="16"/>
        <v/>
      </c>
      <c r="G51" s="75">
        <f>G49-G50</f>
        <v>0</v>
      </c>
      <c r="H51" s="76" t="str">
        <f t="shared" si="17"/>
        <v/>
      </c>
      <c r="I51" s="75">
        <f>I49-I50</f>
        <v>0</v>
      </c>
      <c r="J51" s="76" t="str">
        <f t="shared" si="18"/>
        <v/>
      </c>
      <c r="K51" s="75">
        <f>K49-K50</f>
        <v>0</v>
      </c>
      <c r="L51" s="76" t="str">
        <f t="shared" si="19"/>
        <v/>
      </c>
    </row>
    <row r="52" spans="2:12" ht="18" customHeight="1">
      <c r="B52" s="38"/>
      <c r="C52" s="102"/>
      <c r="D52" s="103"/>
      <c r="E52" s="104"/>
      <c r="F52" s="103"/>
      <c r="G52" s="104"/>
      <c r="H52" s="103"/>
      <c r="I52" s="104"/>
      <c r="J52" s="103"/>
      <c r="K52" s="104"/>
      <c r="L52" s="103"/>
    </row>
    <row r="53" spans="2:12" ht="18" customHeight="1">
      <c r="B53" s="38"/>
      <c r="C53" s="102"/>
      <c r="D53" s="103"/>
      <c r="E53" s="104"/>
      <c r="F53" s="103"/>
      <c r="G53" s="104"/>
      <c r="H53" s="103"/>
      <c r="I53" s="104"/>
      <c r="J53" s="103"/>
      <c r="K53" s="104"/>
      <c r="L53" s="103"/>
    </row>
    <row r="54" spans="2:12" ht="18" customHeight="1">
      <c r="B54" s="38"/>
      <c r="C54" s="102"/>
      <c r="D54" s="103"/>
      <c r="E54" s="104"/>
      <c r="F54" s="103"/>
      <c r="G54" s="104"/>
      <c r="H54" s="103"/>
      <c r="I54" s="104"/>
      <c r="J54" s="103"/>
      <c r="K54" s="104"/>
      <c r="L54" s="103"/>
    </row>
    <row r="55" spans="2:12" ht="18" customHeight="1">
      <c r="B55" s="38"/>
      <c r="C55" s="102"/>
      <c r="D55" s="103"/>
      <c r="E55" s="104"/>
      <c r="F55" s="103"/>
      <c r="G55" s="104"/>
      <c r="H55" s="103"/>
      <c r="I55" s="104"/>
      <c r="J55" s="103"/>
      <c r="K55" s="104"/>
      <c r="L55" s="103"/>
    </row>
    <row r="56" spans="2:12" ht="18" customHeight="1">
      <c r="B56" s="38"/>
      <c r="C56" s="102"/>
      <c r="D56" s="103"/>
      <c r="E56" s="104"/>
      <c r="F56" s="103"/>
      <c r="G56" s="104"/>
      <c r="H56" s="103"/>
      <c r="I56" s="104"/>
      <c r="J56" s="103"/>
      <c r="K56" s="104"/>
      <c r="L56" s="103"/>
    </row>
    <row r="57" spans="2:12" ht="18" customHeight="1">
      <c r="B57" s="38"/>
      <c r="C57" s="102"/>
      <c r="D57" s="103"/>
      <c r="E57" s="104"/>
      <c r="F57" s="103"/>
      <c r="G57" s="104"/>
      <c r="H57" s="103"/>
      <c r="I57" s="104"/>
      <c r="J57" s="103"/>
      <c r="K57" s="104"/>
      <c r="L57" s="103"/>
    </row>
    <row r="58" spans="2:12" ht="18" customHeight="1">
      <c r="B58" s="38"/>
      <c r="C58" s="102"/>
      <c r="D58" s="103"/>
      <c r="E58" s="104"/>
      <c r="F58" s="103"/>
      <c r="G58" s="104"/>
      <c r="H58" s="103"/>
      <c r="I58" s="104"/>
      <c r="J58" s="103"/>
      <c r="K58" s="104"/>
      <c r="L58" s="103"/>
    </row>
    <row r="59" spans="2:12" ht="18" customHeight="1">
      <c r="B59" s="38"/>
      <c r="C59" s="102"/>
      <c r="D59" s="103"/>
      <c r="E59" s="104"/>
      <c r="F59" s="103"/>
      <c r="G59" s="104"/>
      <c r="H59" s="103"/>
      <c r="I59" s="104"/>
      <c r="J59" s="103"/>
      <c r="K59" s="104"/>
      <c r="L59" s="103"/>
    </row>
    <row r="60" spans="2:12" ht="18" customHeight="1">
      <c r="C60" s="35"/>
      <c r="E60" s="35"/>
      <c r="G60" s="35"/>
      <c r="I60" s="66"/>
      <c r="K60" s="35"/>
    </row>
    <row r="61" spans="2:12" ht="18" customHeight="1">
      <c r="C61" s="35"/>
      <c r="E61" s="35"/>
      <c r="G61" s="35"/>
      <c r="I61" s="66"/>
      <c r="K61" s="35"/>
    </row>
    <row r="62" spans="2:12" ht="18" customHeight="1">
      <c r="C62" s="35"/>
      <c r="E62" s="35"/>
      <c r="G62" s="35"/>
      <c r="I62" s="66"/>
      <c r="K62" s="35"/>
    </row>
  </sheetData>
  <mergeCells count="6">
    <mergeCell ref="K5:L5"/>
    <mergeCell ref="B5:B6"/>
    <mergeCell ref="C5:D5"/>
    <mergeCell ref="E5:F5"/>
    <mergeCell ref="G5:H5"/>
    <mergeCell ref="I5:J5"/>
  </mergeCells>
  <phoneticPr fontId="60"/>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N54"/>
  <sheetViews>
    <sheetView showGridLines="0" zoomScale="70" zoomScaleNormal="70" workbookViewId="0">
      <pane ySplit="4" topLeftCell="A7" activePane="bottomLeft" state="frozen"/>
      <selection pane="bottomLeft" activeCell="H40" sqref="B2:H40"/>
    </sheetView>
  </sheetViews>
  <sheetFormatPr defaultColWidth="8.5" defaultRowHeight="18"/>
  <cols>
    <col min="1" max="1" width="8.5" style="242"/>
    <col min="2" max="2" width="28" style="390" customWidth="1"/>
    <col min="3" max="7" width="15" style="391" customWidth="1"/>
    <col min="8" max="8" width="15" style="444" customWidth="1"/>
    <col min="9" max="9" width="15" style="444" hidden="1" customWidth="1"/>
    <col min="10" max="12" width="15" style="391" hidden="1" customWidth="1"/>
    <col min="13" max="13" width="16.1640625" style="391" customWidth="1"/>
    <col min="14" max="14" width="8.75" style="391" customWidth="1"/>
    <col min="15" max="16384" width="8.5" style="242"/>
  </cols>
  <sheetData>
    <row r="2" spans="2:13" ht="18.75" customHeight="1">
      <c r="B2" s="242"/>
      <c r="C2" s="444"/>
      <c r="D2" s="479"/>
      <c r="G2" s="444"/>
      <c r="H2" s="39" t="s">
        <v>527</v>
      </c>
      <c r="I2" s="242"/>
      <c r="K2" s="444"/>
      <c r="L2" s="479"/>
    </row>
    <row r="3" spans="2:13" ht="19.5" customHeight="1">
      <c r="B3" s="633" t="s">
        <v>6</v>
      </c>
      <c r="C3" s="626" t="str">
        <f>'BS(借方)'!C4</f>
        <v>24年1月期</v>
      </c>
      <c r="D3" s="626"/>
      <c r="E3" s="627" t="str">
        <f>'BS(借方)'!D4</f>
        <v>25年1月期</v>
      </c>
      <c r="F3" s="627"/>
      <c r="G3" s="621" t="str">
        <f>'BS(借方)'!E4</f>
        <v>26年1月期</v>
      </c>
      <c r="H3" s="621"/>
      <c r="I3" s="628" t="str">
        <f>'BS(借方)'!F4</f>
        <v>●●年●月期</v>
      </c>
      <c r="J3" s="628"/>
      <c r="K3" s="632" t="str">
        <f>'BS(借方)'!G4</f>
        <v>●●年●月
（●か月TB）</v>
      </c>
      <c r="L3" s="632"/>
    </row>
    <row r="4" spans="2:13" ht="19.5" customHeight="1">
      <c r="B4" s="633"/>
      <c r="C4" s="25" t="s">
        <v>66</v>
      </c>
      <c r="D4" s="480" t="s">
        <v>67</v>
      </c>
      <c r="E4" s="25" t="s">
        <v>66</v>
      </c>
      <c r="F4" s="25" t="s">
        <v>67</v>
      </c>
      <c r="G4" s="25" t="s">
        <v>66</v>
      </c>
      <c r="H4" s="480" t="s">
        <v>67</v>
      </c>
      <c r="I4" s="25" t="s">
        <v>66</v>
      </c>
      <c r="J4" s="480" t="s">
        <v>67</v>
      </c>
      <c r="K4" s="481" t="s">
        <v>66</v>
      </c>
      <c r="L4" s="482" t="s">
        <v>67</v>
      </c>
    </row>
    <row r="5" spans="2:13" ht="22.5" hidden="1" customHeight="1">
      <c r="B5" s="483" t="s">
        <v>105</v>
      </c>
      <c r="C5" s="484">
        <f>PL!C11</f>
        <v>316755490</v>
      </c>
      <c r="D5" s="485" t="s">
        <v>106</v>
      </c>
      <c r="E5" s="486">
        <f>PL!E11</f>
        <v>443868051</v>
      </c>
      <c r="F5" s="485" t="s">
        <v>106</v>
      </c>
      <c r="G5" s="486">
        <f>PL!G11</f>
        <v>422474507</v>
      </c>
      <c r="H5" s="485" t="s">
        <v>106</v>
      </c>
      <c r="I5" s="486">
        <f>PL!I11</f>
        <v>0</v>
      </c>
      <c r="J5" s="485" t="s">
        <v>106</v>
      </c>
      <c r="K5" s="486">
        <f>PL!K11</f>
        <v>0</v>
      </c>
      <c r="L5" s="485" t="s">
        <v>106</v>
      </c>
      <c r="M5" s="487" t="s">
        <v>529</v>
      </c>
    </row>
    <row r="6" spans="2:13" ht="22.5" customHeight="1">
      <c r="B6" s="93" t="s">
        <v>116</v>
      </c>
      <c r="C6" s="458">
        <v>1104000</v>
      </c>
      <c r="D6" s="488">
        <f t="shared" ref="D6:D39" si="0">IFERROR(C6/$C$5,"")</f>
        <v>3.485338170460755E-3</v>
      </c>
      <c r="E6" s="402">
        <v>1104000</v>
      </c>
      <c r="F6" s="488">
        <f t="shared" ref="F6:F39" si="1">IFERROR(E6/$E$5,"")</f>
        <v>2.4872256462540486E-3</v>
      </c>
      <c r="G6" s="402">
        <v>4094000</v>
      </c>
      <c r="H6" s="488">
        <f t="shared" ref="H6:H39" si="2">IFERROR(G6/$G$5,"")</f>
        <v>9.690525539804937E-3</v>
      </c>
      <c r="I6" s="402"/>
      <c r="J6" s="488" t="str">
        <f t="shared" ref="J6:J39" si="3">IFERROR(I6/$I$5,"")</f>
        <v/>
      </c>
      <c r="K6" s="402"/>
      <c r="L6" s="488" t="str">
        <f t="shared" ref="L6:L39" si="4">IFERROR(K6/$K$5,"")</f>
        <v/>
      </c>
    </row>
    <row r="7" spans="2:13" ht="22.5" customHeight="1">
      <c r="B7" s="489" t="s">
        <v>117</v>
      </c>
      <c r="C7" s="458">
        <v>18000000</v>
      </c>
      <c r="D7" s="488">
        <f t="shared" si="0"/>
        <v>5.6826165822729702E-2</v>
      </c>
      <c r="E7" s="402">
        <v>20000000</v>
      </c>
      <c r="F7" s="488">
        <f t="shared" si="1"/>
        <v>4.505843562054436E-2</v>
      </c>
      <c r="G7" s="402">
        <v>20000000</v>
      </c>
      <c r="H7" s="488">
        <f t="shared" si="2"/>
        <v>4.7340134537395884E-2</v>
      </c>
      <c r="I7" s="402"/>
      <c r="J7" s="488" t="str">
        <f t="shared" si="3"/>
        <v/>
      </c>
      <c r="K7" s="402"/>
      <c r="L7" s="488" t="str">
        <f t="shared" si="4"/>
        <v/>
      </c>
    </row>
    <row r="8" spans="2:13" ht="22.5" customHeight="1">
      <c r="B8" s="489" t="s">
        <v>118</v>
      </c>
      <c r="C8" s="458">
        <v>33649484</v>
      </c>
      <c r="D8" s="488">
        <f t="shared" si="0"/>
        <v>0.10623173097962722</v>
      </c>
      <c r="E8" s="402">
        <v>29811105</v>
      </c>
      <c r="F8" s="488">
        <f t="shared" si="1"/>
        <v>6.7162087770989407E-2</v>
      </c>
      <c r="G8" s="402">
        <v>27938525</v>
      </c>
      <c r="H8" s="488">
        <f t="shared" si="2"/>
        <v>6.6130676613819925E-2</v>
      </c>
      <c r="I8" s="402"/>
      <c r="J8" s="488" t="str">
        <f t="shared" si="3"/>
        <v/>
      </c>
      <c r="K8" s="402"/>
      <c r="L8" s="488" t="str">
        <f t="shared" si="4"/>
        <v/>
      </c>
    </row>
    <row r="9" spans="2:13" ht="22.5" customHeight="1">
      <c r="B9" s="489" t="s">
        <v>119</v>
      </c>
      <c r="C9" s="458">
        <v>2538750</v>
      </c>
      <c r="D9" s="488">
        <f t="shared" si="0"/>
        <v>8.0148571379141682E-3</v>
      </c>
      <c r="E9" s="402">
        <v>6544740</v>
      </c>
      <c r="F9" s="488">
        <f t="shared" si="1"/>
        <v>1.4744787297160075E-2</v>
      </c>
      <c r="G9" s="402">
        <v>299000</v>
      </c>
      <c r="H9" s="488">
        <f t="shared" si="2"/>
        <v>7.0773501133406848E-4</v>
      </c>
      <c r="I9" s="402"/>
      <c r="J9" s="488" t="str">
        <f t="shared" si="3"/>
        <v/>
      </c>
      <c r="K9" s="402"/>
      <c r="L9" s="488" t="str">
        <f t="shared" si="4"/>
        <v/>
      </c>
    </row>
    <row r="10" spans="2:13" ht="22.5" customHeight="1">
      <c r="B10" s="489" t="s">
        <v>120</v>
      </c>
      <c r="C10" s="458">
        <v>4064600</v>
      </c>
      <c r="D10" s="488">
        <f t="shared" si="0"/>
        <v>1.2831979644614841E-2</v>
      </c>
      <c r="E10" s="402"/>
      <c r="F10" s="488">
        <f t="shared" si="1"/>
        <v>0</v>
      </c>
      <c r="G10" s="402">
        <v>6079177</v>
      </c>
      <c r="H10" s="488">
        <f t="shared" si="2"/>
        <v>1.4389452852832135E-2</v>
      </c>
      <c r="I10" s="402"/>
      <c r="J10" s="488" t="str">
        <f t="shared" si="3"/>
        <v/>
      </c>
      <c r="K10" s="402"/>
      <c r="L10" s="488" t="str">
        <f t="shared" si="4"/>
        <v/>
      </c>
    </row>
    <row r="11" spans="2:13" ht="22.5" customHeight="1">
      <c r="B11" s="489" t="s">
        <v>121</v>
      </c>
      <c r="C11" s="458">
        <v>6407318</v>
      </c>
      <c r="D11" s="488">
        <f t="shared" si="0"/>
        <v>2.0227961952608935E-2</v>
      </c>
      <c r="E11" s="402">
        <v>6394777</v>
      </c>
      <c r="F11" s="488">
        <f t="shared" si="1"/>
        <v>1.4406932388111889E-2</v>
      </c>
      <c r="G11" s="402">
        <v>6366731</v>
      </c>
      <c r="H11" s="488">
        <f t="shared" si="2"/>
        <v>1.5070095105170453E-2</v>
      </c>
      <c r="I11" s="402"/>
      <c r="J11" s="488" t="str">
        <f t="shared" si="3"/>
        <v/>
      </c>
      <c r="K11" s="402"/>
      <c r="L11" s="488" t="str">
        <f t="shared" si="4"/>
        <v/>
      </c>
    </row>
    <row r="12" spans="2:13" ht="22.5" customHeight="1">
      <c r="B12" s="489" t="s">
        <v>122</v>
      </c>
      <c r="C12" s="458">
        <v>1932474</v>
      </c>
      <c r="D12" s="488">
        <f t="shared" si="0"/>
        <v>6.1008382206729867E-3</v>
      </c>
      <c r="E12" s="402">
        <v>422087</v>
      </c>
      <c r="F12" s="488">
        <f t="shared" si="1"/>
        <v>9.509289957884353E-4</v>
      </c>
      <c r="G12" s="402">
        <v>705804</v>
      </c>
      <c r="H12" s="488">
        <f t="shared" si="2"/>
        <v>1.6706428158516082E-3</v>
      </c>
      <c r="I12" s="402"/>
      <c r="J12" s="488" t="str">
        <f t="shared" si="3"/>
        <v/>
      </c>
      <c r="K12" s="402"/>
      <c r="L12" s="488" t="str">
        <f t="shared" si="4"/>
        <v/>
      </c>
    </row>
    <row r="13" spans="2:13" ht="22.5" customHeight="1">
      <c r="B13" s="489" t="s">
        <v>123</v>
      </c>
      <c r="C13" s="458">
        <v>280000</v>
      </c>
      <c r="D13" s="488">
        <f t="shared" si="0"/>
        <v>8.8396257946468421E-4</v>
      </c>
      <c r="E13" s="402">
        <v>1480000</v>
      </c>
      <c r="F13" s="488">
        <f t="shared" si="1"/>
        <v>3.3343242359202825E-3</v>
      </c>
      <c r="G13" s="402"/>
      <c r="H13" s="488">
        <f t="shared" si="2"/>
        <v>0</v>
      </c>
      <c r="I13" s="402"/>
      <c r="J13" s="488" t="str">
        <f t="shared" si="3"/>
        <v/>
      </c>
      <c r="K13" s="402"/>
      <c r="L13" s="488" t="str">
        <f t="shared" si="4"/>
        <v/>
      </c>
    </row>
    <row r="14" spans="2:13" ht="22.5" customHeight="1">
      <c r="B14" s="489" t="s">
        <v>124</v>
      </c>
      <c r="C14" s="458">
        <v>9235586</v>
      </c>
      <c r="D14" s="488">
        <f t="shared" si="0"/>
        <v>2.9156830083671162E-2</v>
      </c>
      <c r="E14" s="402">
        <v>13487346</v>
      </c>
      <c r="F14" s="488">
        <f t="shared" si="1"/>
        <v>3.0385935571650324E-2</v>
      </c>
      <c r="G14" s="402">
        <v>7104880</v>
      </c>
      <c r="H14" s="488">
        <f t="shared" si="2"/>
        <v>1.6817298753602664E-2</v>
      </c>
      <c r="I14" s="402"/>
      <c r="J14" s="488" t="str">
        <f t="shared" si="3"/>
        <v/>
      </c>
      <c r="K14" s="402"/>
      <c r="L14" s="488" t="str">
        <f t="shared" si="4"/>
        <v/>
      </c>
    </row>
    <row r="15" spans="2:13" ht="22.5" customHeight="1">
      <c r="B15" s="489" t="s">
        <v>125</v>
      </c>
      <c r="C15" s="458">
        <v>152187</v>
      </c>
      <c r="D15" s="488">
        <f t="shared" si="0"/>
        <v>4.8045576100354254E-4</v>
      </c>
      <c r="E15" s="402">
        <v>142619</v>
      </c>
      <c r="F15" s="488">
        <f t="shared" si="1"/>
        <v>3.2130945148832078E-4</v>
      </c>
      <c r="G15" s="402">
        <v>841073</v>
      </c>
      <c r="H15" s="488">
        <f t="shared" si="2"/>
        <v>1.9908254487885583E-3</v>
      </c>
      <c r="I15" s="402"/>
      <c r="J15" s="488" t="str">
        <f t="shared" si="3"/>
        <v/>
      </c>
      <c r="K15" s="402"/>
      <c r="L15" s="488" t="str">
        <f t="shared" si="4"/>
        <v/>
      </c>
    </row>
    <row r="16" spans="2:13" ht="22.5" customHeight="1">
      <c r="B16" s="489" t="s">
        <v>126</v>
      </c>
      <c r="C16" s="458">
        <v>1440144</v>
      </c>
      <c r="D16" s="488">
        <f t="shared" si="0"/>
        <v>4.546547875144958E-3</v>
      </c>
      <c r="E16" s="402">
        <v>1738203</v>
      </c>
      <c r="F16" s="488">
        <f t="shared" si="1"/>
        <v>3.9160353985468535E-3</v>
      </c>
      <c r="G16" s="402">
        <v>2336230</v>
      </c>
      <c r="H16" s="488">
        <f t="shared" si="2"/>
        <v>5.5298721255150193E-3</v>
      </c>
      <c r="I16" s="402"/>
      <c r="J16" s="488" t="str">
        <f t="shared" si="3"/>
        <v/>
      </c>
      <c r="K16" s="402"/>
      <c r="L16" s="488" t="str">
        <f t="shared" si="4"/>
        <v/>
      </c>
    </row>
    <row r="17" spans="2:12" ht="22.5" customHeight="1">
      <c r="B17" s="489" t="s">
        <v>127</v>
      </c>
      <c r="C17" s="458">
        <v>211518</v>
      </c>
      <c r="D17" s="488">
        <f t="shared" si="0"/>
        <v>6.6776427458289673E-4</v>
      </c>
      <c r="E17" s="402">
        <v>214892</v>
      </c>
      <c r="F17" s="488">
        <f t="shared" si="1"/>
        <v>4.8413486736850091E-4</v>
      </c>
      <c r="G17" s="402">
        <v>284369</v>
      </c>
      <c r="H17" s="488">
        <f t="shared" si="2"/>
        <v>6.7310333591323655E-4</v>
      </c>
      <c r="I17" s="402"/>
      <c r="J17" s="488" t="str">
        <f t="shared" si="3"/>
        <v/>
      </c>
      <c r="K17" s="402"/>
      <c r="L17" s="488" t="str">
        <f t="shared" si="4"/>
        <v/>
      </c>
    </row>
    <row r="18" spans="2:12" ht="22.5" customHeight="1">
      <c r="B18" s="489" t="s">
        <v>128</v>
      </c>
      <c r="C18" s="458">
        <v>645511</v>
      </c>
      <c r="D18" s="488">
        <f t="shared" si="0"/>
        <v>2.0378841736886709E-3</v>
      </c>
      <c r="E18" s="402">
        <v>2129949</v>
      </c>
      <c r="F18" s="488">
        <f t="shared" si="1"/>
        <v>4.7986084945771416E-3</v>
      </c>
      <c r="G18" s="402">
        <v>1018914</v>
      </c>
      <c r="H18" s="488">
        <f t="shared" si="2"/>
        <v>2.4117762921018098E-3</v>
      </c>
      <c r="I18" s="402"/>
      <c r="J18" s="488" t="str">
        <f t="shared" si="3"/>
        <v/>
      </c>
      <c r="K18" s="402"/>
      <c r="L18" s="488" t="str">
        <f t="shared" si="4"/>
        <v/>
      </c>
    </row>
    <row r="19" spans="2:12" ht="22.5" customHeight="1">
      <c r="B19" s="489" t="s">
        <v>129</v>
      </c>
      <c r="C19" s="458">
        <v>1416425</v>
      </c>
      <c r="D19" s="488">
        <f t="shared" si="0"/>
        <v>4.4716667736366626E-3</v>
      </c>
      <c r="E19" s="402">
        <v>1506325</v>
      </c>
      <c r="F19" s="488">
        <f t="shared" si="1"/>
        <v>3.393632401805824E-3</v>
      </c>
      <c r="G19" s="402">
        <v>1506831</v>
      </c>
      <c r="H19" s="488">
        <f t="shared" si="2"/>
        <v>3.566679113255939E-3</v>
      </c>
      <c r="I19" s="402"/>
      <c r="J19" s="488" t="str">
        <f t="shared" si="3"/>
        <v/>
      </c>
      <c r="K19" s="402"/>
      <c r="L19" s="488" t="str">
        <f t="shared" si="4"/>
        <v/>
      </c>
    </row>
    <row r="20" spans="2:12" ht="22.5" customHeight="1">
      <c r="B20" s="489" t="s">
        <v>130</v>
      </c>
      <c r="C20" s="458">
        <v>65128</v>
      </c>
      <c r="D20" s="488">
        <f t="shared" si="0"/>
        <v>2.0560969598348557E-4</v>
      </c>
      <c r="E20" s="402"/>
      <c r="F20" s="488">
        <f t="shared" si="1"/>
        <v>0</v>
      </c>
      <c r="G20" s="402"/>
      <c r="H20" s="488">
        <f t="shared" si="2"/>
        <v>0</v>
      </c>
      <c r="I20" s="402"/>
      <c r="J20" s="488" t="str">
        <f t="shared" si="3"/>
        <v/>
      </c>
      <c r="K20" s="402"/>
      <c r="L20" s="488" t="str">
        <f t="shared" si="4"/>
        <v/>
      </c>
    </row>
    <row r="21" spans="2:12" ht="22.5" customHeight="1">
      <c r="B21" s="489" t="s">
        <v>131</v>
      </c>
      <c r="C21" s="458">
        <v>1145535</v>
      </c>
      <c r="D21" s="488">
        <f t="shared" si="0"/>
        <v>3.6164645480967037E-3</v>
      </c>
      <c r="E21" s="402">
        <v>1700793</v>
      </c>
      <c r="F21" s="488">
        <f t="shared" si="1"/>
        <v>3.8317535947186248E-3</v>
      </c>
      <c r="G21" s="402">
        <v>1195194</v>
      </c>
      <c r="H21" s="488">
        <f t="shared" si="2"/>
        <v>2.8290322379144169E-3</v>
      </c>
      <c r="I21" s="402"/>
      <c r="J21" s="488" t="str">
        <f t="shared" si="3"/>
        <v/>
      </c>
      <c r="K21" s="402"/>
      <c r="L21" s="488" t="str">
        <f t="shared" si="4"/>
        <v/>
      </c>
    </row>
    <row r="22" spans="2:12" ht="22.5" customHeight="1">
      <c r="B22" s="489" t="s">
        <v>132</v>
      </c>
      <c r="C22" s="458">
        <v>44900</v>
      </c>
      <c r="D22" s="488">
        <f t="shared" si="0"/>
        <v>1.4174971363558686E-4</v>
      </c>
      <c r="E22" s="402">
        <v>190064</v>
      </c>
      <c r="F22" s="488">
        <f t="shared" si="1"/>
        <v>4.2819932538915717E-4</v>
      </c>
      <c r="G22" s="402"/>
      <c r="H22" s="488">
        <f t="shared" si="2"/>
        <v>0</v>
      </c>
      <c r="I22" s="402"/>
      <c r="J22" s="488" t="str">
        <f t="shared" si="3"/>
        <v/>
      </c>
      <c r="K22" s="402"/>
      <c r="L22" s="488" t="str">
        <f t="shared" si="4"/>
        <v/>
      </c>
    </row>
    <row r="23" spans="2:12" ht="22.5" customHeight="1">
      <c r="B23" s="489" t="s">
        <v>133</v>
      </c>
      <c r="C23" s="458">
        <v>394299</v>
      </c>
      <c r="D23" s="488">
        <f t="shared" si="0"/>
        <v>1.2448055754298055E-3</v>
      </c>
      <c r="E23" s="402">
        <v>403021</v>
      </c>
      <c r="F23" s="488">
        <f t="shared" si="1"/>
        <v>9.0797478911137041E-4</v>
      </c>
      <c r="G23" s="402">
        <v>412583</v>
      </c>
      <c r="H23" s="488">
        <f t="shared" si="2"/>
        <v>9.7658673639212045E-4</v>
      </c>
      <c r="I23" s="402"/>
      <c r="J23" s="488" t="str">
        <f t="shared" si="3"/>
        <v/>
      </c>
      <c r="K23" s="402"/>
      <c r="L23" s="488" t="str">
        <f t="shared" si="4"/>
        <v/>
      </c>
    </row>
    <row r="24" spans="2:12" ht="22.5" customHeight="1">
      <c r="B24" s="489" t="s">
        <v>134</v>
      </c>
      <c r="C24" s="458">
        <v>57450</v>
      </c>
      <c r="D24" s="488">
        <f t="shared" si="0"/>
        <v>1.8137017925087896E-4</v>
      </c>
      <c r="E24" s="402">
        <v>36000</v>
      </c>
      <c r="F24" s="488">
        <f t="shared" si="1"/>
        <v>8.1105184116979845E-5</v>
      </c>
      <c r="G24" s="402">
        <v>48000</v>
      </c>
      <c r="H24" s="488">
        <f t="shared" si="2"/>
        <v>1.1361632288975013E-4</v>
      </c>
      <c r="I24" s="402"/>
      <c r="J24" s="488" t="str">
        <f t="shared" si="3"/>
        <v/>
      </c>
      <c r="K24" s="402"/>
      <c r="L24" s="488" t="str">
        <f t="shared" si="4"/>
        <v/>
      </c>
    </row>
    <row r="25" spans="2:12" ht="22.5" customHeight="1">
      <c r="B25" s="489" t="s">
        <v>135</v>
      </c>
      <c r="C25" s="458">
        <v>3167934</v>
      </c>
      <c r="D25" s="488">
        <f t="shared" si="0"/>
        <v>1.0001196822192412E-2</v>
      </c>
      <c r="E25" s="402">
        <v>3674031</v>
      </c>
      <c r="F25" s="488">
        <f t="shared" si="1"/>
        <v>8.2773044640692111E-3</v>
      </c>
      <c r="G25" s="402">
        <v>1179313</v>
      </c>
      <c r="H25" s="488">
        <f t="shared" si="2"/>
        <v>2.7914418040849978E-3</v>
      </c>
      <c r="I25" s="402"/>
      <c r="J25" s="488" t="str">
        <f t="shared" si="3"/>
        <v/>
      </c>
      <c r="K25" s="402"/>
      <c r="L25" s="488" t="str">
        <f t="shared" si="4"/>
        <v/>
      </c>
    </row>
    <row r="26" spans="2:12" ht="22.5" customHeight="1">
      <c r="B26" s="489" t="s">
        <v>136</v>
      </c>
      <c r="C26" s="458">
        <v>650214</v>
      </c>
      <c r="D26" s="488">
        <f t="shared" si="0"/>
        <v>2.0527315880144652E-3</v>
      </c>
      <c r="E26" s="402">
        <v>478916</v>
      </c>
      <c r="F26" s="488">
        <f t="shared" si="1"/>
        <v>1.0789602876824312E-3</v>
      </c>
      <c r="G26" s="402">
        <v>716759</v>
      </c>
      <c r="H26" s="488">
        <f t="shared" si="2"/>
        <v>1.6965733745444669E-3</v>
      </c>
      <c r="I26" s="402"/>
      <c r="J26" s="488" t="str">
        <f t="shared" si="3"/>
        <v/>
      </c>
      <c r="K26" s="402"/>
      <c r="L26" s="488" t="str">
        <f t="shared" si="4"/>
        <v/>
      </c>
    </row>
    <row r="27" spans="2:12" ht="22.5" customHeight="1">
      <c r="B27" s="489" t="s">
        <v>137</v>
      </c>
      <c r="C27" s="458">
        <v>5430000</v>
      </c>
      <c r="D27" s="488">
        <f t="shared" si="0"/>
        <v>1.7142560023190128E-2</v>
      </c>
      <c r="E27" s="402">
        <v>5430000</v>
      </c>
      <c r="F27" s="488">
        <f t="shared" si="1"/>
        <v>1.2233365270977794E-2</v>
      </c>
      <c r="G27" s="402">
        <v>5500911</v>
      </c>
      <c r="H27" s="488">
        <f t="shared" si="2"/>
        <v>1.3020693340912047E-2</v>
      </c>
      <c r="I27" s="402"/>
      <c r="J27" s="488" t="str">
        <f t="shared" si="3"/>
        <v/>
      </c>
      <c r="K27" s="402"/>
      <c r="L27" s="488" t="str">
        <f t="shared" si="4"/>
        <v/>
      </c>
    </row>
    <row r="28" spans="2:12" ht="22.5" customHeight="1">
      <c r="B28" s="489" t="s">
        <v>138</v>
      </c>
      <c r="C28" s="458">
        <v>131200</v>
      </c>
      <c r="D28" s="488">
        <f t="shared" si="0"/>
        <v>4.1419960866345207E-4</v>
      </c>
      <c r="E28" s="402">
        <v>160920</v>
      </c>
      <c r="F28" s="488">
        <f t="shared" si="1"/>
        <v>3.6254017300289988E-4</v>
      </c>
      <c r="G28" s="402">
        <v>147510</v>
      </c>
      <c r="H28" s="488">
        <f t="shared" si="2"/>
        <v>3.4915716228056334E-4</v>
      </c>
      <c r="I28" s="402"/>
      <c r="J28" s="488" t="str">
        <f t="shared" si="3"/>
        <v/>
      </c>
      <c r="K28" s="402"/>
      <c r="L28" s="488" t="str">
        <f t="shared" si="4"/>
        <v/>
      </c>
    </row>
    <row r="29" spans="2:12" ht="22.5" customHeight="1">
      <c r="B29" s="489" t="s">
        <v>139</v>
      </c>
      <c r="C29" s="458">
        <v>709690</v>
      </c>
      <c r="D29" s="488">
        <f t="shared" si="0"/>
        <v>2.2404978679296133E-3</v>
      </c>
      <c r="E29" s="402">
        <v>1090090</v>
      </c>
      <c r="F29" s="488">
        <f t="shared" si="1"/>
        <v>2.4558875042799602E-3</v>
      </c>
      <c r="G29" s="402">
        <v>735330</v>
      </c>
      <c r="H29" s="488">
        <f t="shared" si="2"/>
        <v>1.7405310564691657E-3</v>
      </c>
      <c r="I29" s="402"/>
      <c r="J29" s="488" t="str">
        <f t="shared" si="3"/>
        <v/>
      </c>
      <c r="K29" s="402"/>
      <c r="L29" s="488" t="str">
        <f t="shared" si="4"/>
        <v/>
      </c>
    </row>
    <row r="30" spans="2:12" ht="22.5" customHeight="1">
      <c r="B30" s="489" t="s">
        <v>140</v>
      </c>
      <c r="C30" s="458">
        <v>234840</v>
      </c>
      <c r="D30" s="488">
        <f t="shared" si="0"/>
        <v>7.413920434338802E-4</v>
      </c>
      <c r="E30" s="402">
        <v>175360</v>
      </c>
      <c r="F30" s="488">
        <f t="shared" si="1"/>
        <v>3.9507236352093292E-4</v>
      </c>
      <c r="G30" s="402">
        <v>269084</v>
      </c>
      <c r="H30" s="488">
        <f t="shared" si="2"/>
        <v>6.3692363809303171E-4</v>
      </c>
      <c r="I30" s="402"/>
      <c r="J30" s="488" t="str">
        <f t="shared" si="3"/>
        <v/>
      </c>
      <c r="K30" s="402"/>
      <c r="L30" s="488" t="str">
        <f t="shared" si="4"/>
        <v/>
      </c>
    </row>
    <row r="31" spans="2:12" ht="22.5" customHeight="1">
      <c r="B31" s="489" t="s">
        <v>141</v>
      </c>
      <c r="C31" s="458">
        <v>755000</v>
      </c>
      <c r="D31" s="488">
        <f t="shared" si="0"/>
        <v>2.3835419553422735E-3</v>
      </c>
      <c r="E31" s="402">
        <v>755000</v>
      </c>
      <c r="F31" s="488">
        <f t="shared" si="1"/>
        <v>1.7009559446755495E-3</v>
      </c>
      <c r="G31" s="402">
        <v>762000</v>
      </c>
      <c r="H31" s="488">
        <f t="shared" si="2"/>
        <v>1.8036591258747832E-3</v>
      </c>
      <c r="I31" s="402"/>
      <c r="J31" s="488" t="str">
        <f t="shared" si="3"/>
        <v/>
      </c>
      <c r="K31" s="402"/>
      <c r="L31" s="488" t="str">
        <f t="shared" si="4"/>
        <v/>
      </c>
    </row>
    <row r="32" spans="2:12" ht="22.5" customHeight="1">
      <c r="B32" s="489" t="s">
        <v>142</v>
      </c>
      <c r="C32" s="458">
        <v>50000</v>
      </c>
      <c r="D32" s="488">
        <f t="shared" si="0"/>
        <v>1.5785046061869362E-4</v>
      </c>
      <c r="E32" s="402">
        <v>200000</v>
      </c>
      <c r="F32" s="488">
        <f t="shared" si="1"/>
        <v>4.5058435620544358E-4</v>
      </c>
      <c r="G32" s="402">
        <v>50000</v>
      </c>
      <c r="H32" s="488">
        <f t="shared" si="2"/>
        <v>1.1835033634348971E-4</v>
      </c>
      <c r="I32" s="402"/>
      <c r="J32" s="488" t="str">
        <f t="shared" si="3"/>
        <v/>
      </c>
      <c r="K32" s="402"/>
      <c r="L32" s="488" t="str">
        <f t="shared" si="4"/>
        <v/>
      </c>
    </row>
    <row r="33" spans="2:12" ht="22.5" customHeight="1">
      <c r="B33" s="489" t="s">
        <v>143</v>
      </c>
      <c r="C33" s="458">
        <v>174503</v>
      </c>
      <c r="D33" s="488">
        <f t="shared" si="0"/>
        <v>5.5090757858687785E-4</v>
      </c>
      <c r="E33" s="402">
        <v>574824</v>
      </c>
      <c r="F33" s="488">
        <f t="shared" si="1"/>
        <v>1.2950335098571896E-3</v>
      </c>
      <c r="G33" s="402">
        <v>170367</v>
      </c>
      <c r="H33" s="488">
        <f t="shared" si="2"/>
        <v>4.0325983503662627E-4</v>
      </c>
      <c r="I33" s="402"/>
      <c r="J33" s="488" t="str">
        <f t="shared" si="3"/>
        <v/>
      </c>
      <c r="K33" s="402"/>
      <c r="L33" s="488" t="str">
        <f t="shared" si="4"/>
        <v/>
      </c>
    </row>
    <row r="34" spans="2:12" ht="22.5" customHeight="1">
      <c r="B34" s="489" t="s">
        <v>144</v>
      </c>
      <c r="C34" s="458">
        <v>881300</v>
      </c>
      <c r="D34" s="488">
        <f t="shared" si="0"/>
        <v>2.7822722188650937E-3</v>
      </c>
      <c r="E34" s="402">
        <v>644524</v>
      </c>
      <c r="F34" s="488">
        <f t="shared" si="1"/>
        <v>1.4520621579947866E-3</v>
      </c>
      <c r="G34" s="402">
        <v>1182673</v>
      </c>
      <c r="H34" s="488">
        <f t="shared" si="2"/>
        <v>2.7993949466872804E-3</v>
      </c>
      <c r="I34" s="402"/>
      <c r="J34" s="488" t="str">
        <f t="shared" si="3"/>
        <v/>
      </c>
      <c r="K34" s="402"/>
      <c r="L34" s="488" t="str">
        <f t="shared" si="4"/>
        <v/>
      </c>
    </row>
    <row r="35" spans="2:12" ht="22.5" customHeight="1">
      <c r="B35" s="489" t="s">
        <v>145</v>
      </c>
      <c r="C35" s="458">
        <v>803000</v>
      </c>
      <c r="D35" s="488">
        <f t="shared" si="0"/>
        <v>2.5350783975362193E-3</v>
      </c>
      <c r="E35" s="402">
        <v>246000</v>
      </c>
      <c r="F35" s="488">
        <f t="shared" si="1"/>
        <v>5.542187581326956E-4</v>
      </c>
      <c r="G35" s="402">
        <v>201000</v>
      </c>
      <c r="H35" s="488">
        <f t="shared" si="2"/>
        <v>4.7576835210082864E-4</v>
      </c>
      <c r="I35" s="402"/>
      <c r="J35" s="488" t="str">
        <f t="shared" si="3"/>
        <v/>
      </c>
      <c r="K35" s="402"/>
      <c r="L35" s="488" t="str">
        <f t="shared" si="4"/>
        <v/>
      </c>
    </row>
    <row r="36" spans="2:12" ht="22.5" customHeight="1">
      <c r="B36" s="489" t="s">
        <v>146</v>
      </c>
      <c r="C36" s="458">
        <v>1622989</v>
      </c>
      <c r="D36" s="488">
        <f t="shared" si="0"/>
        <v>5.1237912245814584E-3</v>
      </c>
      <c r="E36" s="402"/>
      <c r="F36" s="488">
        <f t="shared" si="1"/>
        <v>0</v>
      </c>
      <c r="G36" s="402">
        <v>1143204</v>
      </c>
      <c r="H36" s="488">
        <f t="shared" si="2"/>
        <v>2.7059715581844563E-3</v>
      </c>
      <c r="I36" s="402"/>
      <c r="J36" s="488" t="str">
        <f t="shared" si="3"/>
        <v/>
      </c>
      <c r="K36" s="402"/>
      <c r="L36" s="488" t="str">
        <f t="shared" si="4"/>
        <v/>
      </c>
    </row>
    <row r="37" spans="2:12" ht="22.5" hidden="1" customHeight="1">
      <c r="B37" s="489"/>
      <c r="C37" s="458"/>
      <c r="D37" s="488">
        <f t="shared" si="0"/>
        <v>0</v>
      </c>
      <c r="E37" s="402"/>
      <c r="F37" s="488">
        <f t="shared" si="1"/>
        <v>0</v>
      </c>
      <c r="G37" s="402"/>
      <c r="H37" s="488">
        <f t="shared" si="2"/>
        <v>0</v>
      </c>
      <c r="I37" s="402"/>
      <c r="J37" s="488" t="str">
        <f t="shared" si="3"/>
        <v/>
      </c>
      <c r="K37" s="402"/>
      <c r="L37" s="488" t="str">
        <f t="shared" si="4"/>
        <v/>
      </c>
    </row>
    <row r="38" spans="2:12" ht="22.5" hidden="1" customHeight="1">
      <c r="B38" s="489"/>
      <c r="C38" s="458"/>
      <c r="D38" s="488">
        <f t="shared" si="0"/>
        <v>0</v>
      </c>
      <c r="E38" s="402"/>
      <c r="F38" s="488">
        <f t="shared" si="1"/>
        <v>0</v>
      </c>
      <c r="G38" s="402"/>
      <c r="H38" s="488">
        <f t="shared" si="2"/>
        <v>0</v>
      </c>
      <c r="I38" s="402"/>
      <c r="J38" s="488" t="str">
        <f t="shared" si="3"/>
        <v/>
      </c>
      <c r="K38" s="402"/>
      <c r="L38" s="488" t="str">
        <f t="shared" si="4"/>
        <v/>
      </c>
    </row>
    <row r="39" spans="2:12" ht="22.5" hidden="1" customHeight="1">
      <c r="B39" s="489"/>
      <c r="C39" s="458"/>
      <c r="D39" s="488">
        <f t="shared" si="0"/>
        <v>0</v>
      </c>
      <c r="E39" s="402"/>
      <c r="F39" s="488">
        <f t="shared" si="1"/>
        <v>0</v>
      </c>
      <c r="G39" s="402"/>
      <c r="H39" s="488">
        <f t="shared" si="2"/>
        <v>0</v>
      </c>
      <c r="I39" s="402"/>
      <c r="J39" s="488" t="str">
        <f t="shared" si="3"/>
        <v/>
      </c>
      <c r="K39" s="402"/>
      <c r="L39" s="488" t="str">
        <f t="shared" si="4"/>
        <v/>
      </c>
    </row>
    <row r="40" spans="2:12" ht="22.5" customHeight="1">
      <c r="B40" s="490" t="s">
        <v>147</v>
      </c>
      <c r="C40" s="491">
        <f>SUM(C6:C39)</f>
        <v>97395979</v>
      </c>
      <c r="D40" s="492">
        <f>IFERROR(C40/C5,"")</f>
        <v>0.30748000295117223</v>
      </c>
      <c r="E40" s="418">
        <f>SUM(E6:E39)</f>
        <v>100735586</v>
      </c>
      <c r="F40" s="492">
        <f>IFERROR(E40/E5,"")</f>
        <v>0.22694939582394047</v>
      </c>
      <c r="G40" s="418">
        <f>SUM(G6:G39)</f>
        <v>92289462</v>
      </c>
      <c r="H40" s="492">
        <f>IFERROR(G40/G5,"")</f>
        <v>0.21844977737319426</v>
      </c>
      <c r="I40" s="418">
        <f>SUM(I6:I39)</f>
        <v>0</v>
      </c>
      <c r="J40" s="492" t="str">
        <f>IFERROR(I40/I5,"")</f>
        <v/>
      </c>
      <c r="K40" s="418">
        <f>SUM(K6:K39)</f>
        <v>0</v>
      </c>
      <c r="L40" s="492" t="str">
        <f>IFERROR(K40/K5,"")</f>
        <v/>
      </c>
    </row>
    <row r="41" spans="2:12" ht="18" customHeight="1">
      <c r="B41" s="444"/>
      <c r="C41" s="493"/>
      <c r="D41" s="390"/>
      <c r="E41" s="494"/>
      <c r="F41" s="390"/>
      <c r="G41" s="494"/>
      <c r="H41" s="390"/>
      <c r="I41" s="494"/>
      <c r="J41" s="390"/>
      <c r="K41" s="494"/>
      <c r="L41" s="390"/>
    </row>
    <row r="42" spans="2:12" ht="18" customHeight="1">
      <c r="B42" s="444"/>
      <c r="C42" s="493"/>
      <c r="D42" s="390"/>
      <c r="E42" s="494"/>
      <c r="F42" s="390"/>
      <c r="G42" s="494"/>
      <c r="H42" s="390"/>
      <c r="I42" s="494"/>
      <c r="J42" s="390"/>
      <c r="K42" s="494"/>
      <c r="L42" s="390"/>
    </row>
    <row r="43" spans="2:12" ht="18" customHeight="1">
      <c r="B43" s="444"/>
      <c r="C43" s="493"/>
      <c r="D43" s="390"/>
      <c r="E43" s="494"/>
      <c r="F43" s="390"/>
      <c r="G43" s="494"/>
      <c r="H43" s="390"/>
      <c r="I43" s="494"/>
      <c r="J43" s="390"/>
      <c r="K43" s="494"/>
      <c r="L43" s="390"/>
    </row>
    <row r="44" spans="2:12" ht="18" customHeight="1">
      <c r="B44" s="444"/>
      <c r="C44" s="493"/>
      <c r="D44" s="390"/>
      <c r="E44" s="494"/>
      <c r="F44" s="390"/>
      <c r="G44" s="494"/>
      <c r="H44" s="390"/>
      <c r="I44" s="494"/>
      <c r="J44" s="390"/>
      <c r="K44" s="494"/>
      <c r="L44" s="390"/>
    </row>
    <row r="45" spans="2:12" ht="18" customHeight="1">
      <c r="B45" s="444"/>
      <c r="C45" s="493"/>
      <c r="D45" s="390"/>
      <c r="E45" s="494"/>
      <c r="F45" s="390"/>
      <c r="G45" s="494"/>
      <c r="H45" s="390"/>
      <c r="I45" s="494"/>
      <c r="J45" s="390"/>
      <c r="K45" s="494"/>
      <c r="L45" s="390"/>
    </row>
    <row r="46" spans="2:12" ht="18" customHeight="1">
      <c r="B46" s="444"/>
      <c r="C46" s="493"/>
      <c r="D46" s="390"/>
      <c r="E46" s="494"/>
      <c r="F46" s="390"/>
      <c r="G46" s="494"/>
      <c r="H46" s="390"/>
      <c r="I46" s="494"/>
      <c r="J46" s="390"/>
      <c r="K46" s="494"/>
      <c r="L46" s="390"/>
    </row>
    <row r="47" spans="2:12" ht="18" customHeight="1">
      <c r="B47" s="444"/>
      <c r="C47" s="493"/>
      <c r="D47" s="390"/>
      <c r="E47" s="494"/>
      <c r="F47" s="390"/>
      <c r="G47" s="494"/>
      <c r="H47" s="390"/>
      <c r="I47" s="494"/>
      <c r="J47" s="390"/>
      <c r="K47" s="494"/>
      <c r="L47" s="390"/>
    </row>
    <row r="48" spans="2:12" ht="18" customHeight="1">
      <c r="B48" s="444"/>
      <c r="C48" s="493"/>
      <c r="D48" s="390"/>
      <c r="E48" s="494"/>
      <c r="F48" s="390"/>
      <c r="G48" s="494"/>
      <c r="H48" s="390"/>
      <c r="I48" s="494"/>
      <c r="J48" s="390"/>
      <c r="K48" s="494"/>
      <c r="L48" s="390"/>
    </row>
    <row r="49" spans="3:11" ht="18" customHeight="1">
      <c r="C49" s="409"/>
      <c r="E49" s="409"/>
      <c r="G49" s="409"/>
      <c r="I49" s="495"/>
      <c r="K49" s="409"/>
    </row>
    <row r="50" spans="3:11" ht="18" customHeight="1">
      <c r="C50" s="409"/>
      <c r="E50" s="409"/>
      <c r="G50" s="409"/>
      <c r="I50" s="495"/>
      <c r="K50" s="409"/>
    </row>
    <row r="51" spans="3:11" ht="18" customHeight="1">
      <c r="C51" s="409"/>
      <c r="E51" s="409"/>
      <c r="G51" s="409"/>
      <c r="I51" s="495"/>
      <c r="K51" s="409"/>
    </row>
    <row r="52" spans="3:11" ht="18" customHeight="1">
      <c r="C52" s="409"/>
      <c r="E52" s="409"/>
      <c r="G52" s="409"/>
      <c r="I52" s="495"/>
      <c r="K52" s="409"/>
    </row>
    <row r="53" spans="3:11" ht="18" customHeight="1">
      <c r="C53" s="409"/>
      <c r="E53" s="409"/>
      <c r="G53" s="409"/>
      <c r="I53" s="495"/>
      <c r="K53" s="409"/>
    </row>
    <row r="54" spans="3:11" ht="18" customHeight="1">
      <c r="C54" s="409"/>
      <c r="E54" s="409"/>
    </row>
  </sheetData>
  <mergeCells count="6">
    <mergeCell ref="K3:L3"/>
    <mergeCell ref="B3:B4"/>
    <mergeCell ref="C3:D3"/>
    <mergeCell ref="E3:F3"/>
    <mergeCell ref="G3:H3"/>
    <mergeCell ref="I3:J3"/>
  </mergeCells>
  <phoneticPr fontId="60"/>
  <pageMargins left="0.7" right="0.7" top="0.75" bottom="0.75" header="0.511811023622047" footer="0.511811023622047"/>
  <pageSetup paperSize="9" orientation="portrait" horizontalDpi="300" verticalDpi="300"/>
  <ignoredErrors>
    <ignoredError sqref="D40:H40"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44464"/>
  </sheetPr>
  <dimension ref="A1"/>
  <sheetViews>
    <sheetView showGridLines="0" zoomScaleNormal="100" workbookViewId="0">
      <selection activeCell="J21" sqref="J21"/>
    </sheetView>
  </sheetViews>
  <sheetFormatPr defaultColWidth="8.5" defaultRowHeight="18"/>
  <sheetData/>
  <phoneticPr fontId="60"/>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I9"/>
  <sheetViews>
    <sheetView showGridLines="0" zoomScaleNormal="100" workbookViewId="0">
      <selection activeCell="B17" sqref="B17"/>
    </sheetView>
  </sheetViews>
  <sheetFormatPr defaultColWidth="8.5" defaultRowHeight="18"/>
  <cols>
    <col min="2" max="6" width="18.6640625" style="23" customWidth="1"/>
  </cols>
  <sheetData>
    <row r="1" spans="1:9" ht="18" customHeight="1">
      <c r="A1" s="107" t="s">
        <v>148</v>
      </c>
    </row>
    <row r="2" spans="1:9" ht="18.75" customHeight="1">
      <c r="F2" s="39" t="s">
        <v>43</v>
      </c>
    </row>
    <row r="3" spans="1:9" ht="21.75" customHeight="1">
      <c r="B3" s="108"/>
      <c r="C3" s="109" t="s">
        <v>149</v>
      </c>
      <c r="D3" s="68" t="s">
        <v>150</v>
      </c>
      <c r="E3" s="110" t="s">
        <v>151</v>
      </c>
      <c r="F3" s="110"/>
    </row>
    <row r="4" spans="1:9" ht="31.5" customHeight="1">
      <c r="B4" s="111" t="s">
        <v>152</v>
      </c>
      <c r="C4" s="112">
        <v>0</v>
      </c>
      <c r="D4" s="113">
        <v>0</v>
      </c>
      <c r="E4" s="113">
        <v>0</v>
      </c>
      <c r="F4" s="112">
        <v>100</v>
      </c>
      <c r="I4" s="6" t="s">
        <v>153</v>
      </c>
    </row>
    <row r="5" spans="1:9" ht="31.5" customHeight="1">
      <c r="B5" s="111" t="s">
        <v>154</v>
      </c>
      <c r="C5" s="113">
        <f>'EV EBITDAマルチプル'!K7</f>
        <v>112202288.05</v>
      </c>
      <c r="D5" s="114">
        <f>E5-C5</f>
        <v>71189198.700000033</v>
      </c>
      <c r="E5" s="113">
        <f>'EV EBITDAマルチプル'!M7</f>
        <v>183391486.75000003</v>
      </c>
      <c r="F5" s="112">
        <v>0</v>
      </c>
    </row>
    <row r="6" spans="1:9" ht="31.5" customHeight="1">
      <c r="B6" s="115" t="s">
        <v>155</v>
      </c>
      <c r="C6" s="112">
        <f>年買法!K6</f>
        <v>33185614.849999998</v>
      </c>
      <c r="D6" s="114">
        <f>E6-C6</f>
        <v>51013673.700000003</v>
      </c>
      <c r="E6" s="112">
        <f>年買法!M6</f>
        <v>84199288.549999997</v>
      </c>
      <c r="F6" s="112">
        <v>0</v>
      </c>
    </row>
    <row r="7" spans="1:9" ht="31.5" customHeight="1"/>
    <row r="8" spans="1:9" ht="15" customHeight="1"/>
    <row r="9" spans="1:9" ht="31.5" customHeight="1"/>
  </sheetData>
  <phoneticPr fontId="60"/>
  <pageMargins left="0.7" right="0.7" top="0.75" bottom="0.75" header="0.511811023622047" footer="0.511811023622047"/>
  <pageSetup paperSize="9"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F18"/>
  <sheetViews>
    <sheetView showGridLines="0" zoomScaleNormal="100" workbookViewId="0">
      <selection activeCell="E18" sqref="E18"/>
    </sheetView>
  </sheetViews>
  <sheetFormatPr defaultColWidth="8.5" defaultRowHeight="18"/>
  <cols>
    <col min="2" max="5" width="18.6640625" style="23" customWidth="1"/>
    <col min="6" max="6" width="40.1640625" style="23" customWidth="1"/>
  </cols>
  <sheetData>
    <row r="2" spans="1:6" ht="18.75" customHeight="1">
      <c r="E2" s="39" t="s">
        <v>43</v>
      </c>
    </row>
    <row r="3" spans="1:6" ht="21.75" customHeight="1">
      <c r="A3" s="6" t="s">
        <v>16</v>
      </c>
      <c r="B3" s="3" t="s">
        <v>159</v>
      </c>
      <c r="C3" s="143" t="s">
        <v>66</v>
      </c>
      <c r="D3" s="143" t="s">
        <v>160</v>
      </c>
      <c r="E3" s="143" t="s">
        <v>161</v>
      </c>
      <c r="F3" s="144" t="s">
        <v>162</v>
      </c>
    </row>
    <row r="4" spans="1:6" ht="31.5" customHeight="1">
      <c r="B4" s="145" t="s">
        <v>163</v>
      </c>
      <c r="C4" s="69">
        <v>20153150</v>
      </c>
      <c r="D4" s="69">
        <v>0</v>
      </c>
      <c r="E4" s="69"/>
      <c r="F4" s="146" t="s">
        <v>164</v>
      </c>
    </row>
    <row r="5" spans="1:6" ht="31.5" customHeight="1">
      <c r="B5" s="145"/>
      <c r="C5" s="147"/>
      <c r="D5" s="147"/>
      <c r="E5" s="147"/>
      <c r="F5" s="148"/>
    </row>
    <row r="6" spans="1:6" ht="31.5" customHeight="1">
      <c r="B6" s="145"/>
      <c r="C6" s="147"/>
      <c r="D6" s="147"/>
      <c r="E6" s="147"/>
      <c r="F6" s="148"/>
    </row>
    <row r="7" spans="1:6" ht="31.5" customHeight="1">
      <c r="B7" s="149"/>
      <c r="C7" s="150"/>
      <c r="D7" s="150"/>
      <c r="E7" s="150"/>
      <c r="F7" s="151"/>
    </row>
    <row r="8" spans="1:6" ht="31.5" customHeight="1">
      <c r="B8" s="152" t="s">
        <v>113</v>
      </c>
      <c r="C8" s="153">
        <f>SUM(C4:C7)</f>
        <v>20153150</v>
      </c>
      <c r="D8" s="153">
        <f>SUM(D4:D7)</f>
        <v>0</v>
      </c>
      <c r="E8" s="153">
        <f>C8+D8</f>
        <v>20153150</v>
      </c>
      <c r="F8" s="154"/>
    </row>
    <row r="12" spans="1:6" ht="18.75" customHeight="1">
      <c r="E12" s="39" t="s">
        <v>43</v>
      </c>
    </row>
    <row r="13" spans="1:6" ht="21.75" customHeight="1">
      <c r="A13" s="6" t="s">
        <v>165</v>
      </c>
      <c r="B13" s="155" t="s">
        <v>159</v>
      </c>
      <c r="C13" s="156" t="s">
        <v>66</v>
      </c>
      <c r="D13" s="156" t="s">
        <v>160</v>
      </c>
      <c r="E13" s="156" t="s">
        <v>161</v>
      </c>
      <c r="F13" s="144" t="s">
        <v>162</v>
      </c>
    </row>
    <row r="14" spans="1:6" ht="31.5" customHeight="1">
      <c r="B14" s="157" t="s">
        <v>18</v>
      </c>
      <c r="C14" s="158">
        <v>204834</v>
      </c>
      <c r="D14" s="158">
        <v>0</v>
      </c>
      <c r="E14" s="158"/>
      <c r="F14" s="159" t="s">
        <v>166</v>
      </c>
    </row>
    <row r="15" spans="1:6" ht="31.5" customHeight="1">
      <c r="B15" s="157" t="s">
        <v>19</v>
      </c>
      <c r="C15" s="158">
        <v>24020</v>
      </c>
      <c r="D15" s="158">
        <v>0</v>
      </c>
      <c r="E15" s="158"/>
      <c r="F15" s="160" t="s">
        <v>167</v>
      </c>
    </row>
    <row r="16" spans="1:6" ht="31.5" customHeight="1">
      <c r="B16" s="161"/>
      <c r="C16" s="20"/>
      <c r="D16" s="20"/>
      <c r="E16" s="20"/>
      <c r="F16" s="162"/>
    </row>
    <row r="17" spans="2:6" ht="31.5" customHeight="1">
      <c r="B17" s="163"/>
      <c r="C17" s="164"/>
      <c r="D17" s="164"/>
      <c r="E17" s="164"/>
      <c r="F17" s="165"/>
    </row>
    <row r="18" spans="2:6" ht="31.5" customHeight="1">
      <c r="B18" s="152" t="s">
        <v>113</v>
      </c>
      <c r="C18" s="166">
        <f>SUM(C14:C17)</f>
        <v>228854</v>
      </c>
      <c r="D18" s="166">
        <f>SUM(D14:D17)</f>
        <v>0</v>
      </c>
      <c r="E18" s="166">
        <f>C18+D18</f>
        <v>228854</v>
      </c>
      <c r="F18" s="167"/>
    </row>
  </sheetData>
  <phoneticPr fontId="60"/>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F8"/>
  <sheetViews>
    <sheetView showGridLines="0" zoomScaleNormal="100" workbookViewId="0">
      <selection activeCell="B4" sqref="B4"/>
    </sheetView>
  </sheetViews>
  <sheetFormatPr defaultColWidth="8.5" defaultRowHeight="18"/>
  <cols>
    <col min="2" max="5" width="18.6640625" style="23" customWidth="1"/>
    <col min="6" max="6" width="25.75" style="23" customWidth="1"/>
  </cols>
  <sheetData>
    <row r="2" spans="2:6" ht="18.75" customHeight="1">
      <c r="E2" s="39" t="s">
        <v>43</v>
      </c>
    </row>
    <row r="3" spans="2:6" ht="21.75" customHeight="1">
      <c r="B3" s="3" t="s">
        <v>168</v>
      </c>
      <c r="C3" s="143" t="s">
        <v>66</v>
      </c>
      <c r="D3" s="143" t="s">
        <v>160</v>
      </c>
      <c r="E3" s="143" t="s">
        <v>161</v>
      </c>
      <c r="F3" s="144" t="s">
        <v>162</v>
      </c>
    </row>
    <row r="4" spans="2:6" ht="31.5" customHeight="1">
      <c r="B4" s="145" t="s">
        <v>27</v>
      </c>
      <c r="C4" s="69">
        <v>700993</v>
      </c>
      <c r="D4" s="69">
        <v>0</v>
      </c>
      <c r="E4" s="69">
        <f>SUM(C4,D4)</f>
        <v>700993</v>
      </c>
      <c r="F4" s="146" t="s">
        <v>169</v>
      </c>
    </row>
    <row r="5" spans="2:6" ht="31.5" customHeight="1">
      <c r="B5" s="145" t="s">
        <v>28</v>
      </c>
      <c r="C5" s="147">
        <v>264868</v>
      </c>
      <c r="D5" s="147">
        <v>0</v>
      </c>
      <c r="E5" s="147">
        <f>SUM(C5,D5)</f>
        <v>264868</v>
      </c>
      <c r="F5" s="146"/>
    </row>
    <row r="6" spans="2:6" ht="31.5" customHeight="1">
      <c r="B6" s="145" t="s">
        <v>29</v>
      </c>
      <c r="C6" s="147">
        <v>91059</v>
      </c>
      <c r="D6" s="147">
        <v>0</v>
      </c>
      <c r="E6" s="147">
        <f>SUM(C6,D6)</f>
        <v>91059</v>
      </c>
      <c r="F6" s="146"/>
    </row>
    <row r="7" spans="2:6" ht="31.5" customHeight="1">
      <c r="B7" s="168" t="s">
        <v>31</v>
      </c>
      <c r="C7" s="150">
        <v>2112001</v>
      </c>
      <c r="D7" s="150">
        <v>0</v>
      </c>
      <c r="E7" s="150">
        <f>SUM(C7,D7)</f>
        <v>2112001</v>
      </c>
      <c r="F7" s="151"/>
    </row>
    <row r="8" spans="2:6" ht="31.5" customHeight="1">
      <c r="B8" s="152" t="s">
        <v>113</v>
      </c>
      <c r="C8" s="153">
        <f>SUM(C4:C7)</f>
        <v>3168921</v>
      </c>
      <c r="D8" s="153">
        <f>SUM(D4:D7)</f>
        <v>0</v>
      </c>
      <c r="E8" s="153">
        <f>C8+D8</f>
        <v>3168921</v>
      </c>
      <c r="F8" s="154"/>
    </row>
  </sheetData>
  <phoneticPr fontId="60"/>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G8"/>
  <sheetViews>
    <sheetView showGridLines="0" zoomScaleNormal="100" workbookViewId="0">
      <selection activeCell="E15" sqref="E15"/>
    </sheetView>
  </sheetViews>
  <sheetFormatPr defaultColWidth="8.5" defaultRowHeight="18"/>
  <cols>
    <col min="2" max="2" width="49.5" style="23" customWidth="1"/>
    <col min="3" max="6" width="18.6640625" style="23" customWidth="1"/>
    <col min="7" max="7" width="32.9140625" style="23" customWidth="1"/>
  </cols>
  <sheetData>
    <row r="2" spans="2:7" ht="18.75" customHeight="1">
      <c r="E2" s="39"/>
      <c r="F2" s="39" t="s">
        <v>43</v>
      </c>
    </row>
    <row r="3" spans="2:7" ht="21.75" customHeight="1">
      <c r="B3" s="3" t="s">
        <v>170</v>
      </c>
      <c r="C3" s="143" t="s">
        <v>171</v>
      </c>
      <c r="D3" s="143" t="s">
        <v>66</v>
      </c>
      <c r="E3" s="143" t="s">
        <v>160</v>
      </c>
      <c r="F3" s="143" t="s">
        <v>172</v>
      </c>
      <c r="G3" s="144" t="s">
        <v>162</v>
      </c>
    </row>
    <row r="4" spans="2:7" ht="31.5" customHeight="1">
      <c r="B4" s="145" t="s">
        <v>173</v>
      </c>
      <c r="C4" s="169"/>
      <c r="D4" s="69"/>
      <c r="E4" s="69"/>
      <c r="F4" s="69"/>
      <c r="G4" s="146" t="s">
        <v>174</v>
      </c>
    </row>
    <row r="5" spans="2:7" ht="31.5" customHeight="1">
      <c r="B5" s="115"/>
      <c r="C5" s="170"/>
      <c r="D5" s="147"/>
      <c r="E5" s="147"/>
      <c r="F5" s="147"/>
      <c r="G5" s="146"/>
    </row>
    <row r="6" spans="2:7" ht="31.5" customHeight="1">
      <c r="B6" s="124"/>
      <c r="C6" s="170"/>
      <c r="D6" s="30"/>
      <c r="E6" s="147"/>
      <c r="F6" s="147"/>
      <c r="G6" s="146"/>
    </row>
    <row r="7" spans="2:7" ht="31.5" customHeight="1">
      <c r="B7" s="168"/>
      <c r="C7" s="171"/>
      <c r="D7" s="150"/>
      <c r="E7" s="30"/>
      <c r="F7" s="30"/>
      <c r="G7" s="151"/>
    </row>
    <row r="8" spans="2:7" ht="31.5" customHeight="1">
      <c r="B8" s="152" t="s">
        <v>113</v>
      </c>
      <c r="C8" s="172">
        <f>SUM(C4:C7)</f>
        <v>0</v>
      </c>
      <c r="D8" s="153">
        <f>SUM(D4:D7)</f>
        <v>0</v>
      </c>
      <c r="E8" s="153">
        <f>SUM(E4:E7)</f>
        <v>0</v>
      </c>
      <c r="F8" s="153">
        <f>SUM(F4:F7)</f>
        <v>0</v>
      </c>
      <c r="G8" s="154"/>
    </row>
  </sheetData>
  <phoneticPr fontId="60"/>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F8"/>
  <sheetViews>
    <sheetView showGridLines="0" zoomScaleNormal="100" workbookViewId="0">
      <selection activeCell="B12" sqref="B12"/>
    </sheetView>
  </sheetViews>
  <sheetFormatPr defaultColWidth="8.5" defaultRowHeight="18"/>
  <cols>
    <col min="2" max="2" width="41.25" style="23" customWidth="1"/>
    <col min="3" max="5" width="18.6640625" style="23" customWidth="1"/>
    <col min="6" max="6" width="33.1640625" style="23" customWidth="1"/>
  </cols>
  <sheetData>
    <row r="2" spans="2:6" ht="18.75" customHeight="1">
      <c r="E2" s="39" t="s">
        <v>43</v>
      </c>
    </row>
    <row r="3" spans="2:6" ht="21.75" customHeight="1">
      <c r="B3" s="3" t="s">
        <v>175</v>
      </c>
      <c r="C3" s="143" t="s">
        <v>66</v>
      </c>
      <c r="D3" s="143" t="s">
        <v>160</v>
      </c>
      <c r="E3" s="143" t="s">
        <v>161</v>
      </c>
      <c r="F3" s="144" t="s">
        <v>162</v>
      </c>
    </row>
    <row r="4" spans="2:6" ht="31.5" customHeight="1">
      <c r="B4" s="145" t="s">
        <v>176</v>
      </c>
      <c r="C4" s="69">
        <v>43326766</v>
      </c>
      <c r="D4" s="69">
        <f>E4-C4</f>
        <v>0</v>
      </c>
      <c r="E4" s="69">
        <v>43326766</v>
      </c>
      <c r="F4" s="146" t="s">
        <v>177</v>
      </c>
    </row>
    <row r="5" spans="2:6" ht="31.5" customHeight="1">
      <c r="B5" s="115"/>
      <c r="C5" s="147"/>
      <c r="D5" s="147"/>
      <c r="E5" s="147"/>
      <c r="F5" s="146"/>
    </row>
    <row r="6" spans="2:6" ht="31.5" customHeight="1">
      <c r="B6" s="124"/>
      <c r="C6" s="147"/>
      <c r="D6" s="147"/>
      <c r="E6" s="147"/>
      <c r="F6" s="146"/>
    </row>
    <row r="7" spans="2:6" ht="31.5" customHeight="1">
      <c r="B7" s="168"/>
      <c r="C7" s="150"/>
      <c r="D7" s="150"/>
      <c r="E7" s="150"/>
      <c r="F7" s="151"/>
    </row>
    <row r="8" spans="2:6" ht="31.5" customHeight="1">
      <c r="B8" s="173" t="s">
        <v>113</v>
      </c>
      <c r="C8" s="153">
        <f>SUM(C4:C7)</f>
        <v>43326766</v>
      </c>
      <c r="D8" s="153">
        <f>SUM(D4:D7)</f>
        <v>0</v>
      </c>
      <c r="E8" s="153">
        <f>C8+D8</f>
        <v>43326766</v>
      </c>
      <c r="F8" s="154"/>
    </row>
  </sheetData>
  <phoneticPr fontId="60"/>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G9"/>
  <sheetViews>
    <sheetView showGridLines="0" zoomScaleNormal="100" workbookViewId="0">
      <selection activeCell="F14" sqref="F14"/>
    </sheetView>
  </sheetViews>
  <sheetFormatPr defaultColWidth="8.5" defaultRowHeight="18"/>
  <cols>
    <col min="2" max="2" width="35.1640625" style="23" customWidth="1"/>
    <col min="3" max="3" width="21.25" style="23" customWidth="1"/>
    <col min="4" max="6" width="18.6640625" style="23" customWidth="1"/>
    <col min="7" max="7" width="31.4140625" style="23" customWidth="1"/>
  </cols>
  <sheetData>
    <row r="2" spans="2:7" ht="18.75" customHeight="1">
      <c r="F2" s="39" t="s">
        <v>43</v>
      </c>
    </row>
    <row r="3" spans="2:7" ht="21.75" customHeight="1">
      <c r="B3" s="3" t="s">
        <v>178</v>
      </c>
      <c r="C3" s="174" t="s">
        <v>179</v>
      </c>
      <c r="D3" s="143" t="s">
        <v>66</v>
      </c>
      <c r="E3" s="143" t="s">
        <v>160</v>
      </c>
      <c r="F3" s="143" t="s">
        <v>161</v>
      </c>
      <c r="G3" s="144" t="s">
        <v>162</v>
      </c>
    </row>
    <row r="4" spans="2:7" ht="31.5" customHeight="1">
      <c r="B4" s="145" t="s">
        <v>180</v>
      </c>
      <c r="C4" s="175" t="s">
        <v>106</v>
      </c>
      <c r="D4" s="69">
        <v>275896334</v>
      </c>
      <c r="E4" s="69">
        <f>F4-D4</f>
        <v>0</v>
      </c>
      <c r="F4" s="69">
        <v>275896334</v>
      </c>
      <c r="G4" s="146" t="s">
        <v>181</v>
      </c>
    </row>
    <row r="5" spans="2:7" ht="31.5" customHeight="1">
      <c r="B5" s="115"/>
      <c r="C5" s="176"/>
      <c r="D5" s="147"/>
      <c r="E5" s="147"/>
      <c r="F5" s="147"/>
      <c r="G5" s="146"/>
    </row>
    <row r="6" spans="2:7" ht="31.5" customHeight="1">
      <c r="B6" s="124"/>
      <c r="C6" s="177"/>
      <c r="D6" s="147"/>
      <c r="E6" s="147"/>
      <c r="F6" s="147"/>
      <c r="G6" s="146"/>
    </row>
    <row r="7" spans="2:7" ht="31.5" customHeight="1">
      <c r="B7" s="115"/>
      <c r="C7" s="176"/>
      <c r="D7" s="147"/>
      <c r="E7" s="147">
        <f>F7-D7</f>
        <v>0</v>
      </c>
      <c r="F7" s="147"/>
      <c r="G7" s="146"/>
    </row>
    <row r="8" spans="2:7" ht="31.5" customHeight="1">
      <c r="B8" s="168"/>
      <c r="C8" s="178"/>
      <c r="D8" s="150"/>
      <c r="E8" s="30">
        <f>F8-D8</f>
        <v>0</v>
      </c>
      <c r="F8" s="150"/>
      <c r="G8" s="151"/>
    </row>
    <row r="9" spans="2:7" ht="31.5" customHeight="1">
      <c r="B9" s="152" t="s">
        <v>113</v>
      </c>
      <c r="C9" s="179" t="s">
        <v>106</v>
      </c>
      <c r="D9" s="153">
        <f>SUM(D4:D8)</f>
        <v>275896334</v>
      </c>
      <c r="E9" s="153">
        <f>SUM(E4:E8)</f>
        <v>0</v>
      </c>
      <c r="F9" s="153">
        <f>D9+E9</f>
        <v>275896334</v>
      </c>
      <c r="G9" s="154"/>
    </row>
  </sheetData>
  <phoneticPr fontId="60"/>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G11"/>
  <sheetViews>
    <sheetView showGridLines="0" zoomScaleNormal="100" workbookViewId="0">
      <selection activeCell="E14" sqref="E14"/>
    </sheetView>
  </sheetViews>
  <sheetFormatPr defaultColWidth="8.5" defaultRowHeight="18"/>
  <cols>
    <col min="2" max="2" width="37.1640625" style="23" customWidth="1"/>
    <col min="3" max="4" width="18.6640625" style="23" customWidth="1"/>
    <col min="5" max="7" width="19.75" style="23" customWidth="1"/>
  </cols>
  <sheetData>
    <row r="2" spans="2:7" ht="18.75" customHeight="1">
      <c r="D2" s="39" t="s">
        <v>43</v>
      </c>
      <c r="E2" s="39" t="s">
        <v>43</v>
      </c>
      <c r="F2" s="39" t="s">
        <v>43</v>
      </c>
    </row>
    <row r="3" spans="2:7" ht="21.75" customHeight="1">
      <c r="B3" s="3" t="s">
        <v>185</v>
      </c>
      <c r="C3" s="143" t="s">
        <v>186</v>
      </c>
      <c r="D3" s="143" t="s">
        <v>187</v>
      </c>
      <c r="E3" s="196" t="s">
        <v>188</v>
      </c>
      <c r="F3" s="143" t="s">
        <v>187</v>
      </c>
    </row>
    <row r="4" spans="2:7" ht="31.5" customHeight="1">
      <c r="B4" s="197"/>
      <c r="C4" s="198" t="s">
        <v>189</v>
      </c>
      <c r="D4" s="199">
        <f>B4*11/31</f>
        <v>0</v>
      </c>
      <c r="E4" s="200">
        <f>D4*0.15</f>
        <v>0</v>
      </c>
      <c r="F4" s="199">
        <f>D4+E4</f>
        <v>0</v>
      </c>
    </row>
    <row r="6" spans="2:7" ht="18" customHeight="1">
      <c r="B6" s="201" t="s">
        <v>190</v>
      </c>
    </row>
    <row r="7" spans="2:7" ht="18.75" customHeight="1">
      <c r="D7" s="39"/>
      <c r="E7" s="39" t="s">
        <v>43</v>
      </c>
    </row>
    <row r="8" spans="2:7" ht="19.5" customHeight="1">
      <c r="B8" s="3" t="s">
        <v>191</v>
      </c>
      <c r="C8" s="143" t="s">
        <v>192</v>
      </c>
      <c r="D8" s="143" t="s">
        <v>193</v>
      </c>
      <c r="E8" s="143" t="s">
        <v>194</v>
      </c>
      <c r="F8" s="196" t="s">
        <v>188</v>
      </c>
      <c r="G8" s="196" t="s">
        <v>195</v>
      </c>
    </row>
    <row r="9" spans="2:7" ht="31.5" customHeight="1">
      <c r="B9" s="197"/>
      <c r="C9" s="198" t="s">
        <v>189</v>
      </c>
      <c r="D9" s="198" t="s">
        <v>189</v>
      </c>
      <c r="E9" s="202">
        <f>B9*4/6</f>
        <v>0</v>
      </c>
      <c r="F9" s="200">
        <f>E9*0.15</f>
        <v>0</v>
      </c>
      <c r="G9" s="203">
        <f>E9+F9</f>
        <v>0</v>
      </c>
    </row>
    <row r="10" spans="2:7" ht="31.5" customHeight="1"/>
    <row r="11" spans="2:7" ht="31.5" customHeight="1">
      <c r="B11" s="201" t="s">
        <v>196</v>
      </c>
    </row>
  </sheetData>
  <phoneticPr fontId="60"/>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K12"/>
  <sheetViews>
    <sheetView showGridLines="0" zoomScaleNormal="100" workbookViewId="0">
      <selection activeCell="J10" sqref="J10"/>
    </sheetView>
  </sheetViews>
  <sheetFormatPr defaultColWidth="8.5" defaultRowHeight="18"/>
  <cols>
    <col min="2" max="2" width="4.75" style="23" customWidth="1"/>
    <col min="3" max="3" width="14.5" style="23" customWidth="1"/>
    <col min="4" max="11" width="18.6640625" style="23" customWidth="1"/>
  </cols>
  <sheetData>
    <row r="2" spans="2:10" ht="18.75" customHeight="1">
      <c r="J2" s="39" t="s">
        <v>43</v>
      </c>
    </row>
    <row r="3" spans="2:10" ht="21.75" customHeight="1">
      <c r="B3" s="204" t="s">
        <v>197</v>
      </c>
      <c r="C3" s="3" t="s">
        <v>198</v>
      </c>
      <c r="D3" s="143" t="s">
        <v>199</v>
      </c>
      <c r="E3" s="143" t="s">
        <v>200</v>
      </c>
      <c r="F3" s="143" t="s">
        <v>201</v>
      </c>
      <c r="G3" s="143" t="s">
        <v>202</v>
      </c>
      <c r="H3" s="143" t="s">
        <v>203</v>
      </c>
      <c r="I3" s="143" t="s">
        <v>204</v>
      </c>
      <c r="J3" s="143" t="s">
        <v>205</v>
      </c>
    </row>
    <row r="4" spans="2:10" ht="31.5" customHeight="1">
      <c r="B4" s="205"/>
      <c r="C4" s="206"/>
      <c r="D4" s="198"/>
      <c r="E4" s="198"/>
      <c r="F4" s="198"/>
      <c r="G4" s="198"/>
      <c r="H4" s="198"/>
      <c r="I4" s="198"/>
      <c r="J4" s="198"/>
    </row>
    <row r="5" spans="2:10" ht="31.5" customHeight="1">
      <c r="B5" s="205"/>
      <c r="C5" s="206"/>
      <c r="D5" s="198"/>
      <c r="E5" s="198"/>
      <c r="F5" s="198"/>
      <c r="G5" s="198"/>
      <c r="H5" s="198"/>
      <c r="I5" s="198"/>
      <c r="J5" s="198"/>
    </row>
    <row r="6" spans="2:10" ht="31.5" customHeight="1">
      <c r="B6" s="205"/>
      <c r="C6" s="206"/>
      <c r="D6" s="198"/>
      <c r="E6" s="198"/>
      <c r="F6" s="198"/>
      <c r="G6" s="198"/>
      <c r="H6" s="198"/>
      <c r="I6" s="198"/>
      <c r="J6" s="198"/>
    </row>
    <row r="7" spans="2:10" ht="31.5" customHeight="1">
      <c r="B7" s="205"/>
      <c r="C7" s="206"/>
      <c r="D7" s="198"/>
      <c r="E7" s="198"/>
      <c r="F7" s="198"/>
      <c r="G7" s="198"/>
      <c r="H7" s="198"/>
      <c r="I7" s="198"/>
      <c r="J7" s="198"/>
    </row>
    <row r="8" spans="2:10" ht="31.5" customHeight="1">
      <c r="B8" s="205"/>
      <c r="C8" s="206"/>
      <c r="D8" s="198"/>
      <c r="E8" s="198"/>
      <c r="F8" s="198"/>
      <c r="G8" s="198"/>
      <c r="H8" s="198"/>
      <c r="I8" s="198"/>
      <c r="J8" s="198"/>
    </row>
    <row r="9" spans="2:10" ht="31.5" customHeight="1">
      <c r="B9" s="205"/>
      <c r="C9" s="206"/>
      <c r="D9" s="198"/>
      <c r="E9" s="198"/>
      <c r="F9" s="198"/>
      <c r="G9" s="198"/>
      <c r="H9" s="198"/>
      <c r="I9" s="198"/>
      <c r="J9" s="198"/>
    </row>
    <row r="10" spans="2:10" ht="31.5" customHeight="1">
      <c r="B10" s="152"/>
      <c r="C10" s="152" t="s">
        <v>113</v>
      </c>
      <c r="D10" s="179"/>
      <c r="E10" s="179"/>
      <c r="F10" s="179"/>
      <c r="G10" s="179"/>
      <c r="H10" s="153">
        <f>SUM(H6:H9)</f>
        <v>0</v>
      </c>
      <c r="I10" s="153">
        <f>SUM(I6:I9)</f>
        <v>0</v>
      </c>
      <c r="J10" s="153">
        <f>H10+I10</f>
        <v>0</v>
      </c>
    </row>
    <row r="12" spans="2:10" ht="18" customHeight="1">
      <c r="C12" s="201" t="s">
        <v>206</v>
      </c>
    </row>
  </sheetData>
  <phoneticPr fontId="60"/>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54CCB3"/>
  </sheetPr>
  <dimension ref="B2:F18"/>
  <sheetViews>
    <sheetView showGridLines="0" zoomScaleNormal="100" workbookViewId="0">
      <selection activeCell="D4" sqref="D4"/>
    </sheetView>
  </sheetViews>
  <sheetFormatPr defaultColWidth="8.5" defaultRowHeight="18"/>
  <cols>
    <col min="2" max="2" width="35.1640625" style="23" customWidth="1"/>
    <col min="3" max="3" width="21.25" style="23" customWidth="1"/>
    <col min="4" max="5" width="18.6640625" style="23" customWidth="1"/>
    <col min="6" max="6" width="51.5" style="23" customWidth="1"/>
  </cols>
  <sheetData>
    <row r="2" spans="2:6" ht="18.75" customHeight="1">
      <c r="E2" s="39" t="s">
        <v>43</v>
      </c>
    </row>
    <row r="3" spans="2:6" ht="21.75" customHeight="1">
      <c r="B3" s="3" t="s">
        <v>207</v>
      </c>
      <c r="C3" s="174" t="s">
        <v>208</v>
      </c>
      <c r="D3" s="143" t="s">
        <v>156</v>
      </c>
      <c r="E3" s="143" t="s">
        <v>209</v>
      </c>
      <c r="F3" s="144" t="s">
        <v>210</v>
      </c>
    </row>
    <row r="4" spans="2:6" ht="31.5" customHeight="1">
      <c r="B4" s="145" t="s">
        <v>17</v>
      </c>
      <c r="C4" s="207" t="s">
        <v>211</v>
      </c>
      <c r="D4" s="69">
        <v>201000</v>
      </c>
      <c r="E4" s="69">
        <f>-D4*0.34</f>
        <v>-68340</v>
      </c>
      <c r="F4" s="208"/>
    </row>
    <row r="5" spans="2:6" ht="31.5" customHeight="1">
      <c r="B5" s="115" t="s">
        <v>212</v>
      </c>
      <c r="C5" s="209" t="s">
        <v>211</v>
      </c>
      <c r="D5" s="147"/>
      <c r="E5" s="147">
        <f>-D5*0.34</f>
        <v>0</v>
      </c>
      <c r="F5" s="146" t="s">
        <v>213</v>
      </c>
    </row>
    <row r="6" spans="2:6" ht="31.5" customHeight="1">
      <c r="B6" s="115" t="s">
        <v>214</v>
      </c>
      <c r="C6" s="209" t="s">
        <v>211</v>
      </c>
      <c r="D6" s="147"/>
      <c r="E6" s="147">
        <f>-D6*0.34</f>
        <v>0</v>
      </c>
      <c r="F6" s="146" t="s">
        <v>215</v>
      </c>
    </row>
    <row r="7" spans="2:6" ht="31.5" customHeight="1">
      <c r="B7" s="115" t="s">
        <v>33</v>
      </c>
      <c r="C7" s="209" t="s">
        <v>211</v>
      </c>
      <c r="D7" s="147"/>
      <c r="E7" s="210" t="s">
        <v>106</v>
      </c>
      <c r="F7" s="146" t="s">
        <v>216</v>
      </c>
    </row>
    <row r="8" spans="2:6" ht="31.5" customHeight="1">
      <c r="B8" s="115" t="s">
        <v>38</v>
      </c>
      <c r="C8" s="209" t="s">
        <v>211</v>
      </c>
      <c r="D8" s="147"/>
      <c r="E8" s="210" t="s">
        <v>106</v>
      </c>
      <c r="F8" s="146" t="s">
        <v>217</v>
      </c>
    </row>
    <row r="9" spans="2:6" ht="31.5" customHeight="1">
      <c r="B9" s="115" t="s">
        <v>218</v>
      </c>
      <c r="C9" s="209" t="s">
        <v>211</v>
      </c>
      <c r="D9" s="147"/>
      <c r="E9" s="147">
        <f t="shared" ref="E9:E17" si="0">-D9*0.34</f>
        <v>0</v>
      </c>
      <c r="F9" s="146" t="s">
        <v>219</v>
      </c>
    </row>
    <row r="10" spans="2:6" ht="31.5" customHeight="1">
      <c r="B10" s="115" t="s">
        <v>220</v>
      </c>
      <c r="C10" s="209" t="s">
        <v>211</v>
      </c>
      <c r="D10" s="147"/>
      <c r="E10" s="147">
        <f t="shared" si="0"/>
        <v>0</v>
      </c>
      <c r="F10" s="146" t="s">
        <v>221</v>
      </c>
    </row>
    <row r="11" spans="2:6" ht="31.5" customHeight="1">
      <c r="B11" s="115" t="s">
        <v>222</v>
      </c>
      <c r="C11" s="209" t="s">
        <v>211</v>
      </c>
      <c r="D11" s="147"/>
      <c r="E11" s="147">
        <f t="shared" si="0"/>
        <v>0</v>
      </c>
      <c r="F11" s="146" t="s">
        <v>223</v>
      </c>
    </row>
    <row r="12" spans="2:6" ht="31.5" customHeight="1">
      <c r="B12" s="115" t="s">
        <v>224</v>
      </c>
      <c r="C12" s="209" t="s">
        <v>211</v>
      </c>
      <c r="D12" s="147"/>
      <c r="E12" s="147">
        <f t="shared" si="0"/>
        <v>0</v>
      </c>
      <c r="F12" s="146" t="s">
        <v>225</v>
      </c>
    </row>
    <row r="13" spans="2:6" ht="31.5" customHeight="1">
      <c r="B13" s="115"/>
      <c r="C13" s="209"/>
      <c r="D13" s="147"/>
      <c r="E13" s="147">
        <f t="shared" si="0"/>
        <v>0</v>
      </c>
      <c r="F13" s="146"/>
    </row>
    <row r="14" spans="2:6" ht="31.5" customHeight="1">
      <c r="B14" s="115"/>
      <c r="C14" s="209"/>
      <c r="D14" s="147"/>
      <c r="E14" s="147">
        <f t="shared" si="0"/>
        <v>0</v>
      </c>
      <c r="F14" s="146"/>
    </row>
    <row r="15" spans="2:6" ht="31.5" customHeight="1">
      <c r="B15" s="115"/>
      <c r="C15" s="209"/>
      <c r="D15" s="147"/>
      <c r="E15" s="147">
        <f t="shared" si="0"/>
        <v>0</v>
      </c>
      <c r="F15" s="146"/>
    </row>
    <row r="16" spans="2:6" ht="31.5" customHeight="1">
      <c r="B16" s="115"/>
      <c r="C16" s="209"/>
      <c r="D16" s="147"/>
      <c r="E16" s="147">
        <f t="shared" si="0"/>
        <v>0</v>
      </c>
      <c r="F16" s="146"/>
    </row>
    <row r="17" spans="2:6" ht="31.5" customHeight="1">
      <c r="B17" s="168"/>
      <c r="C17" s="211"/>
      <c r="D17" s="150"/>
      <c r="E17" s="30">
        <f t="shared" si="0"/>
        <v>0</v>
      </c>
      <c r="F17" s="151"/>
    </row>
    <row r="18" spans="2:6" ht="31.5" customHeight="1">
      <c r="B18" s="152" t="s">
        <v>113</v>
      </c>
      <c r="C18" s="212" t="s">
        <v>106</v>
      </c>
      <c r="D18" s="153">
        <f>SUM(D4:D17)</f>
        <v>201000</v>
      </c>
      <c r="E18" s="153">
        <f>SUM(E4:E17)</f>
        <v>-68340</v>
      </c>
      <c r="F18" s="213" t="s">
        <v>226</v>
      </c>
    </row>
  </sheetData>
  <phoneticPr fontId="60"/>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54CCB3"/>
  </sheetPr>
  <dimension ref="B2:F17"/>
  <sheetViews>
    <sheetView showGridLines="0" zoomScaleNormal="100" workbookViewId="0">
      <selection activeCell="B2" sqref="B2:F15"/>
    </sheetView>
  </sheetViews>
  <sheetFormatPr defaultColWidth="8.5" defaultRowHeight="18"/>
  <cols>
    <col min="1" max="1" width="8.5" style="242"/>
    <col min="2" max="3" width="27.4140625" style="391" customWidth="1"/>
    <col min="4" max="4" width="4.9140625" style="391" customWidth="1"/>
    <col min="5" max="6" width="27.4140625" style="391" customWidth="1"/>
    <col min="7" max="16384" width="8.5" style="242"/>
  </cols>
  <sheetData>
    <row r="2" spans="2:6" ht="18.75" customHeight="1">
      <c r="C2" s="39"/>
      <c r="F2" s="39" t="s">
        <v>527</v>
      </c>
    </row>
    <row r="3" spans="2:6" ht="21.75" customHeight="1">
      <c r="B3" s="204" t="s">
        <v>227</v>
      </c>
      <c r="C3" s="228" t="s">
        <v>228</v>
      </c>
      <c r="E3" s="204" t="s">
        <v>229</v>
      </c>
      <c r="F3" s="228" t="s">
        <v>228</v>
      </c>
    </row>
    <row r="4" spans="2:6" ht="31.5" customHeight="1">
      <c r="B4" s="206" t="s">
        <v>10</v>
      </c>
      <c r="C4" s="475">
        <f>'修正BS(借方)'!E6</f>
        <v>193226490</v>
      </c>
      <c r="E4" s="206" t="s">
        <v>52</v>
      </c>
      <c r="F4" s="475">
        <f>'修正BS(貸方) '!E11</f>
        <v>41828000</v>
      </c>
    </row>
    <row r="5" spans="2:6" ht="31.5" customHeight="1">
      <c r="B5" s="533" t="s">
        <v>33</v>
      </c>
      <c r="C5" s="214">
        <f>'修正BS(借方)'!E47</f>
        <v>0</v>
      </c>
      <c r="E5" s="476" t="s">
        <v>54</v>
      </c>
      <c r="F5" s="214">
        <f>'修正BS(貸方) '!E19</f>
        <v>145980000</v>
      </c>
    </row>
    <row r="6" spans="2:6" ht="31.5" customHeight="1">
      <c r="B6" s="533" t="s">
        <v>38</v>
      </c>
      <c r="C6" s="214">
        <f>'修正BS(借方)'!E52</f>
        <v>0</v>
      </c>
      <c r="E6" s="476"/>
      <c r="F6" s="214"/>
    </row>
    <row r="7" spans="2:6" ht="31.5" hidden="1" customHeight="1">
      <c r="B7" s="476"/>
      <c r="C7" s="214"/>
      <c r="E7" s="476"/>
      <c r="F7" s="214"/>
    </row>
    <row r="8" spans="2:6" ht="31.5" hidden="1" customHeight="1">
      <c r="B8" s="476"/>
      <c r="C8" s="214"/>
      <c r="E8" s="476"/>
      <c r="F8" s="214"/>
    </row>
    <row r="9" spans="2:6" ht="31.5" hidden="1" customHeight="1">
      <c r="B9" s="476"/>
      <c r="C9" s="214"/>
      <c r="E9" s="476"/>
      <c r="F9" s="214"/>
    </row>
    <row r="10" spans="2:6" ht="31.5" hidden="1" customHeight="1">
      <c r="B10" s="215"/>
      <c r="C10" s="214"/>
      <c r="E10" s="476"/>
      <c r="F10" s="214"/>
    </row>
    <row r="11" spans="2:6" ht="31.5" hidden="1" customHeight="1">
      <c r="B11" s="476"/>
      <c r="C11" s="214"/>
      <c r="E11" s="476"/>
      <c r="F11" s="214"/>
    </row>
    <row r="12" spans="2:6" ht="31.5" hidden="1" customHeight="1">
      <c r="B12" s="215"/>
      <c r="C12" s="216"/>
      <c r="E12" s="215"/>
      <c r="F12" s="216"/>
    </row>
    <row r="13" spans="2:6" ht="31.5" customHeight="1">
      <c r="B13" s="477" t="s">
        <v>113</v>
      </c>
      <c r="C13" s="217">
        <f>SUM(C4:C12)</f>
        <v>193226490</v>
      </c>
      <c r="E13" s="477" t="s">
        <v>113</v>
      </c>
      <c r="F13" s="217">
        <f>SUM(F4:F12)</f>
        <v>187808000</v>
      </c>
    </row>
    <row r="14" spans="2:6" ht="18.75" customHeight="1"/>
    <row r="15" spans="2:6" ht="31.5" customHeight="1">
      <c r="B15" s="478" t="s">
        <v>230</v>
      </c>
      <c r="C15" s="218">
        <f>C13-F13</f>
        <v>5418490</v>
      </c>
    </row>
    <row r="16" spans="2:6">
      <c r="F16" s="242"/>
    </row>
    <row r="17" spans="3:3" ht="18" customHeight="1">
      <c r="C17" s="242"/>
    </row>
  </sheetData>
  <phoneticPr fontId="60"/>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tabColor rgb="FF0889C9"/>
  </sheetPr>
  <dimension ref="B2:E119"/>
  <sheetViews>
    <sheetView showGridLines="0" zoomScale="79" zoomScaleNormal="100" workbookViewId="0">
      <pane ySplit="4" topLeftCell="A11" activePane="bottomLeft" state="frozen"/>
      <selection activeCell="D61" sqref="D61"/>
      <selection pane="bottomLeft" activeCell="D22" sqref="D22"/>
    </sheetView>
  </sheetViews>
  <sheetFormatPr defaultColWidth="8.5" defaultRowHeight="18"/>
  <cols>
    <col min="1" max="1" width="8.5" style="242"/>
    <col min="2" max="2" width="28" style="390" customWidth="1"/>
    <col min="3" max="5" width="16.1640625" style="391" customWidth="1"/>
    <col min="6" max="16384" width="8.5" style="242"/>
  </cols>
  <sheetData>
    <row r="2" spans="2:5" ht="18.75" customHeight="1">
      <c r="E2" s="39" t="s">
        <v>527</v>
      </c>
    </row>
    <row r="3" spans="2:5" ht="27.75" customHeight="1">
      <c r="B3" s="625" t="s">
        <v>5</v>
      </c>
      <c r="C3" s="625"/>
      <c r="D3" s="625"/>
      <c r="E3" s="625"/>
    </row>
    <row r="4" spans="2:5" ht="19.5" customHeight="1">
      <c r="B4" s="2" t="s">
        <v>6</v>
      </c>
      <c r="C4" s="109" t="str">
        <f>'BS(借方)'!E4</f>
        <v>26年1月期</v>
      </c>
      <c r="D4" s="411" t="s">
        <v>156</v>
      </c>
      <c r="E4" s="412" t="s">
        <v>157</v>
      </c>
    </row>
    <row r="5" spans="2:5" ht="22.5" customHeight="1">
      <c r="B5" s="394" t="s">
        <v>9</v>
      </c>
      <c r="C5" s="413">
        <f>SUM(C6:C19)</f>
        <v>226144406</v>
      </c>
      <c r="D5" s="413">
        <f>SUM(D6:D19)</f>
        <v>-6369163</v>
      </c>
      <c r="E5" s="414">
        <f t="shared" ref="E5:E36" si="0">C5+D5</f>
        <v>219775243</v>
      </c>
    </row>
    <row r="6" spans="2:5" ht="22.5" customHeight="1">
      <c r="B6" s="396" t="s">
        <v>10</v>
      </c>
      <c r="C6" s="415">
        <v>193226490</v>
      </c>
      <c r="D6" s="415"/>
      <c r="E6" s="416">
        <f t="shared" si="0"/>
        <v>193226490</v>
      </c>
    </row>
    <row r="7" spans="2:5" ht="22.5" customHeight="1">
      <c r="B7" s="396" t="s">
        <v>16</v>
      </c>
      <c r="C7" s="415">
        <v>20153150</v>
      </c>
      <c r="D7" s="415"/>
      <c r="E7" s="416">
        <f t="shared" si="0"/>
        <v>20153150</v>
      </c>
    </row>
    <row r="8" spans="2:5" ht="22.5" customHeight="1">
      <c r="B8" s="396" t="s">
        <v>17</v>
      </c>
      <c r="C8" s="415">
        <v>-201000</v>
      </c>
      <c r="D8" s="415">
        <v>201000</v>
      </c>
      <c r="E8" s="416">
        <f t="shared" si="0"/>
        <v>0</v>
      </c>
    </row>
    <row r="9" spans="2:5" ht="22.5" customHeight="1">
      <c r="B9" s="396" t="s">
        <v>600</v>
      </c>
      <c r="C9" s="415">
        <v>204834</v>
      </c>
      <c r="D9" s="415"/>
      <c r="E9" s="416">
        <f t="shared" si="0"/>
        <v>204834</v>
      </c>
    </row>
    <row r="10" spans="2:5" ht="22.5" customHeight="1">
      <c r="B10" s="396" t="s">
        <v>19</v>
      </c>
      <c r="C10" s="415">
        <v>24020</v>
      </c>
      <c r="D10" s="415"/>
      <c r="E10" s="416">
        <f t="shared" si="0"/>
        <v>24020</v>
      </c>
    </row>
    <row r="11" spans="2:5" ht="22.5" customHeight="1">
      <c r="B11" s="396" t="s">
        <v>20</v>
      </c>
      <c r="C11" s="415">
        <v>12055237</v>
      </c>
      <c r="D11" s="415">
        <v>-6570163</v>
      </c>
      <c r="E11" s="416">
        <f t="shared" si="0"/>
        <v>5485074</v>
      </c>
    </row>
    <row r="12" spans="2:5" ht="22.5" customHeight="1">
      <c r="B12" s="396" t="s">
        <v>22</v>
      </c>
      <c r="C12" s="415">
        <v>640475</v>
      </c>
      <c r="D12" s="415"/>
      <c r="E12" s="416">
        <f t="shared" si="0"/>
        <v>640475</v>
      </c>
    </row>
    <row r="13" spans="2:5" ht="22.5" customHeight="1">
      <c r="B13" s="440" t="s">
        <v>23</v>
      </c>
      <c r="C13" s="441">
        <v>41200</v>
      </c>
      <c r="D13" s="441"/>
      <c r="E13" s="442">
        <f t="shared" si="0"/>
        <v>41200</v>
      </c>
    </row>
    <row r="14" spans="2:5" ht="22.5" hidden="1" customHeight="1">
      <c r="B14" s="396"/>
      <c r="C14" s="415"/>
      <c r="D14" s="415"/>
      <c r="E14" s="416">
        <f t="shared" si="0"/>
        <v>0</v>
      </c>
    </row>
    <row r="15" spans="2:5" ht="22.5" hidden="1" customHeight="1">
      <c r="B15" s="396"/>
      <c r="C15" s="415"/>
      <c r="D15" s="415"/>
      <c r="E15" s="416">
        <f t="shared" si="0"/>
        <v>0</v>
      </c>
    </row>
    <row r="16" spans="2:5" ht="22.5" hidden="1" customHeight="1">
      <c r="B16" s="396"/>
      <c r="C16" s="415"/>
      <c r="D16" s="415"/>
      <c r="E16" s="416">
        <f t="shared" si="0"/>
        <v>0</v>
      </c>
    </row>
    <row r="17" spans="2:5" ht="22.5" hidden="1" customHeight="1">
      <c r="B17" s="396"/>
      <c r="C17" s="415"/>
      <c r="D17" s="415"/>
      <c r="E17" s="416">
        <f t="shared" si="0"/>
        <v>0</v>
      </c>
    </row>
    <row r="18" spans="2:5" ht="22.5" hidden="1" customHeight="1">
      <c r="B18" s="396"/>
      <c r="C18" s="415"/>
      <c r="D18" s="415"/>
      <c r="E18" s="416">
        <f t="shared" si="0"/>
        <v>0</v>
      </c>
    </row>
    <row r="19" spans="2:5" ht="22.5" hidden="1" customHeight="1">
      <c r="B19" s="26"/>
      <c r="C19" s="417"/>
      <c r="D19" s="417"/>
      <c r="E19" s="416">
        <f t="shared" si="0"/>
        <v>0</v>
      </c>
    </row>
    <row r="20" spans="2:5" ht="22.5" customHeight="1">
      <c r="B20" s="394" t="s">
        <v>25</v>
      </c>
      <c r="C20" s="418">
        <f>C21+C35+C46</f>
        <v>323863136</v>
      </c>
      <c r="D20" s="418">
        <f>D21+D35+D46</f>
        <v>-319487968</v>
      </c>
      <c r="E20" s="419">
        <f t="shared" si="0"/>
        <v>4375168</v>
      </c>
    </row>
    <row r="21" spans="2:5" ht="22.5" customHeight="1">
      <c r="B21" s="399" t="s">
        <v>26</v>
      </c>
      <c r="C21" s="401">
        <f>SUM(C22:C34)</f>
        <v>1056920</v>
      </c>
      <c r="D21" s="401">
        <f>SUM(D22:D34)</f>
        <v>-264868</v>
      </c>
      <c r="E21" s="420">
        <f t="shared" si="0"/>
        <v>792052</v>
      </c>
    </row>
    <row r="22" spans="2:5" ht="22.5" customHeight="1">
      <c r="B22" s="396" t="s">
        <v>27</v>
      </c>
      <c r="C22" s="415">
        <v>700993</v>
      </c>
      <c r="D22" s="415"/>
      <c r="E22" s="416">
        <f t="shared" si="0"/>
        <v>700993</v>
      </c>
    </row>
    <row r="23" spans="2:5" ht="22.5" customHeight="1">
      <c r="B23" s="396" t="s">
        <v>28</v>
      </c>
      <c r="C23" s="415">
        <v>264868</v>
      </c>
      <c r="D23" s="415">
        <f>-C23</f>
        <v>-264868</v>
      </c>
      <c r="E23" s="416">
        <f t="shared" si="0"/>
        <v>0</v>
      </c>
    </row>
    <row r="24" spans="2:5" ht="22.5" customHeight="1">
      <c r="B24" s="440" t="s">
        <v>29</v>
      </c>
      <c r="C24" s="415">
        <v>91059</v>
      </c>
      <c r="D24" s="415"/>
      <c r="E24" s="416">
        <f t="shared" si="0"/>
        <v>91059</v>
      </c>
    </row>
    <row r="25" spans="2:5" ht="22.5" hidden="1" customHeight="1">
      <c r="B25" s="396"/>
      <c r="C25" s="415"/>
      <c r="D25" s="415"/>
      <c r="E25" s="416">
        <f t="shared" si="0"/>
        <v>0</v>
      </c>
    </row>
    <row r="26" spans="2:5" ht="22.5" hidden="1" customHeight="1">
      <c r="B26" s="396"/>
      <c r="C26" s="415"/>
      <c r="D26" s="415"/>
      <c r="E26" s="416">
        <f t="shared" si="0"/>
        <v>0</v>
      </c>
    </row>
    <row r="27" spans="2:5" ht="22.5" hidden="1" customHeight="1">
      <c r="B27" s="396"/>
      <c r="C27" s="415"/>
      <c r="D27" s="415"/>
      <c r="E27" s="416">
        <f t="shared" si="0"/>
        <v>0</v>
      </c>
    </row>
    <row r="28" spans="2:5" ht="22.5" hidden="1" customHeight="1">
      <c r="B28" s="396"/>
      <c r="C28" s="415"/>
      <c r="D28" s="415"/>
      <c r="E28" s="416">
        <f t="shared" si="0"/>
        <v>0</v>
      </c>
    </row>
    <row r="29" spans="2:5" ht="22.5" hidden="1" customHeight="1">
      <c r="B29" s="396"/>
      <c r="C29" s="415"/>
      <c r="D29" s="415"/>
      <c r="E29" s="416">
        <f t="shared" si="0"/>
        <v>0</v>
      </c>
    </row>
    <row r="30" spans="2:5" ht="22.5" hidden="1" customHeight="1">
      <c r="B30" s="396"/>
      <c r="C30" s="415"/>
      <c r="D30" s="415"/>
      <c r="E30" s="416">
        <f t="shared" si="0"/>
        <v>0</v>
      </c>
    </row>
    <row r="31" spans="2:5" ht="22.5" hidden="1" customHeight="1">
      <c r="B31" s="396"/>
      <c r="C31" s="415"/>
      <c r="D31" s="415"/>
      <c r="E31" s="416">
        <f t="shared" si="0"/>
        <v>0</v>
      </c>
    </row>
    <row r="32" spans="2:5" ht="22.5" hidden="1" customHeight="1">
      <c r="B32" s="396"/>
      <c r="C32" s="415"/>
      <c r="D32" s="415"/>
      <c r="E32" s="416">
        <f t="shared" si="0"/>
        <v>0</v>
      </c>
    </row>
    <row r="33" spans="2:5" ht="22.5" hidden="1" customHeight="1">
      <c r="B33" s="396"/>
      <c r="C33" s="415"/>
      <c r="D33" s="415"/>
      <c r="E33" s="416">
        <f t="shared" si="0"/>
        <v>0</v>
      </c>
    </row>
    <row r="34" spans="2:5" ht="22.5" hidden="1" customHeight="1">
      <c r="B34" s="26"/>
      <c r="C34" s="417"/>
      <c r="D34" s="417"/>
      <c r="E34" s="416">
        <f t="shared" si="0"/>
        <v>0</v>
      </c>
    </row>
    <row r="35" spans="2:5" ht="22.5" customHeight="1">
      <c r="B35" s="399" t="s">
        <v>30</v>
      </c>
      <c r="C35" s="214">
        <f>SUM(C36:C45)</f>
        <v>2112001</v>
      </c>
      <c r="D35" s="421">
        <f>SUM(D36:D45)</f>
        <v>0</v>
      </c>
      <c r="E35" s="422">
        <f t="shared" si="0"/>
        <v>2112001</v>
      </c>
    </row>
    <row r="36" spans="2:5" ht="21.75" customHeight="1">
      <c r="B36" s="443" t="s">
        <v>31</v>
      </c>
      <c r="C36" s="415">
        <v>2112001</v>
      </c>
      <c r="D36" s="415"/>
      <c r="E36" s="416">
        <f t="shared" si="0"/>
        <v>2112001</v>
      </c>
    </row>
    <row r="37" spans="2:5" ht="21.75" hidden="1" customHeight="1">
      <c r="B37" s="396"/>
      <c r="C37" s="415"/>
      <c r="D37" s="415"/>
      <c r="E37" s="416">
        <f t="shared" ref="E37:E61" si="1">C37+D37</f>
        <v>0</v>
      </c>
    </row>
    <row r="38" spans="2:5" ht="21.75" hidden="1" customHeight="1">
      <c r="B38" s="396"/>
      <c r="C38" s="415"/>
      <c r="D38" s="415"/>
      <c r="E38" s="416">
        <f t="shared" si="1"/>
        <v>0</v>
      </c>
    </row>
    <row r="39" spans="2:5" ht="21.75" hidden="1" customHeight="1">
      <c r="B39" s="396"/>
      <c r="C39" s="415"/>
      <c r="D39" s="415"/>
      <c r="E39" s="416">
        <f t="shared" si="1"/>
        <v>0</v>
      </c>
    </row>
    <row r="40" spans="2:5" ht="21.75" hidden="1" customHeight="1">
      <c r="B40" s="396"/>
      <c r="C40" s="415"/>
      <c r="D40" s="415"/>
      <c r="E40" s="416">
        <f t="shared" si="1"/>
        <v>0</v>
      </c>
    </row>
    <row r="41" spans="2:5" ht="21.75" hidden="1" customHeight="1">
      <c r="B41" s="396"/>
      <c r="C41" s="415"/>
      <c r="D41" s="415"/>
      <c r="E41" s="416">
        <f t="shared" si="1"/>
        <v>0</v>
      </c>
    </row>
    <row r="42" spans="2:5" ht="21.75" hidden="1" customHeight="1">
      <c r="B42" s="396"/>
      <c r="C42" s="415"/>
      <c r="D42" s="415"/>
      <c r="E42" s="416">
        <f t="shared" si="1"/>
        <v>0</v>
      </c>
    </row>
    <row r="43" spans="2:5" ht="21.75" hidden="1" customHeight="1">
      <c r="B43" s="396"/>
      <c r="C43" s="415"/>
      <c r="D43" s="415"/>
      <c r="E43" s="416">
        <f t="shared" si="1"/>
        <v>0</v>
      </c>
    </row>
    <row r="44" spans="2:5" ht="21.75" hidden="1" customHeight="1">
      <c r="B44" s="396"/>
      <c r="C44" s="415"/>
      <c r="D44" s="415"/>
      <c r="E44" s="416">
        <f t="shared" si="1"/>
        <v>0</v>
      </c>
    </row>
    <row r="45" spans="2:5" ht="21.75" hidden="1" customHeight="1">
      <c r="B45" s="26"/>
      <c r="C45" s="417"/>
      <c r="D45" s="417"/>
      <c r="E45" s="416">
        <f t="shared" si="1"/>
        <v>0</v>
      </c>
    </row>
    <row r="46" spans="2:5" ht="21.75" customHeight="1">
      <c r="B46" s="399" t="s">
        <v>32</v>
      </c>
      <c r="C46" s="423">
        <f>SUM(C47:C54)</f>
        <v>320694215</v>
      </c>
      <c r="D46" s="424">
        <f>SUM(D47:D54)</f>
        <v>-319223100</v>
      </c>
      <c r="E46" s="425">
        <f t="shared" si="1"/>
        <v>1471115</v>
      </c>
    </row>
    <row r="47" spans="2:5" ht="22.5" customHeight="1">
      <c r="B47" s="426" t="s">
        <v>33</v>
      </c>
      <c r="C47" s="415">
        <v>275896334</v>
      </c>
      <c r="D47" s="415">
        <f>-C47</f>
        <v>-275896334</v>
      </c>
      <c r="E47" s="416">
        <f t="shared" si="1"/>
        <v>0</v>
      </c>
    </row>
    <row r="48" spans="2:5" ht="22.5" customHeight="1">
      <c r="B48" s="426" t="s">
        <v>34</v>
      </c>
      <c r="C48" s="415">
        <v>30000</v>
      </c>
      <c r="D48" s="415"/>
      <c r="E48" s="416">
        <f t="shared" si="1"/>
        <v>30000</v>
      </c>
    </row>
    <row r="49" spans="2:5" ht="22.5" customHeight="1">
      <c r="B49" s="426" t="s">
        <v>35</v>
      </c>
      <c r="C49" s="415">
        <v>50000</v>
      </c>
      <c r="D49" s="415"/>
      <c r="E49" s="416">
        <f t="shared" si="1"/>
        <v>50000</v>
      </c>
    </row>
    <row r="50" spans="2:5" ht="22.5" customHeight="1">
      <c r="B50" s="426" t="s">
        <v>36</v>
      </c>
      <c r="C50" s="415">
        <v>1263500</v>
      </c>
      <c r="D50" s="415"/>
      <c r="E50" s="416">
        <f t="shared" si="1"/>
        <v>1263500</v>
      </c>
    </row>
    <row r="51" spans="2:5" ht="22.5" customHeight="1">
      <c r="B51" s="426" t="s">
        <v>37</v>
      </c>
      <c r="C51" s="415">
        <v>25040</v>
      </c>
      <c r="D51" s="415"/>
      <c r="E51" s="416">
        <f t="shared" si="1"/>
        <v>25040</v>
      </c>
    </row>
    <row r="52" spans="2:5" ht="22.5" customHeight="1">
      <c r="B52" s="426" t="s">
        <v>38</v>
      </c>
      <c r="C52" s="415">
        <v>43326766</v>
      </c>
      <c r="D52" s="415">
        <f>-C52</f>
        <v>-43326766</v>
      </c>
      <c r="E52" s="416">
        <f t="shared" si="1"/>
        <v>0</v>
      </c>
    </row>
    <row r="53" spans="2:5" ht="22.5" customHeight="1">
      <c r="B53" s="426" t="s">
        <v>39</v>
      </c>
      <c r="C53" s="415">
        <v>102575</v>
      </c>
      <c r="D53" s="415"/>
      <c r="E53" s="416">
        <f t="shared" si="1"/>
        <v>102575</v>
      </c>
    </row>
    <row r="54" spans="2:5" ht="22.5" hidden="1" customHeight="1">
      <c r="B54" s="426"/>
      <c r="C54" s="415"/>
      <c r="D54" s="415"/>
      <c r="E54" s="416">
        <f t="shared" si="1"/>
        <v>0</v>
      </c>
    </row>
    <row r="55" spans="2:5" ht="21.75" customHeight="1">
      <c r="B55" s="427" t="s">
        <v>528</v>
      </c>
      <c r="C55" s="406">
        <f>SUM(C56:C59)</f>
        <v>0</v>
      </c>
      <c r="D55" s="406">
        <f>SUM(D56:D59)</f>
        <v>0</v>
      </c>
      <c r="E55" s="428">
        <f t="shared" si="1"/>
        <v>0</v>
      </c>
    </row>
    <row r="56" spans="2:5" ht="21.75" hidden="1" customHeight="1">
      <c r="B56" s="127"/>
      <c r="C56" s="429"/>
      <c r="D56" s="430"/>
      <c r="E56" s="431">
        <f t="shared" si="1"/>
        <v>0</v>
      </c>
    </row>
    <row r="57" spans="2:5" ht="21.75" hidden="1" customHeight="1">
      <c r="B57" s="426"/>
      <c r="C57" s="432"/>
      <c r="D57" s="432"/>
      <c r="E57" s="416">
        <f t="shared" si="1"/>
        <v>0</v>
      </c>
    </row>
    <row r="58" spans="2:5" ht="21.75" hidden="1" customHeight="1">
      <c r="B58" s="426"/>
      <c r="C58" s="432"/>
      <c r="D58" s="432"/>
      <c r="E58" s="416">
        <f t="shared" si="1"/>
        <v>0</v>
      </c>
    </row>
    <row r="59" spans="2:5" ht="21.75" hidden="1" customHeight="1">
      <c r="B59" s="132"/>
      <c r="C59" s="433"/>
      <c r="D59" s="433"/>
      <c r="E59" s="434">
        <f t="shared" si="1"/>
        <v>0</v>
      </c>
    </row>
    <row r="60" spans="2:5" ht="21.75" hidden="1" customHeight="1">
      <c r="B60" s="435" t="s">
        <v>158</v>
      </c>
      <c r="C60" s="436">
        <v>0</v>
      </c>
      <c r="D60" s="436">
        <v>0</v>
      </c>
      <c r="E60" s="437">
        <f t="shared" si="1"/>
        <v>0</v>
      </c>
    </row>
    <row r="61" spans="2:5" ht="22.5" customHeight="1">
      <c r="B61" s="407" t="s">
        <v>41</v>
      </c>
      <c r="C61" s="438">
        <f>C5+C20+C55+C60</f>
        <v>550007542</v>
      </c>
      <c r="D61" s="438">
        <f>D5+D20+D55+D60</f>
        <v>-325857131</v>
      </c>
      <c r="E61" s="439">
        <f t="shared" si="1"/>
        <v>224150411</v>
      </c>
    </row>
    <row r="62" spans="2:5" ht="18" customHeight="1">
      <c r="C62" s="409"/>
      <c r="D62" s="409"/>
      <c r="E62" s="409"/>
    </row>
    <row r="63" spans="2:5" ht="18" customHeight="1">
      <c r="C63" s="409"/>
      <c r="D63" s="409"/>
      <c r="E63" s="409"/>
    </row>
    <row r="64" spans="2:5" ht="18" customHeight="1">
      <c r="C64" s="409"/>
      <c r="D64" s="409"/>
      <c r="E64" s="409"/>
    </row>
    <row r="65" spans="3:5" ht="18" customHeight="1">
      <c r="C65" s="409"/>
      <c r="D65" s="409"/>
      <c r="E65" s="409"/>
    </row>
    <row r="66" spans="3:5" ht="18" customHeight="1">
      <c r="C66" s="409"/>
      <c r="D66" s="409"/>
      <c r="E66" s="409"/>
    </row>
    <row r="67" spans="3:5" ht="18" customHeight="1">
      <c r="C67" s="409"/>
      <c r="D67" s="409"/>
      <c r="E67" s="409"/>
    </row>
    <row r="68" spans="3:5" ht="18" customHeight="1">
      <c r="C68" s="409"/>
      <c r="D68" s="409"/>
      <c r="E68" s="409"/>
    </row>
    <row r="69" spans="3:5" ht="18" customHeight="1">
      <c r="C69" s="409"/>
      <c r="D69" s="409"/>
      <c r="E69" s="409"/>
    </row>
    <row r="70" spans="3:5" ht="18" customHeight="1">
      <c r="C70" s="409"/>
      <c r="D70" s="409"/>
      <c r="E70" s="409"/>
    </row>
    <row r="71" spans="3:5" ht="18" customHeight="1">
      <c r="C71" s="409"/>
      <c r="D71" s="409"/>
      <c r="E71" s="409"/>
    </row>
    <row r="72" spans="3:5" ht="18" customHeight="1">
      <c r="C72" s="409"/>
      <c r="D72" s="409"/>
      <c r="E72" s="409"/>
    </row>
    <row r="73" spans="3:5" ht="18" customHeight="1">
      <c r="C73" s="409"/>
      <c r="D73" s="409"/>
      <c r="E73" s="409"/>
    </row>
    <row r="74" spans="3:5" ht="18" customHeight="1">
      <c r="C74" s="409"/>
      <c r="D74" s="409"/>
      <c r="E74" s="409"/>
    </row>
    <row r="75" spans="3:5" ht="18" customHeight="1">
      <c r="C75" s="409"/>
      <c r="D75" s="409"/>
      <c r="E75" s="409"/>
    </row>
    <row r="76" spans="3:5" ht="18" customHeight="1">
      <c r="C76" s="409"/>
      <c r="D76" s="409"/>
      <c r="E76" s="409"/>
    </row>
    <row r="77" spans="3:5" ht="18" customHeight="1">
      <c r="C77" s="409"/>
      <c r="D77" s="409"/>
      <c r="E77" s="409"/>
    </row>
    <row r="78" spans="3:5" ht="18" customHeight="1">
      <c r="C78" s="409"/>
      <c r="D78" s="409"/>
      <c r="E78" s="409"/>
    </row>
    <row r="79" spans="3:5" ht="18" customHeight="1">
      <c r="C79" s="409"/>
      <c r="D79" s="409"/>
      <c r="E79" s="409"/>
    </row>
    <row r="80" spans="3:5" ht="18" customHeight="1">
      <c r="C80" s="409"/>
      <c r="D80" s="409"/>
      <c r="E80" s="409"/>
    </row>
    <row r="81" spans="3:5" ht="18" customHeight="1">
      <c r="C81" s="409"/>
      <c r="D81" s="409"/>
      <c r="E81" s="409"/>
    </row>
    <row r="82" spans="3:5" ht="18" customHeight="1">
      <c r="C82" s="409"/>
      <c r="D82" s="409"/>
      <c r="E82" s="409"/>
    </row>
    <row r="83" spans="3:5" ht="18" customHeight="1">
      <c r="C83" s="409"/>
      <c r="D83" s="409"/>
      <c r="E83" s="409"/>
    </row>
    <row r="84" spans="3:5" ht="18" customHeight="1">
      <c r="C84" s="409"/>
      <c r="D84" s="409"/>
      <c r="E84" s="409"/>
    </row>
    <row r="85" spans="3:5" ht="18" customHeight="1">
      <c r="C85" s="409"/>
      <c r="D85" s="409"/>
      <c r="E85" s="409"/>
    </row>
    <row r="86" spans="3:5" ht="18" customHeight="1">
      <c r="C86" s="409"/>
      <c r="D86" s="409"/>
      <c r="E86" s="409"/>
    </row>
    <row r="87" spans="3:5" ht="18" customHeight="1">
      <c r="C87" s="409"/>
      <c r="D87" s="409"/>
      <c r="E87" s="409"/>
    </row>
    <row r="88" spans="3:5" ht="18" customHeight="1">
      <c r="C88" s="409"/>
      <c r="D88" s="409"/>
      <c r="E88" s="409"/>
    </row>
    <row r="89" spans="3:5" ht="18" customHeight="1">
      <c r="C89" s="409"/>
      <c r="D89" s="409"/>
      <c r="E89" s="409"/>
    </row>
    <row r="90" spans="3:5" ht="18" customHeight="1">
      <c r="C90" s="409"/>
      <c r="D90" s="409"/>
      <c r="E90" s="409"/>
    </row>
    <row r="91" spans="3:5" ht="18" customHeight="1">
      <c r="C91" s="409"/>
      <c r="D91" s="409"/>
      <c r="E91" s="409"/>
    </row>
    <row r="92" spans="3:5" ht="18" customHeight="1">
      <c r="C92" s="409"/>
      <c r="D92" s="409"/>
      <c r="E92" s="409"/>
    </row>
    <row r="93" spans="3:5" ht="18" customHeight="1">
      <c r="C93" s="409"/>
      <c r="D93" s="409"/>
      <c r="E93" s="409"/>
    </row>
    <row r="94" spans="3:5" ht="18" customHeight="1">
      <c r="C94" s="409"/>
      <c r="D94" s="409"/>
      <c r="E94" s="409"/>
    </row>
    <row r="95" spans="3:5" ht="18" customHeight="1">
      <c r="C95" s="409"/>
      <c r="D95" s="409"/>
      <c r="E95" s="409"/>
    </row>
    <row r="96" spans="3:5" ht="18" customHeight="1">
      <c r="C96" s="262"/>
      <c r="D96" s="262"/>
      <c r="E96" s="262"/>
    </row>
    <row r="97" spans="3:5" ht="18" customHeight="1">
      <c r="C97" s="262"/>
      <c r="D97" s="262"/>
      <c r="E97" s="262"/>
    </row>
    <row r="98" spans="3:5" ht="18" customHeight="1">
      <c r="C98" s="262"/>
      <c r="D98" s="262"/>
      <c r="E98" s="262"/>
    </row>
    <row r="99" spans="3:5" ht="18" customHeight="1">
      <c r="C99" s="262"/>
      <c r="D99" s="262"/>
      <c r="E99" s="262"/>
    </row>
    <row r="100" spans="3:5" ht="18" customHeight="1">
      <c r="C100" s="262"/>
      <c r="D100" s="262"/>
      <c r="E100" s="262"/>
    </row>
    <row r="101" spans="3:5" ht="18" customHeight="1">
      <c r="C101" s="262"/>
      <c r="D101" s="262"/>
      <c r="E101" s="262"/>
    </row>
    <row r="102" spans="3:5" ht="18" customHeight="1">
      <c r="C102" s="262"/>
      <c r="D102" s="262"/>
      <c r="E102" s="262"/>
    </row>
    <row r="103" spans="3:5" ht="18" customHeight="1">
      <c r="C103" s="262"/>
      <c r="D103" s="262"/>
      <c r="E103" s="262"/>
    </row>
    <row r="104" spans="3:5" ht="18" customHeight="1">
      <c r="C104" s="262"/>
      <c r="D104" s="262"/>
      <c r="E104" s="262"/>
    </row>
    <row r="105" spans="3:5" ht="18" customHeight="1">
      <c r="C105" s="262"/>
      <c r="D105" s="262"/>
      <c r="E105" s="262"/>
    </row>
    <row r="106" spans="3:5" ht="18" customHeight="1">
      <c r="C106" s="262"/>
      <c r="D106" s="262"/>
      <c r="E106" s="262"/>
    </row>
    <row r="107" spans="3:5" ht="18" customHeight="1">
      <c r="C107" s="262"/>
      <c r="D107" s="262"/>
      <c r="E107" s="262"/>
    </row>
    <row r="108" spans="3:5" ht="18" customHeight="1">
      <c r="C108" s="262"/>
      <c r="D108" s="262"/>
      <c r="E108" s="262"/>
    </row>
    <row r="109" spans="3:5" ht="18" customHeight="1">
      <c r="C109" s="242"/>
      <c r="D109" s="242"/>
      <c r="E109" s="242"/>
    </row>
    <row r="110" spans="3:5" ht="18" customHeight="1">
      <c r="C110" s="242"/>
      <c r="D110" s="242"/>
      <c r="E110" s="242"/>
    </row>
    <row r="111" spans="3:5" ht="18" customHeight="1">
      <c r="C111" s="242"/>
      <c r="D111" s="242"/>
      <c r="E111" s="242"/>
    </row>
    <row r="112" spans="3:5" ht="18" customHeight="1">
      <c r="C112" s="242"/>
      <c r="D112" s="242"/>
      <c r="E112" s="242"/>
    </row>
    <row r="113" spans="3:5" ht="18" customHeight="1">
      <c r="C113" s="242"/>
      <c r="D113" s="242"/>
      <c r="E113" s="242"/>
    </row>
    <row r="114" spans="3:5" ht="18" customHeight="1">
      <c r="C114" s="242"/>
      <c r="D114" s="242"/>
      <c r="E114" s="242"/>
    </row>
    <row r="115" spans="3:5" ht="18" customHeight="1">
      <c r="C115" s="242"/>
      <c r="D115" s="242"/>
      <c r="E115" s="242"/>
    </row>
    <row r="116" spans="3:5" ht="18" customHeight="1">
      <c r="C116" s="242"/>
      <c r="D116" s="242"/>
      <c r="E116" s="242"/>
    </row>
    <row r="117" spans="3:5" ht="18" customHeight="1">
      <c r="C117" s="242"/>
      <c r="D117" s="242"/>
      <c r="E117" s="242"/>
    </row>
    <row r="118" spans="3:5" ht="18" customHeight="1">
      <c r="C118" s="242"/>
      <c r="D118" s="242"/>
      <c r="E118" s="242"/>
    </row>
    <row r="119" spans="3:5" ht="18" customHeight="1">
      <c r="C119" s="242"/>
      <c r="D119" s="242"/>
      <c r="E119" s="242"/>
    </row>
  </sheetData>
  <autoFilter ref="B4:E61" xr:uid="{00000000-0001-0000-0900-000000000000}">
    <filterColumn colId="0">
      <customFilters>
        <customFilter operator="notEqual" val=" "/>
      </customFilters>
    </filterColumn>
  </autoFilter>
  <mergeCells count="1">
    <mergeCell ref="B3:E3"/>
  </mergeCells>
  <phoneticPr fontId="60"/>
  <pageMargins left="0.7" right="0.7" top="0.75" bottom="0.75" header="0.511811023622047" footer="0.511811023622047"/>
  <pageSetup paperSize="9" orientation="portrait" horizontalDpi="300" verticalDpi="300"/>
  <ignoredErrors>
    <ignoredError sqref="C55:E61" formulaRange="1"/>
  </ignoredErrors>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filterMode="1">
    <tabColor rgb="FF0889C9"/>
  </sheetPr>
  <dimension ref="B2:H103"/>
  <sheetViews>
    <sheetView showGridLines="0" zoomScale="85" zoomScaleNormal="85" workbookViewId="0">
      <pane ySplit="4" topLeftCell="A5" activePane="bottomLeft" state="frozen"/>
      <selection activeCell="D61" sqref="D61"/>
      <selection pane="bottomLeft" activeCell="B44" activeCellId="1" sqref="B36:C36 B44:C44"/>
    </sheetView>
  </sheetViews>
  <sheetFormatPr defaultColWidth="8.5" defaultRowHeight="18"/>
  <cols>
    <col min="1" max="1" width="8.5" style="242"/>
    <col min="2" max="2" width="28" style="444" customWidth="1"/>
    <col min="3" max="5" width="16.1640625" style="391" customWidth="1"/>
    <col min="6" max="6" width="8.75" style="391" customWidth="1"/>
    <col min="7" max="16384" width="8.5" style="242"/>
  </cols>
  <sheetData>
    <row r="2" spans="2:5" ht="18.75" customHeight="1">
      <c r="E2" s="39" t="s">
        <v>527</v>
      </c>
    </row>
    <row r="3" spans="2:5" ht="27.75" customHeight="1">
      <c r="B3" s="634" t="s">
        <v>44</v>
      </c>
      <c r="C3" s="634"/>
      <c r="D3" s="634"/>
      <c r="E3" s="634"/>
    </row>
    <row r="4" spans="2:5" ht="19.5" customHeight="1">
      <c r="B4" s="1" t="s">
        <v>6</v>
      </c>
      <c r="C4" s="180" t="str">
        <f>'BS (貸方)'!E4</f>
        <v>26年1月期</v>
      </c>
      <c r="D4" s="445" t="s">
        <v>156</v>
      </c>
      <c r="E4" s="412" t="s">
        <v>157</v>
      </c>
    </row>
    <row r="5" spans="2:5" ht="22.5" customHeight="1">
      <c r="B5" s="446" t="s">
        <v>45</v>
      </c>
      <c r="C5" s="447">
        <f>SUM(C6:C17)</f>
        <v>70491633</v>
      </c>
      <c r="D5" s="413">
        <f>SUM(D6:D17)</f>
        <v>0</v>
      </c>
      <c r="E5" s="414">
        <f t="shared" ref="E5:E28" si="0">C5+D5</f>
        <v>70491633</v>
      </c>
    </row>
    <row r="6" spans="2:5" ht="22.5" customHeight="1">
      <c r="B6" s="448" t="s">
        <v>46</v>
      </c>
      <c r="C6" s="402">
        <v>9644516</v>
      </c>
      <c r="D6" s="449"/>
      <c r="E6" s="416">
        <f t="shared" si="0"/>
        <v>9644516</v>
      </c>
    </row>
    <row r="7" spans="2:5" ht="22.5" customHeight="1">
      <c r="B7" s="448" t="s">
        <v>47</v>
      </c>
      <c r="C7" s="402">
        <v>3947278</v>
      </c>
      <c r="D7" s="449"/>
      <c r="E7" s="416">
        <f t="shared" si="0"/>
        <v>3947278</v>
      </c>
    </row>
    <row r="8" spans="2:5" ht="22.5" customHeight="1">
      <c r="B8" s="448" t="s">
        <v>48</v>
      </c>
      <c r="C8" s="402">
        <v>2929500</v>
      </c>
      <c r="D8" s="449"/>
      <c r="E8" s="416">
        <f t="shared" si="0"/>
        <v>2929500</v>
      </c>
    </row>
    <row r="9" spans="2:5" ht="22.5" customHeight="1">
      <c r="B9" s="448" t="s">
        <v>49</v>
      </c>
      <c r="C9" s="402">
        <v>12017600</v>
      </c>
      <c r="D9" s="449"/>
      <c r="E9" s="416">
        <f t="shared" si="0"/>
        <v>12017600</v>
      </c>
    </row>
    <row r="10" spans="2:5" ht="22.5" customHeight="1">
      <c r="B10" s="448" t="s">
        <v>50</v>
      </c>
      <c r="C10" s="402">
        <v>124739</v>
      </c>
      <c r="D10" s="449"/>
      <c r="E10" s="416">
        <f t="shared" si="0"/>
        <v>124739</v>
      </c>
    </row>
    <row r="11" spans="2:5" ht="22.5" customHeight="1">
      <c r="B11" s="448" t="s">
        <v>52</v>
      </c>
      <c r="C11" s="402">
        <v>41828000</v>
      </c>
      <c r="D11" s="449"/>
      <c r="E11" s="416">
        <f t="shared" si="0"/>
        <v>41828000</v>
      </c>
    </row>
    <row r="12" spans="2:5" ht="22.5" hidden="1" customHeight="1">
      <c r="B12" s="448"/>
      <c r="C12" s="402"/>
      <c r="D12" s="449"/>
      <c r="E12" s="416">
        <f t="shared" si="0"/>
        <v>0</v>
      </c>
    </row>
    <row r="13" spans="2:5" ht="22.5" hidden="1" customHeight="1">
      <c r="B13" s="448"/>
      <c r="C13" s="402"/>
      <c r="D13" s="449"/>
      <c r="E13" s="416">
        <f t="shared" si="0"/>
        <v>0</v>
      </c>
    </row>
    <row r="14" spans="2:5" ht="22.5" hidden="1" customHeight="1">
      <c r="B14" s="448"/>
      <c r="C14" s="402"/>
      <c r="D14" s="449"/>
      <c r="E14" s="416">
        <f t="shared" si="0"/>
        <v>0</v>
      </c>
    </row>
    <row r="15" spans="2:5" ht="22.5" hidden="1" customHeight="1">
      <c r="B15" s="448"/>
      <c r="C15" s="402"/>
      <c r="D15" s="449"/>
      <c r="E15" s="416">
        <f t="shared" si="0"/>
        <v>0</v>
      </c>
    </row>
    <row r="16" spans="2:5" ht="22.5" hidden="1" customHeight="1">
      <c r="B16" s="448"/>
      <c r="C16" s="402"/>
      <c r="D16" s="449"/>
      <c r="E16" s="416">
        <f t="shared" si="0"/>
        <v>0</v>
      </c>
    </row>
    <row r="17" spans="2:5" ht="22.5" hidden="1" customHeight="1">
      <c r="B17" s="78"/>
      <c r="C17" s="403"/>
      <c r="D17" s="450"/>
      <c r="E17" s="416">
        <f t="shared" si="0"/>
        <v>0</v>
      </c>
    </row>
    <row r="18" spans="2:5" ht="22.5" customHeight="1">
      <c r="B18" s="446" t="s">
        <v>53</v>
      </c>
      <c r="C18" s="447">
        <f>SUM(C19:C26)</f>
        <v>145980000</v>
      </c>
      <c r="D18" s="413">
        <f>SUM(D19:D26)</f>
        <v>0</v>
      </c>
      <c r="E18" s="419">
        <f t="shared" si="0"/>
        <v>145980000</v>
      </c>
    </row>
    <row r="19" spans="2:5" ht="22.5" customHeight="1">
      <c r="B19" s="448" t="s">
        <v>54</v>
      </c>
      <c r="C19" s="402">
        <v>145980000</v>
      </c>
      <c r="D19" s="449"/>
      <c r="E19" s="416">
        <f t="shared" si="0"/>
        <v>145980000</v>
      </c>
    </row>
    <row r="20" spans="2:5" ht="22.5" hidden="1" customHeight="1">
      <c r="B20" s="448"/>
      <c r="C20" s="402"/>
      <c r="D20" s="449"/>
      <c r="E20" s="416">
        <f t="shared" si="0"/>
        <v>0</v>
      </c>
    </row>
    <row r="21" spans="2:5" ht="22.5" hidden="1" customHeight="1">
      <c r="B21" s="448"/>
      <c r="C21" s="402"/>
      <c r="D21" s="449"/>
      <c r="E21" s="416">
        <f t="shared" si="0"/>
        <v>0</v>
      </c>
    </row>
    <row r="22" spans="2:5" ht="22.5" hidden="1" customHeight="1">
      <c r="B22" s="448"/>
      <c r="C22" s="402"/>
      <c r="D22" s="449"/>
      <c r="E22" s="416">
        <f t="shared" si="0"/>
        <v>0</v>
      </c>
    </row>
    <row r="23" spans="2:5" ht="22.5" hidden="1" customHeight="1">
      <c r="B23" s="448"/>
      <c r="C23" s="402"/>
      <c r="D23" s="449"/>
      <c r="E23" s="416">
        <f t="shared" si="0"/>
        <v>0</v>
      </c>
    </row>
    <row r="24" spans="2:5" ht="22.5" hidden="1" customHeight="1">
      <c r="B24" s="448"/>
      <c r="C24" s="402"/>
      <c r="D24" s="449"/>
      <c r="E24" s="416">
        <f t="shared" si="0"/>
        <v>0</v>
      </c>
    </row>
    <row r="25" spans="2:5" ht="22.5" hidden="1" customHeight="1">
      <c r="B25" s="448"/>
      <c r="C25" s="402"/>
      <c r="D25" s="449"/>
      <c r="E25" s="416">
        <f t="shared" si="0"/>
        <v>0</v>
      </c>
    </row>
    <row r="26" spans="2:5" ht="22.5" hidden="1" customHeight="1">
      <c r="B26" s="448"/>
      <c r="C26" s="402"/>
      <c r="D26" s="449"/>
      <c r="E26" s="416">
        <f t="shared" si="0"/>
        <v>0</v>
      </c>
    </row>
    <row r="27" spans="2:5" ht="22.5" customHeight="1">
      <c r="B27" s="451" t="s">
        <v>182</v>
      </c>
      <c r="C27" s="418">
        <v>0</v>
      </c>
      <c r="D27" s="452">
        <v>0</v>
      </c>
      <c r="E27" s="419">
        <f t="shared" si="0"/>
        <v>0</v>
      </c>
    </row>
    <row r="28" spans="2:5" ht="22.5" customHeight="1">
      <c r="B28" s="453" t="s">
        <v>55</v>
      </c>
      <c r="C28" s="454">
        <f>C5+C18+C27</f>
        <v>216471633</v>
      </c>
      <c r="D28" s="455">
        <f>D5+D18+D27</f>
        <v>0</v>
      </c>
      <c r="E28" s="456">
        <f t="shared" si="0"/>
        <v>216471633</v>
      </c>
    </row>
    <row r="29" spans="2:5" ht="22.5" hidden="1" customHeight="1">
      <c r="B29" s="457"/>
      <c r="C29" s="458"/>
      <c r="D29" s="458"/>
      <c r="E29" s="458"/>
    </row>
    <row r="30" spans="2:5" ht="22.5" hidden="1" customHeight="1">
      <c r="B30" s="457"/>
      <c r="C30" s="415"/>
      <c r="D30" s="415"/>
      <c r="E30" s="415"/>
    </row>
    <row r="31" spans="2:5" ht="22.5" hidden="1" customHeight="1">
      <c r="B31" s="457"/>
      <c r="C31" s="415"/>
      <c r="D31" s="415"/>
      <c r="E31" s="415"/>
    </row>
    <row r="32" spans="2:5" ht="22.5" hidden="1" customHeight="1">
      <c r="B32" s="457"/>
      <c r="C32" s="415"/>
      <c r="D32" s="415"/>
      <c r="E32" s="415"/>
    </row>
    <row r="33" spans="2:5" ht="22.5" hidden="1" customHeight="1">
      <c r="B33" s="457"/>
      <c r="C33" s="415"/>
      <c r="D33" s="415"/>
      <c r="E33" s="415"/>
    </row>
    <row r="34" spans="2:5" ht="21.75" customHeight="1">
      <c r="B34" s="635" t="s">
        <v>56</v>
      </c>
      <c r="C34" s="635"/>
      <c r="D34" s="635"/>
      <c r="E34" s="635"/>
    </row>
    <row r="35" spans="2:5" ht="21.75" customHeight="1">
      <c r="B35" s="446" t="s">
        <v>57</v>
      </c>
      <c r="C35" s="447">
        <f>SUM(C36:C38)</f>
        <v>10000000</v>
      </c>
      <c r="D35" s="413">
        <f>SUM(D36:D38)</f>
        <v>0</v>
      </c>
      <c r="E35" s="414">
        <f t="shared" ref="E35:E53" si="1">C35+D35</f>
        <v>10000000</v>
      </c>
    </row>
    <row r="36" spans="2:5" ht="21.75" customHeight="1">
      <c r="B36" s="459" t="s">
        <v>58</v>
      </c>
      <c r="C36" s="458">
        <v>10000000</v>
      </c>
      <c r="D36" s="415"/>
      <c r="E36" s="416">
        <f t="shared" si="1"/>
        <v>10000000</v>
      </c>
    </row>
    <row r="37" spans="2:5" ht="21.75" hidden="1" customHeight="1">
      <c r="B37" s="459"/>
      <c r="C37" s="415"/>
      <c r="D37" s="415"/>
      <c r="E37" s="416">
        <f t="shared" si="1"/>
        <v>0</v>
      </c>
    </row>
    <row r="38" spans="2:5" ht="21.75" hidden="1" customHeight="1">
      <c r="B38" s="188"/>
      <c r="C38" s="403"/>
      <c r="D38" s="450"/>
      <c r="E38" s="416">
        <f t="shared" si="1"/>
        <v>0</v>
      </c>
    </row>
    <row r="39" spans="2:5" ht="21.75" customHeight="1">
      <c r="B39" s="446" t="s">
        <v>59</v>
      </c>
      <c r="C39" s="418">
        <f>SUM(C40:C42)</f>
        <v>0</v>
      </c>
      <c r="D39" s="452">
        <f>SUM(D40:D42)</f>
        <v>0</v>
      </c>
      <c r="E39" s="419">
        <f t="shared" si="1"/>
        <v>0</v>
      </c>
    </row>
    <row r="40" spans="2:5" ht="21.75" hidden="1" customHeight="1">
      <c r="B40" s="189"/>
      <c r="C40" s="460"/>
      <c r="D40" s="461"/>
      <c r="E40" s="431">
        <f t="shared" si="1"/>
        <v>0</v>
      </c>
    </row>
    <row r="41" spans="2:5" ht="21.75" hidden="1" customHeight="1">
      <c r="B41" s="459"/>
      <c r="C41" s="402"/>
      <c r="D41" s="449"/>
      <c r="E41" s="416">
        <f t="shared" si="1"/>
        <v>0</v>
      </c>
    </row>
    <row r="42" spans="2:5" ht="21.75" hidden="1" customHeight="1">
      <c r="B42" s="188"/>
      <c r="C42" s="403"/>
      <c r="D42" s="450"/>
      <c r="E42" s="416">
        <f t="shared" si="1"/>
        <v>0</v>
      </c>
    </row>
    <row r="43" spans="2:5" ht="22.5" customHeight="1">
      <c r="B43" s="446" t="s">
        <v>60</v>
      </c>
      <c r="C43" s="418">
        <f>SUM(C44:C47)</f>
        <v>323535909</v>
      </c>
      <c r="D43" s="452">
        <f>SUM(D44:D47)</f>
        <v>0</v>
      </c>
      <c r="E43" s="419">
        <f t="shared" si="1"/>
        <v>323535909</v>
      </c>
    </row>
    <row r="44" spans="2:5" ht="22.5" customHeight="1">
      <c r="B44" s="459" t="s">
        <v>61</v>
      </c>
      <c r="C44" s="458">
        <v>323535909</v>
      </c>
      <c r="D44" s="415"/>
      <c r="E44" s="416">
        <f t="shared" si="1"/>
        <v>323535909</v>
      </c>
    </row>
    <row r="45" spans="2:5" ht="22.5" hidden="1" customHeight="1">
      <c r="B45" s="459"/>
      <c r="C45" s="415"/>
      <c r="D45" s="415"/>
      <c r="E45" s="416">
        <f t="shared" si="1"/>
        <v>0</v>
      </c>
    </row>
    <row r="46" spans="2:5" ht="22.5" hidden="1" customHeight="1">
      <c r="B46" s="459"/>
      <c r="C46" s="415"/>
      <c r="D46" s="415"/>
      <c r="E46" s="416">
        <f t="shared" si="1"/>
        <v>0</v>
      </c>
    </row>
    <row r="47" spans="2:5" ht="22.5" hidden="1" customHeight="1">
      <c r="B47" s="188"/>
      <c r="C47" s="403"/>
      <c r="D47" s="450"/>
      <c r="E47" s="416">
        <f t="shared" si="1"/>
        <v>0</v>
      </c>
    </row>
    <row r="48" spans="2:5" ht="22.5" customHeight="1">
      <c r="B48" s="451" t="s">
        <v>62</v>
      </c>
      <c r="C48" s="418">
        <v>0</v>
      </c>
      <c r="D48" s="452">
        <v>0</v>
      </c>
      <c r="E48" s="419">
        <f t="shared" si="1"/>
        <v>0</v>
      </c>
    </row>
    <row r="49" spans="2:8" ht="22.5" customHeight="1">
      <c r="B49" s="451" t="s">
        <v>183</v>
      </c>
      <c r="C49" s="418"/>
      <c r="D49" s="452">
        <f>SUM(D50:D51)</f>
        <v>-325857131</v>
      </c>
      <c r="E49" s="419">
        <f t="shared" si="1"/>
        <v>-325857131</v>
      </c>
    </row>
    <row r="50" spans="2:8" ht="22.5" customHeight="1">
      <c r="B50" s="462" t="s">
        <v>156</v>
      </c>
      <c r="C50" s="463"/>
      <c r="D50" s="464">
        <f>'修正BS(借方)'!D61-D28</f>
        <v>-325857131</v>
      </c>
      <c r="E50" s="465">
        <f t="shared" si="1"/>
        <v>-325857131</v>
      </c>
    </row>
    <row r="51" spans="2:8" ht="22.5" hidden="1" customHeight="1">
      <c r="B51" s="466" t="s">
        <v>184</v>
      </c>
      <c r="C51" s="401"/>
      <c r="D51" s="467">
        <f>'修正BS(借方)'!D60-D27</f>
        <v>0</v>
      </c>
      <c r="E51" s="420">
        <f t="shared" si="1"/>
        <v>0</v>
      </c>
    </row>
    <row r="52" spans="2:8" ht="22.5" customHeight="1">
      <c r="B52" s="468" t="s">
        <v>63</v>
      </c>
      <c r="C52" s="469">
        <f>C35+C39+C43+C48</f>
        <v>333535909</v>
      </c>
      <c r="D52" s="469">
        <f>D35+D39+D43+D48+D49</f>
        <v>-325857131</v>
      </c>
      <c r="E52" s="470">
        <f>C52+D52</f>
        <v>7678778</v>
      </c>
      <c r="H52" s="474">
        <v>14514</v>
      </c>
    </row>
    <row r="53" spans="2:8" ht="22.5" customHeight="1">
      <c r="B53" s="471" t="s">
        <v>64</v>
      </c>
      <c r="C53" s="472">
        <f>C28+C52</f>
        <v>550007542</v>
      </c>
      <c r="D53" s="472">
        <f>D28+D52</f>
        <v>-325857131</v>
      </c>
      <c r="E53" s="473">
        <f t="shared" si="1"/>
        <v>224150411</v>
      </c>
    </row>
    <row r="54" spans="2:8" ht="18" customHeight="1">
      <c r="C54" s="409"/>
      <c r="D54" s="409"/>
      <c r="E54" s="409"/>
    </row>
    <row r="55" spans="2:8" ht="18" customHeight="1">
      <c r="C55" s="409" t="b">
        <f>C53='修正BS(借方)'!C61</f>
        <v>1</v>
      </c>
      <c r="D55" s="409"/>
      <c r="E55" s="409"/>
    </row>
    <row r="56" spans="2:8" ht="18" customHeight="1">
      <c r="C56" s="409"/>
      <c r="D56" s="409"/>
      <c r="E56" s="409"/>
    </row>
    <row r="57" spans="2:8" ht="18" customHeight="1">
      <c r="C57" s="409"/>
      <c r="D57" s="409"/>
      <c r="E57" s="409"/>
    </row>
    <row r="58" spans="2:8" ht="18" customHeight="1">
      <c r="C58" s="409"/>
      <c r="D58" s="409"/>
      <c r="E58" s="409"/>
    </row>
    <row r="59" spans="2:8" ht="18" customHeight="1">
      <c r="C59" s="409"/>
      <c r="D59" s="409"/>
      <c r="E59" s="409"/>
    </row>
    <row r="60" spans="2:8" ht="18" customHeight="1">
      <c r="C60" s="409"/>
      <c r="D60" s="409"/>
      <c r="E60" s="409"/>
    </row>
    <row r="61" spans="2:8" ht="18" customHeight="1">
      <c r="C61" s="409"/>
      <c r="D61" s="409"/>
      <c r="E61" s="409"/>
    </row>
    <row r="62" spans="2:8" ht="18" customHeight="1">
      <c r="C62" s="409"/>
      <c r="D62" s="409"/>
      <c r="E62" s="409"/>
    </row>
    <row r="63" spans="2:8" ht="18" customHeight="1">
      <c r="C63" s="409"/>
      <c r="D63" s="409"/>
      <c r="E63" s="409"/>
    </row>
    <row r="64" spans="2:8" ht="18" customHeight="1">
      <c r="C64" s="409"/>
      <c r="D64" s="409"/>
      <c r="E64" s="409"/>
    </row>
    <row r="65" spans="3:5" ht="18" customHeight="1">
      <c r="C65" s="409"/>
      <c r="D65" s="409"/>
      <c r="E65" s="409"/>
    </row>
    <row r="66" spans="3:5" ht="18" customHeight="1">
      <c r="C66" s="409"/>
      <c r="D66" s="409"/>
      <c r="E66" s="409"/>
    </row>
    <row r="67" spans="3:5" ht="18" customHeight="1">
      <c r="C67" s="409"/>
      <c r="D67" s="409"/>
      <c r="E67" s="409"/>
    </row>
    <row r="68" spans="3:5" ht="18" customHeight="1">
      <c r="C68" s="409"/>
      <c r="D68" s="409"/>
      <c r="E68" s="409"/>
    </row>
    <row r="69" spans="3:5" ht="18" customHeight="1">
      <c r="C69" s="409"/>
      <c r="D69" s="409"/>
      <c r="E69" s="409"/>
    </row>
    <row r="70" spans="3:5" ht="18" customHeight="1">
      <c r="C70" s="409"/>
      <c r="D70" s="409"/>
      <c r="E70" s="409"/>
    </row>
    <row r="71" spans="3:5" ht="18" customHeight="1">
      <c r="C71" s="409"/>
      <c r="D71" s="409"/>
      <c r="E71" s="409"/>
    </row>
    <row r="72" spans="3:5" ht="18" customHeight="1">
      <c r="C72" s="409"/>
      <c r="D72" s="409"/>
      <c r="E72" s="409"/>
    </row>
    <row r="73" spans="3:5" ht="18" customHeight="1">
      <c r="C73" s="409"/>
      <c r="D73" s="409"/>
      <c r="E73" s="409"/>
    </row>
    <row r="74" spans="3:5" ht="18" customHeight="1">
      <c r="C74" s="409"/>
      <c r="D74" s="409"/>
      <c r="E74" s="409"/>
    </row>
    <row r="75" spans="3:5" ht="18" customHeight="1">
      <c r="C75" s="409"/>
      <c r="D75" s="409"/>
      <c r="E75" s="409"/>
    </row>
    <row r="76" spans="3:5" ht="18" customHeight="1">
      <c r="C76" s="409"/>
      <c r="D76" s="409"/>
      <c r="E76" s="409"/>
    </row>
    <row r="77" spans="3:5" ht="18" customHeight="1">
      <c r="C77" s="409"/>
      <c r="D77" s="409"/>
      <c r="E77" s="409"/>
    </row>
    <row r="78" spans="3:5" ht="18" customHeight="1">
      <c r="C78" s="409"/>
      <c r="D78" s="409"/>
      <c r="E78" s="409"/>
    </row>
    <row r="79" spans="3:5" ht="18" customHeight="1">
      <c r="C79" s="409"/>
      <c r="D79" s="409"/>
      <c r="E79" s="409"/>
    </row>
    <row r="80" spans="3:5" ht="18" customHeight="1">
      <c r="C80" s="409"/>
      <c r="D80" s="409"/>
      <c r="E80" s="409"/>
    </row>
    <row r="81" spans="3:5" ht="18" customHeight="1">
      <c r="C81" s="409"/>
      <c r="D81" s="409"/>
      <c r="E81" s="409"/>
    </row>
    <row r="82" spans="3:5" ht="18" customHeight="1">
      <c r="C82" s="409"/>
      <c r="D82" s="409"/>
      <c r="E82" s="409"/>
    </row>
    <row r="83" spans="3:5" ht="18" customHeight="1">
      <c r="C83" s="409"/>
      <c r="D83" s="409"/>
      <c r="E83" s="409"/>
    </row>
    <row r="84" spans="3:5" ht="18" customHeight="1">
      <c r="C84" s="409"/>
      <c r="D84" s="409"/>
      <c r="E84" s="409"/>
    </row>
    <row r="85" spans="3:5" ht="18" customHeight="1">
      <c r="C85" s="409"/>
      <c r="D85" s="409"/>
      <c r="E85" s="409"/>
    </row>
    <row r="86" spans="3:5" ht="18" customHeight="1">
      <c r="C86" s="409"/>
      <c r="D86" s="409"/>
      <c r="E86" s="409"/>
    </row>
    <row r="87" spans="3:5" ht="18" customHeight="1">
      <c r="C87" s="409"/>
      <c r="D87" s="409"/>
      <c r="E87" s="409"/>
    </row>
    <row r="88" spans="3:5" ht="18" customHeight="1">
      <c r="C88" s="409"/>
      <c r="D88" s="409"/>
      <c r="E88" s="409"/>
    </row>
    <row r="89" spans="3:5" ht="18" customHeight="1">
      <c r="C89" s="409"/>
      <c r="D89" s="409"/>
      <c r="E89" s="409"/>
    </row>
    <row r="90" spans="3:5" ht="18" customHeight="1">
      <c r="C90" s="409"/>
      <c r="D90" s="409"/>
      <c r="E90" s="409"/>
    </row>
    <row r="91" spans="3:5" ht="18" customHeight="1">
      <c r="C91" s="409"/>
      <c r="D91" s="409"/>
      <c r="E91" s="409"/>
    </row>
    <row r="92" spans="3:5" ht="18" customHeight="1">
      <c r="C92" s="409"/>
      <c r="D92" s="409"/>
      <c r="E92" s="409"/>
    </row>
    <row r="93" spans="3:5" ht="18" customHeight="1">
      <c r="C93" s="409"/>
      <c r="D93" s="409"/>
      <c r="E93" s="409"/>
    </row>
    <row r="94" spans="3:5" ht="18" customHeight="1">
      <c r="C94" s="409"/>
      <c r="D94" s="409"/>
      <c r="E94" s="409"/>
    </row>
    <row r="95" spans="3:5" ht="18" customHeight="1">
      <c r="C95" s="409"/>
      <c r="D95" s="409"/>
      <c r="E95" s="409"/>
    </row>
    <row r="96" spans="3:5" ht="18" customHeight="1">
      <c r="C96" s="409"/>
      <c r="D96" s="409"/>
      <c r="E96" s="409"/>
    </row>
    <row r="97" spans="3:5" ht="18" customHeight="1">
      <c r="C97" s="409"/>
      <c r="D97" s="409"/>
      <c r="E97" s="409"/>
    </row>
    <row r="98" spans="3:5" ht="18" customHeight="1">
      <c r="C98" s="409"/>
      <c r="D98" s="409"/>
      <c r="E98" s="409"/>
    </row>
    <row r="99" spans="3:5" ht="18" customHeight="1">
      <c r="C99" s="409"/>
      <c r="D99" s="409"/>
      <c r="E99" s="409"/>
    </row>
    <row r="100" spans="3:5" ht="18" customHeight="1">
      <c r="C100" s="409"/>
      <c r="D100" s="409"/>
      <c r="E100" s="409"/>
    </row>
    <row r="101" spans="3:5" ht="18" customHeight="1">
      <c r="C101" s="409"/>
      <c r="D101" s="409"/>
      <c r="E101" s="409"/>
    </row>
    <row r="102" spans="3:5" ht="18" customHeight="1">
      <c r="C102" s="409"/>
      <c r="D102" s="409"/>
      <c r="E102" s="409"/>
    </row>
    <row r="103" spans="3:5" ht="18" customHeight="1">
      <c r="C103" s="409"/>
      <c r="D103" s="409"/>
      <c r="E103" s="409"/>
    </row>
  </sheetData>
  <autoFilter ref="B4:E53" xr:uid="{00000000-0001-0000-0F00-000000000000}">
    <filterColumn colId="0">
      <customFilters>
        <customFilter operator="notEqual" val=" "/>
      </customFilters>
    </filterColumn>
  </autoFilter>
  <mergeCells count="2">
    <mergeCell ref="B3:E3"/>
    <mergeCell ref="B34:E34"/>
  </mergeCells>
  <phoneticPr fontId="60"/>
  <pageMargins left="0.7" right="0.7" top="0.75" bottom="0.75" header="0.511811023622047" footer="0.511811023622047"/>
  <pageSetup paperSize="9" orientation="portrait" horizontalDpi="300" verticalDpi="300"/>
  <ignoredErrors>
    <ignoredError sqref="C43:E49" formulaRange="1"/>
  </ignoredError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889C9"/>
  </sheetPr>
  <dimension ref="B1:S73"/>
  <sheetViews>
    <sheetView showGridLines="0" zoomScale="70" zoomScaleNormal="70" workbookViewId="0">
      <pane ySplit="4" topLeftCell="A26" activePane="bottomLeft" state="frozen"/>
      <selection pane="bottomLeft" activeCell="B2" sqref="B2:K51"/>
    </sheetView>
  </sheetViews>
  <sheetFormatPr defaultColWidth="8.5" defaultRowHeight="18"/>
  <cols>
    <col min="1" max="1" width="8.5" style="242"/>
    <col min="2" max="2" width="28" style="444" customWidth="1"/>
    <col min="3" max="17" width="15" style="390" customWidth="1"/>
    <col min="18" max="18" width="16.1640625" style="391" customWidth="1"/>
    <col min="19" max="19" width="8.75" style="391" customWidth="1"/>
    <col min="20" max="16384" width="8.5" style="242"/>
  </cols>
  <sheetData>
    <row r="1" spans="2:19" ht="18" customHeight="1">
      <c r="B1" s="390"/>
      <c r="C1" s="242"/>
      <c r="D1" s="242"/>
      <c r="E1" s="242"/>
      <c r="F1" s="242"/>
      <c r="G1" s="242"/>
      <c r="H1" s="242"/>
      <c r="I1" s="242"/>
      <c r="J1" s="242"/>
      <c r="K1" s="242"/>
      <c r="L1" s="242"/>
      <c r="M1" s="242"/>
      <c r="N1" s="242"/>
      <c r="O1" s="242"/>
      <c r="P1" s="242"/>
      <c r="Q1" s="242"/>
    </row>
    <row r="2" spans="2:19" ht="18.75" customHeight="1">
      <c r="B2" s="242"/>
      <c r="C2" s="444"/>
      <c r="D2" s="242"/>
      <c r="E2" s="242"/>
      <c r="F2" s="444"/>
      <c r="G2" s="242"/>
      <c r="H2" s="242"/>
      <c r="I2" s="444"/>
      <c r="J2" s="242"/>
      <c r="K2" s="39" t="s">
        <v>527</v>
      </c>
      <c r="L2" s="444"/>
      <c r="M2" s="242"/>
      <c r="N2" s="242"/>
      <c r="O2" s="444"/>
      <c r="P2" s="242"/>
      <c r="Q2" s="242"/>
      <c r="S2" s="39"/>
    </row>
    <row r="3" spans="2:19" ht="20.25" customHeight="1">
      <c r="B3" s="625" t="s">
        <v>6</v>
      </c>
      <c r="C3" s="626" t="str">
        <f>'BS(借方)'!C4</f>
        <v>24年1月期</v>
      </c>
      <c r="D3" s="626"/>
      <c r="E3" s="626"/>
      <c r="F3" s="626" t="str">
        <f>'BS(借方)'!D4</f>
        <v>25年1月期</v>
      </c>
      <c r="G3" s="626"/>
      <c r="H3" s="626"/>
      <c r="I3" s="626" t="str">
        <f>'BS(借方)'!E4</f>
        <v>26年1月期</v>
      </c>
      <c r="J3" s="626"/>
      <c r="K3" s="626"/>
      <c r="L3" s="626" t="str">
        <f>'BS(借方)'!F4</f>
        <v>●●年●月期</v>
      </c>
      <c r="M3" s="626"/>
      <c r="N3" s="626"/>
      <c r="O3" s="636" t="str">
        <f>'BS(借方)'!G4</f>
        <v>●●年●月
（●か月TB）</v>
      </c>
      <c r="P3" s="636"/>
      <c r="Q3" s="636"/>
    </row>
    <row r="4" spans="2:19" ht="19.5" customHeight="1">
      <c r="B4" s="625"/>
      <c r="C4" s="511" t="s">
        <v>66</v>
      </c>
      <c r="D4" s="512" t="s">
        <v>156</v>
      </c>
      <c r="E4" s="513" t="s">
        <v>157</v>
      </c>
      <c r="F4" s="519" t="s">
        <v>66</v>
      </c>
      <c r="G4" s="512" t="s">
        <v>156</v>
      </c>
      <c r="H4" s="513" t="s">
        <v>157</v>
      </c>
      <c r="I4" s="511" t="s">
        <v>66</v>
      </c>
      <c r="J4" s="512" t="s">
        <v>156</v>
      </c>
      <c r="K4" s="513" t="s">
        <v>157</v>
      </c>
      <c r="L4" s="511" t="s">
        <v>66</v>
      </c>
      <c r="M4" s="512" t="s">
        <v>156</v>
      </c>
      <c r="N4" s="513" t="s">
        <v>157</v>
      </c>
      <c r="O4" s="514" t="s">
        <v>66</v>
      </c>
      <c r="P4" s="514" t="s">
        <v>156</v>
      </c>
      <c r="Q4" s="513" t="s">
        <v>157</v>
      </c>
    </row>
    <row r="5" spans="2:19" ht="22.5" customHeight="1">
      <c r="B5" s="498" t="s">
        <v>68</v>
      </c>
      <c r="C5" s="402">
        <v>301575965</v>
      </c>
      <c r="D5" s="449"/>
      <c r="E5" s="416">
        <f t="shared" ref="E5:E36" si="0">C5+D5</f>
        <v>301575965</v>
      </c>
      <c r="F5" s="402">
        <v>285379413</v>
      </c>
      <c r="G5" s="449"/>
      <c r="H5" s="416">
        <f t="shared" ref="H5:H36" si="1">F5+G5</f>
        <v>285379413</v>
      </c>
      <c r="I5" s="402">
        <v>387747182</v>
      </c>
      <c r="J5" s="449"/>
      <c r="K5" s="416">
        <f t="shared" ref="K5:K36" si="2">I5+J5</f>
        <v>387747182</v>
      </c>
      <c r="L5" s="402"/>
      <c r="M5" s="449"/>
      <c r="N5" s="416">
        <f t="shared" ref="N5:N36" si="3">L5+M5</f>
        <v>0</v>
      </c>
      <c r="O5" s="402"/>
      <c r="P5" s="449"/>
      <c r="Q5" s="416">
        <f t="shared" ref="Q5:Q36" si="4">O5+P5</f>
        <v>0</v>
      </c>
    </row>
    <row r="6" spans="2:19" ht="22.5" customHeight="1">
      <c r="B6" s="489" t="s">
        <v>69</v>
      </c>
      <c r="C6" s="402">
        <v>15179525</v>
      </c>
      <c r="D6" s="449"/>
      <c r="E6" s="416">
        <f t="shared" si="0"/>
        <v>15179525</v>
      </c>
      <c r="F6" s="402">
        <v>158488638</v>
      </c>
      <c r="G6" s="449"/>
      <c r="H6" s="416">
        <f t="shared" si="1"/>
        <v>158488638</v>
      </c>
      <c r="I6" s="402">
        <v>34727325</v>
      </c>
      <c r="J6" s="449"/>
      <c r="K6" s="416">
        <f t="shared" si="2"/>
        <v>34727325</v>
      </c>
      <c r="L6" s="402"/>
      <c r="M6" s="449"/>
      <c r="N6" s="416">
        <f t="shared" si="3"/>
        <v>0</v>
      </c>
      <c r="O6" s="402"/>
      <c r="P6" s="449"/>
      <c r="Q6" s="416">
        <f t="shared" si="4"/>
        <v>0</v>
      </c>
    </row>
    <row r="7" spans="2:19" ht="22.5" hidden="1" customHeight="1">
      <c r="B7" s="489"/>
      <c r="C7" s="402"/>
      <c r="D7" s="449"/>
      <c r="E7" s="416">
        <f t="shared" si="0"/>
        <v>0</v>
      </c>
      <c r="F7" s="402"/>
      <c r="G7" s="449"/>
      <c r="H7" s="416">
        <f t="shared" si="1"/>
        <v>0</v>
      </c>
      <c r="I7" s="402"/>
      <c r="J7" s="449"/>
      <c r="K7" s="416">
        <f t="shared" si="2"/>
        <v>0</v>
      </c>
      <c r="L7" s="402"/>
      <c r="M7" s="449"/>
      <c r="N7" s="416">
        <f t="shared" si="3"/>
        <v>0</v>
      </c>
      <c r="O7" s="402"/>
      <c r="P7" s="449"/>
      <c r="Q7" s="416">
        <f t="shared" si="4"/>
        <v>0</v>
      </c>
    </row>
    <row r="8" spans="2:19" ht="22.5" hidden="1" customHeight="1">
      <c r="B8" s="72"/>
      <c r="C8" s="403"/>
      <c r="D8" s="450"/>
      <c r="E8" s="434">
        <f t="shared" si="0"/>
        <v>0</v>
      </c>
      <c r="F8" s="403"/>
      <c r="G8" s="450"/>
      <c r="H8" s="434">
        <f t="shared" si="1"/>
        <v>0</v>
      </c>
      <c r="I8" s="403"/>
      <c r="J8" s="450"/>
      <c r="K8" s="434">
        <f t="shared" si="2"/>
        <v>0</v>
      </c>
      <c r="L8" s="403"/>
      <c r="M8" s="450"/>
      <c r="N8" s="434">
        <f t="shared" si="3"/>
        <v>0</v>
      </c>
      <c r="O8" s="403"/>
      <c r="P8" s="450"/>
      <c r="Q8" s="434">
        <f t="shared" si="4"/>
        <v>0</v>
      </c>
    </row>
    <row r="9" spans="2:19" ht="22.5" customHeight="1">
      <c r="B9" s="451" t="s">
        <v>68</v>
      </c>
      <c r="C9" s="447">
        <f>SUM(C5:C8)</f>
        <v>316755490</v>
      </c>
      <c r="D9" s="447">
        <f>SUM(D5:D8)</f>
        <v>0</v>
      </c>
      <c r="E9" s="414">
        <f t="shared" si="0"/>
        <v>316755490</v>
      </c>
      <c r="F9" s="447">
        <f>SUM(F5:F8)</f>
        <v>443868051</v>
      </c>
      <c r="G9" s="447">
        <f>SUM(G5:G8)</f>
        <v>0</v>
      </c>
      <c r="H9" s="414">
        <f t="shared" si="1"/>
        <v>443868051</v>
      </c>
      <c r="I9" s="447">
        <f>SUM(I5:I8)</f>
        <v>422474507</v>
      </c>
      <c r="J9" s="447">
        <f>SUM(J5:J8)</f>
        <v>0</v>
      </c>
      <c r="K9" s="414">
        <f t="shared" si="2"/>
        <v>422474507</v>
      </c>
      <c r="L9" s="447">
        <f>SUM(L5:L8)</f>
        <v>0</v>
      </c>
      <c r="M9" s="447">
        <f>SUM(M5:M8)</f>
        <v>0</v>
      </c>
      <c r="N9" s="414">
        <f t="shared" si="3"/>
        <v>0</v>
      </c>
      <c r="O9" s="447">
        <f>SUM(O5:O8)</f>
        <v>0</v>
      </c>
      <c r="P9" s="447">
        <f>SUM(P5:P8)</f>
        <v>0</v>
      </c>
      <c r="Q9" s="414">
        <f t="shared" si="4"/>
        <v>0</v>
      </c>
    </row>
    <row r="10" spans="2:19" ht="22.5" customHeight="1">
      <c r="B10" s="502" t="s">
        <v>70</v>
      </c>
      <c r="C10" s="402">
        <v>3024069</v>
      </c>
      <c r="D10" s="449"/>
      <c r="E10" s="416">
        <f t="shared" si="0"/>
        <v>3024069</v>
      </c>
      <c r="F10" s="402">
        <v>1426042</v>
      </c>
      <c r="G10" s="449"/>
      <c r="H10" s="416">
        <f t="shared" si="1"/>
        <v>1426042</v>
      </c>
      <c r="I10" s="402">
        <v>33344623</v>
      </c>
      <c r="J10" s="449"/>
      <c r="K10" s="416">
        <f t="shared" si="2"/>
        <v>33344623</v>
      </c>
      <c r="L10" s="402"/>
      <c r="M10" s="449"/>
      <c r="N10" s="416">
        <f t="shared" si="3"/>
        <v>0</v>
      </c>
      <c r="O10" s="402"/>
      <c r="P10" s="449"/>
      <c r="Q10" s="416">
        <f t="shared" si="4"/>
        <v>0</v>
      </c>
    </row>
    <row r="11" spans="2:19" ht="22.5" customHeight="1">
      <c r="B11" s="489" t="s">
        <v>71</v>
      </c>
      <c r="C11" s="402">
        <v>172656708</v>
      </c>
      <c r="D11" s="449"/>
      <c r="E11" s="416">
        <f t="shared" si="0"/>
        <v>172656708</v>
      </c>
      <c r="F11" s="402">
        <v>237257918</v>
      </c>
      <c r="G11" s="449"/>
      <c r="H11" s="416">
        <f t="shared" si="1"/>
        <v>237257918</v>
      </c>
      <c r="I11" s="402">
        <v>225575333</v>
      </c>
      <c r="J11" s="449"/>
      <c r="K11" s="416">
        <f t="shared" si="2"/>
        <v>225575333</v>
      </c>
      <c r="L11" s="402"/>
      <c r="M11" s="449"/>
      <c r="N11" s="416">
        <f t="shared" si="3"/>
        <v>0</v>
      </c>
      <c r="O11" s="402"/>
      <c r="P11" s="449"/>
      <c r="Q11" s="416">
        <f t="shared" si="4"/>
        <v>0</v>
      </c>
    </row>
    <row r="12" spans="2:19" ht="22.5" customHeight="1">
      <c r="B12" s="489" t="s">
        <v>72</v>
      </c>
      <c r="C12" s="402">
        <v>26573925</v>
      </c>
      <c r="D12" s="449"/>
      <c r="E12" s="416">
        <f t="shared" si="0"/>
        <v>26573925</v>
      </c>
      <c r="F12" s="402">
        <v>50722738</v>
      </c>
      <c r="G12" s="449"/>
      <c r="H12" s="416">
        <f t="shared" si="1"/>
        <v>50722738</v>
      </c>
      <c r="I12" s="402">
        <v>21094265</v>
      </c>
      <c r="J12" s="449"/>
      <c r="K12" s="416">
        <f t="shared" si="2"/>
        <v>21094265</v>
      </c>
      <c r="L12" s="402"/>
      <c r="M12" s="449"/>
      <c r="N12" s="416">
        <f t="shared" si="3"/>
        <v>0</v>
      </c>
      <c r="O12" s="402"/>
      <c r="P12" s="449"/>
      <c r="Q12" s="416">
        <f t="shared" si="4"/>
        <v>0</v>
      </c>
    </row>
    <row r="13" spans="2:19" ht="22.5" customHeight="1">
      <c r="B13" s="489" t="s">
        <v>73</v>
      </c>
      <c r="C13" s="402">
        <v>6307077</v>
      </c>
      <c r="D13" s="449"/>
      <c r="E13" s="416">
        <f t="shared" si="0"/>
        <v>6307077</v>
      </c>
      <c r="F13" s="402">
        <v>2327904</v>
      </c>
      <c r="G13" s="449"/>
      <c r="H13" s="416">
        <f t="shared" si="1"/>
        <v>2327904</v>
      </c>
      <c r="I13" s="402">
        <v>2831360</v>
      </c>
      <c r="J13" s="449"/>
      <c r="K13" s="416">
        <f t="shared" si="2"/>
        <v>2831360</v>
      </c>
      <c r="L13" s="402"/>
      <c r="M13" s="449"/>
      <c r="N13" s="416">
        <f t="shared" si="3"/>
        <v>0</v>
      </c>
      <c r="O13" s="402"/>
      <c r="P13" s="449"/>
      <c r="Q13" s="416">
        <f t="shared" si="4"/>
        <v>0</v>
      </c>
    </row>
    <row r="14" spans="2:19" ht="22.5" customHeight="1">
      <c r="B14" s="489" t="s">
        <v>74</v>
      </c>
      <c r="C14" s="402">
        <v>4487974</v>
      </c>
      <c r="D14" s="449"/>
      <c r="E14" s="416">
        <f t="shared" si="0"/>
        <v>4487974</v>
      </c>
      <c r="F14" s="402">
        <v>13796708</v>
      </c>
      <c r="G14" s="449"/>
      <c r="H14" s="416">
        <f t="shared" si="1"/>
        <v>13796708</v>
      </c>
      <c r="I14" s="402">
        <v>3637077</v>
      </c>
      <c r="J14" s="449"/>
      <c r="K14" s="416">
        <f t="shared" si="2"/>
        <v>3637077</v>
      </c>
      <c r="L14" s="402"/>
      <c r="M14" s="449"/>
      <c r="N14" s="416">
        <f t="shared" si="3"/>
        <v>0</v>
      </c>
      <c r="O14" s="402"/>
      <c r="P14" s="449"/>
      <c r="Q14" s="416">
        <f t="shared" si="4"/>
        <v>0</v>
      </c>
    </row>
    <row r="15" spans="2:19" ht="22.5" customHeight="1">
      <c r="B15" s="489" t="s">
        <v>75</v>
      </c>
      <c r="C15" s="402">
        <v>8299304</v>
      </c>
      <c r="D15" s="449"/>
      <c r="E15" s="416">
        <f t="shared" si="0"/>
        <v>8299304</v>
      </c>
      <c r="F15" s="402">
        <v>9972324</v>
      </c>
      <c r="G15" s="449"/>
      <c r="H15" s="416">
        <f t="shared" si="1"/>
        <v>9972324</v>
      </c>
      <c r="I15" s="402">
        <v>5262263</v>
      </c>
      <c r="J15" s="449"/>
      <c r="K15" s="416">
        <f t="shared" si="2"/>
        <v>5262263</v>
      </c>
      <c r="L15" s="402"/>
      <c r="M15" s="449"/>
      <c r="N15" s="416">
        <f t="shared" si="3"/>
        <v>0</v>
      </c>
      <c r="O15" s="402"/>
      <c r="P15" s="449"/>
      <c r="Q15" s="416">
        <f t="shared" si="4"/>
        <v>0</v>
      </c>
    </row>
    <row r="16" spans="2:19" ht="22.5" customHeight="1">
      <c r="B16" s="489" t="s">
        <v>76</v>
      </c>
      <c r="C16" s="402"/>
      <c r="D16" s="449"/>
      <c r="E16" s="416">
        <f t="shared" si="0"/>
        <v>0</v>
      </c>
      <c r="F16" s="402"/>
      <c r="G16" s="449"/>
      <c r="H16" s="416">
        <f t="shared" si="1"/>
        <v>0</v>
      </c>
      <c r="I16" s="402">
        <v>-100</v>
      </c>
      <c r="J16" s="449"/>
      <c r="K16" s="416">
        <f t="shared" si="2"/>
        <v>-100</v>
      </c>
      <c r="L16" s="402"/>
      <c r="M16" s="449"/>
      <c r="N16" s="416">
        <f t="shared" si="3"/>
        <v>0</v>
      </c>
      <c r="O16" s="402"/>
      <c r="P16" s="449"/>
      <c r="Q16" s="416">
        <f t="shared" si="4"/>
        <v>0</v>
      </c>
    </row>
    <row r="17" spans="2:17" ht="22.5" customHeight="1">
      <c r="B17" s="489" t="s">
        <v>77</v>
      </c>
      <c r="C17" s="402">
        <v>-6722798</v>
      </c>
      <c r="D17" s="449">
        <f>-C17</f>
        <v>6722798</v>
      </c>
      <c r="E17" s="416">
        <f t="shared" si="0"/>
        <v>0</v>
      </c>
      <c r="F17" s="402">
        <v>-17217311</v>
      </c>
      <c r="G17" s="449">
        <f>-F17</f>
        <v>17217311</v>
      </c>
      <c r="H17" s="416">
        <f t="shared" si="1"/>
        <v>0</v>
      </c>
      <c r="I17" s="402">
        <v>-19844732</v>
      </c>
      <c r="J17" s="449">
        <f>-I17</f>
        <v>19844732</v>
      </c>
      <c r="K17" s="416">
        <f t="shared" si="2"/>
        <v>0</v>
      </c>
      <c r="L17" s="402"/>
      <c r="M17" s="449"/>
      <c r="N17" s="416">
        <f t="shared" si="3"/>
        <v>0</v>
      </c>
      <c r="O17" s="402"/>
      <c r="P17" s="449"/>
      <c r="Q17" s="416">
        <f t="shared" si="4"/>
        <v>0</v>
      </c>
    </row>
    <row r="18" spans="2:17" ht="22.5" customHeight="1">
      <c r="B18" s="489" t="s">
        <v>78</v>
      </c>
      <c r="C18" s="402">
        <v>-1426042</v>
      </c>
      <c r="D18" s="449"/>
      <c r="E18" s="416">
        <f t="shared" si="0"/>
        <v>-1426042</v>
      </c>
      <c r="F18" s="402">
        <v>-33344623</v>
      </c>
      <c r="G18" s="449"/>
      <c r="H18" s="416">
        <f t="shared" si="1"/>
        <v>-33344623</v>
      </c>
      <c r="I18" s="402">
        <v>-228854</v>
      </c>
      <c r="J18" s="449"/>
      <c r="K18" s="416">
        <f t="shared" si="2"/>
        <v>-228854</v>
      </c>
      <c r="L18" s="402"/>
      <c r="M18" s="449"/>
      <c r="N18" s="416">
        <f t="shared" si="3"/>
        <v>0</v>
      </c>
      <c r="O18" s="402"/>
      <c r="P18" s="449"/>
      <c r="Q18" s="416">
        <f t="shared" si="4"/>
        <v>0</v>
      </c>
    </row>
    <row r="19" spans="2:17" ht="22.5" customHeight="1">
      <c r="B19" s="503" t="s">
        <v>79</v>
      </c>
      <c r="C19" s="504">
        <f>SUM(C10:C18)</f>
        <v>213200217</v>
      </c>
      <c r="D19" s="504">
        <f>SUM(D10:D18)</f>
        <v>6722798</v>
      </c>
      <c r="E19" s="520">
        <f t="shared" si="0"/>
        <v>219923015</v>
      </c>
      <c r="F19" s="504">
        <f>SUM(F10:F18)</f>
        <v>264941700</v>
      </c>
      <c r="G19" s="504">
        <f>SUM(G10:G18)</f>
        <v>17217311</v>
      </c>
      <c r="H19" s="520">
        <f t="shared" si="1"/>
        <v>282159011</v>
      </c>
      <c r="I19" s="504">
        <f>SUM(I10:I18)</f>
        <v>271671235</v>
      </c>
      <c r="J19" s="504">
        <f>SUM(J10:J18)</f>
        <v>19844732</v>
      </c>
      <c r="K19" s="520">
        <f t="shared" si="2"/>
        <v>291515967</v>
      </c>
      <c r="L19" s="504">
        <f>SUM(L10:L18)</f>
        <v>0</v>
      </c>
      <c r="M19" s="504">
        <f>SUM(M10:M18)</f>
        <v>0</v>
      </c>
      <c r="N19" s="520">
        <f t="shared" si="3"/>
        <v>0</v>
      </c>
      <c r="O19" s="504">
        <f>SUM(O10:O18)</f>
        <v>0</v>
      </c>
      <c r="P19" s="504">
        <f>SUM(P10:P18)</f>
        <v>0</v>
      </c>
      <c r="Q19" s="520">
        <f t="shared" si="4"/>
        <v>0</v>
      </c>
    </row>
    <row r="20" spans="2:17" ht="22.5" customHeight="1">
      <c r="B20" s="451" t="s">
        <v>80</v>
      </c>
      <c r="C20" s="447">
        <f>C9-C19</f>
        <v>103555273</v>
      </c>
      <c r="D20" s="447">
        <f>D9-D19</f>
        <v>-6722798</v>
      </c>
      <c r="E20" s="414">
        <f t="shared" si="0"/>
        <v>96832475</v>
      </c>
      <c r="F20" s="447">
        <f>F9-F19</f>
        <v>178926351</v>
      </c>
      <c r="G20" s="447">
        <f>G9-G19</f>
        <v>-17217311</v>
      </c>
      <c r="H20" s="414">
        <f t="shared" si="1"/>
        <v>161709040</v>
      </c>
      <c r="I20" s="447">
        <f>I9-I19</f>
        <v>150803272</v>
      </c>
      <c r="J20" s="447">
        <f>J9-J19</f>
        <v>-19844732</v>
      </c>
      <c r="K20" s="414">
        <f t="shared" si="2"/>
        <v>130958540</v>
      </c>
      <c r="L20" s="447">
        <f>L9-L19</f>
        <v>0</v>
      </c>
      <c r="M20" s="447">
        <f>M9-M19</f>
        <v>0</v>
      </c>
      <c r="N20" s="414">
        <f t="shared" si="3"/>
        <v>0</v>
      </c>
      <c r="O20" s="447">
        <f>O9-O19</f>
        <v>0</v>
      </c>
      <c r="P20" s="447">
        <f>P9-P19</f>
        <v>0</v>
      </c>
      <c r="Q20" s="414">
        <f t="shared" si="4"/>
        <v>0</v>
      </c>
    </row>
    <row r="21" spans="2:17" ht="22.5" customHeight="1">
      <c r="B21" s="503" t="s">
        <v>81</v>
      </c>
      <c r="C21" s="506">
        <f>修正SGA!C39</f>
        <v>97395979</v>
      </c>
      <c r="D21" s="521">
        <f>修正SGA!D39</f>
        <v>-5212706.5</v>
      </c>
      <c r="E21" s="522">
        <f t="shared" si="0"/>
        <v>92183272.5</v>
      </c>
      <c r="F21" s="506">
        <f>修正SGA!F39</f>
        <v>100735586</v>
      </c>
      <c r="G21" s="521">
        <f>修正SGA!G39</f>
        <v>-5622703</v>
      </c>
      <c r="H21" s="522">
        <f t="shared" si="1"/>
        <v>95112883</v>
      </c>
      <c r="I21" s="506">
        <f>修正SGA!I39</f>
        <v>92289462</v>
      </c>
      <c r="J21" s="521">
        <f>修正SGA!J39</f>
        <v>-6025730</v>
      </c>
      <c r="K21" s="522">
        <f t="shared" si="2"/>
        <v>86263732</v>
      </c>
      <c r="L21" s="506"/>
      <c r="M21" s="521"/>
      <c r="N21" s="522">
        <f t="shared" si="3"/>
        <v>0</v>
      </c>
      <c r="O21" s="506"/>
      <c r="P21" s="521"/>
      <c r="Q21" s="522">
        <f t="shared" si="4"/>
        <v>0</v>
      </c>
    </row>
    <row r="22" spans="2:17" ht="22.5" customHeight="1">
      <c r="B22" s="451" t="s">
        <v>82</v>
      </c>
      <c r="C22" s="447">
        <f>C20- C21</f>
        <v>6159294</v>
      </c>
      <c r="D22" s="447">
        <f>D20- D21</f>
        <v>-1510091.5</v>
      </c>
      <c r="E22" s="414">
        <f t="shared" si="0"/>
        <v>4649202.5</v>
      </c>
      <c r="F22" s="447">
        <f>F20- F21</f>
        <v>78190765</v>
      </c>
      <c r="G22" s="447">
        <f>G20- G21</f>
        <v>-11594608</v>
      </c>
      <c r="H22" s="414">
        <f t="shared" si="1"/>
        <v>66596157</v>
      </c>
      <c r="I22" s="447">
        <f>I20- I21</f>
        <v>58513810</v>
      </c>
      <c r="J22" s="447">
        <f>J20- J21</f>
        <v>-13819002</v>
      </c>
      <c r="K22" s="414">
        <f t="shared" si="2"/>
        <v>44694808</v>
      </c>
      <c r="L22" s="447">
        <f>L20- L21</f>
        <v>0</v>
      </c>
      <c r="M22" s="447">
        <f>M20- M21</f>
        <v>0</v>
      </c>
      <c r="N22" s="414">
        <f t="shared" si="3"/>
        <v>0</v>
      </c>
      <c r="O22" s="447">
        <f>O20- O21</f>
        <v>0</v>
      </c>
      <c r="P22" s="447">
        <f>P20- P21</f>
        <v>0</v>
      </c>
      <c r="Q22" s="414">
        <f t="shared" si="4"/>
        <v>0</v>
      </c>
    </row>
    <row r="23" spans="2:17" ht="22.5" customHeight="1">
      <c r="B23" s="503" t="s">
        <v>83</v>
      </c>
      <c r="C23" s="506">
        <f>SUM(C24:C29)</f>
        <v>1358290</v>
      </c>
      <c r="D23" s="506">
        <f>SUM(D24:D29)</f>
        <v>-1358290</v>
      </c>
      <c r="E23" s="522">
        <f t="shared" si="0"/>
        <v>0</v>
      </c>
      <c r="F23" s="506">
        <f>SUM(F24:F29)</f>
        <v>13984344</v>
      </c>
      <c r="G23" s="506">
        <f>SUM(G24:G29)</f>
        <v>-13984344</v>
      </c>
      <c r="H23" s="522">
        <f t="shared" si="1"/>
        <v>0</v>
      </c>
      <c r="I23" s="506">
        <f>SUM(I24:I29)</f>
        <v>8626001</v>
      </c>
      <c r="J23" s="506">
        <f>SUM(J24:J29)</f>
        <v>-8626001</v>
      </c>
      <c r="K23" s="522">
        <f t="shared" si="2"/>
        <v>0</v>
      </c>
      <c r="L23" s="506">
        <f>SUM(L24:L29)</f>
        <v>0</v>
      </c>
      <c r="M23" s="506">
        <f>SUM(M24:M29)</f>
        <v>0</v>
      </c>
      <c r="N23" s="522">
        <f t="shared" si="3"/>
        <v>0</v>
      </c>
      <c r="O23" s="506">
        <f>SUM(O24:O29)</f>
        <v>0</v>
      </c>
      <c r="P23" s="506">
        <f>SUM(P24:P29)</f>
        <v>0</v>
      </c>
      <c r="Q23" s="522">
        <f t="shared" si="4"/>
        <v>0</v>
      </c>
    </row>
    <row r="24" spans="2:17" ht="22.5" customHeight="1">
      <c r="B24" s="508" t="s">
        <v>84</v>
      </c>
      <c r="C24" s="402">
        <v>101059</v>
      </c>
      <c r="D24" s="449">
        <f t="shared" ref="D24:D29" si="5">-C24</f>
        <v>-101059</v>
      </c>
      <c r="E24" s="416">
        <f t="shared" si="0"/>
        <v>0</v>
      </c>
      <c r="F24" s="402">
        <v>1035013</v>
      </c>
      <c r="G24" s="449">
        <f t="shared" ref="G24:G29" si="6">-F24</f>
        <v>-1035013</v>
      </c>
      <c r="H24" s="416">
        <f t="shared" si="1"/>
        <v>0</v>
      </c>
      <c r="I24" s="402">
        <v>326339</v>
      </c>
      <c r="J24" s="449">
        <f t="shared" ref="J24:J29" si="7">-I24</f>
        <v>-326339</v>
      </c>
      <c r="K24" s="416">
        <f t="shared" si="2"/>
        <v>0</v>
      </c>
      <c r="L24" s="402"/>
      <c r="M24" s="449"/>
      <c r="N24" s="416">
        <f t="shared" si="3"/>
        <v>0</v>
      </c>
      <c r="O24" s="402"/>
      <c r="P24" s="449"/>
      <c r="Q24" s="416">
        <f t="shared" si="4"/>
        <v>0</v>
      </c>
    </row>
    <row r="25" spans="2:17" ht="22.5" customHeight="1">
      <c r="B25" s="448" t="s">
        <v>85</v>
      </c>
      <c r="C25" s="402">
        <v>712050</v>
      </c>
      <c r="D25" s="449">
        <f t="shared" si="5"/>
        <v>-712050</v>
      </c>
      <c r="E25" s="416">
        <f t="shared" si="0"/>
        <v>0</v>
      </c>
      <c r="F25" s="402">
        <v>7151912</v>
      </c>
      <c r="G25" s="449">
        <f t="shared" si="6"/>
        <v>-7151912</v>
      </c>
      <c r="H25" s="416">
        <f t="shared" si="1"/>
        <v>0</v>
      </c>
      <c r="I25" s="402">
        <v>7555640</v>
      </c>
      <c r="J25" s="449">
        <f t="shared" si="7"/>
        <v>-7555640</v>
      </c>
      <c r="K25" s="416">
        <f t="shared" si="2"/>
        <v>0</v>
      </c>
      <c r="L25" s="402"/>
      <c r="M25" s="449"/>
      <c r="N25" s="416">
        <f t="shared" si="3"/>
        <v>0</v>
      </c>
      <c r="O25" s="402"/>
      <c r="P25" s="449"/>
      <c r="Q25" s="416">
        <f t="shared" si="4"/>
        <v>0</v>
      </c>
    </row>
    <row r="26" spans="2:17" ht="22.5" customHeight="1">
      <c r="B26" s="448" t="s">
        <v>86</v>
      </c>
      <c r="C26" s="402">
        <v>534000</v>
      </c>
      <c r="D26" s="449">
        <f t="shared" si="5"/>
        <v>-534000</v>
      </c>
      <c r="E26" s="416">
        <f t="shared" si="0"/>
        <v>0</v>
      </c>
      <c r="F26" s="402">
        <v>803000</v>
      </c>
      <c r="G26" s="449">
        <f t="shared" si="6"/>
        <v>-803000</v>
      </c>
      <c r="H26" s="416">
        <f t="shared" si="1"/>
        <v>0</v>
      </c>
      <c r="I26" s="402">
        <v>246000</v>
      </c>
      <c r="J26" s="449">
        <f t="shared" si="7"/>
        <v>-246000</v>
      </c>
      <c r="K26" s="416">
        <f t="shared" si="2"/>
        <v>0</v>
      </c>
      <c r="L26" s="402"/>
      <c r="M26" s="449"/>
      <c r="N26" s="416">
        <f t="shared" si="3"/>
        <v>0</v>
      </c>
      <c r="O26" s="402"/>
      <c r="P26" s="449"/>
      <c r="Q26" s="416">
        <f t="shared" si="4"/>
        <v>0</v>
      </c>
    </row>
    <row r="27" spans="2:17" ht="22.5" customHeight="1">
      <c r="B27" s="448" t="s">
        <v>87</v>
      </c>
      <c r="C27" s="402">
        <v>2197</v>
      </c>
      <c r="D27" s="449">
        <f t="shared" si="5"/>
        <v>-2197</v>
      </c>
      <c r="E27" s="416">
        <f t="shared" si="0"/>
        <v>0</v>
      </c>
      <c r="F27" s="402">
        <v>2195483</v>
      </c>
      <c r="G27" s="449">
        <f t="shared" si="6"/>
        <v>-2195483</v>
      </c>
      <c r="H27" s="416">
        <f t="shared" si="1"/>
        <v>0</v>
      </c>
      <c r="I27" s="402">
        <v>216735</v>
      </c>
      <c r="J27" s="449">
        <f t="shared" si="7"/>
        <v>-216735</v>
      </c>
      <c r="K27" s="416">
        <f t="shared" si="2"/>
        <v>0</v>
      </c>
      <c r="L27" s="402"/>
      <c r="M27" s="449"/>
      <c r="N27" s="416">
        <f t="shared" si="3"/>
        <v>0</v>
      </c>
      <c r="O27" s="402"/>
      <c r="P27" s="449"/>
      <c r="Q27" s="416">
        <f t="shared" si="4"/>
        <v>0</v>
      </c>
    </row>
    <row r="28" spans="2:17" ht="22.5" customHeight="1">
      <c r="B28" s="448" t="s">
        <v>88</v>
      </c>
      <c r="C28" s="402"/>
      <c r="D28" s="449">
        <f t="shared" si="5"/>
        <v>0</v>
      </c>
      <c r="E28" s="416">
        <f t="shared" si="0"/>
        <v>0</v>
      </c>
      <c r="F28" s="402"/>
      <c r="G28" s="449">
        <f t="shared" si="6"/>
        <v>0</v>
      </c>
      <c r="H28" s="416">
        <f t="shared" si="1"/>
        <v>0</v>
      </c>
      <c r="I28" s="402">
        <v>10455</v>
      </c>
      <c r="J28" s="449">
        <f t="shared" si="7"/>
        <v>-10455</v>
      </c>
      <c r="K28" s="416">
        <f t="shared" si="2"/>
        <v>0</v>
      </c>
      <c r="L28" s="402"/>
      <c r="M28" s="449"/>
      <c r="N28" s="416">
        <f t="shared" si="3"/>
        <v>0</v>
      </c>
      <c r="O28" s="402"/>
      <c r="P28" s="449"/>
      <c r="Q28" s="416">
        <f t="shared" si="4"/>
        <v>0</v>
      </c>
    </row>
    <row r="29" spans="2:17" ht="22.5" customHeight="1">
      <c r="B29" s="78" t="s">
        <v>89</v>
      </c>
      <c r="C29" s="403">
        <v>8984</v>
      </c>
      <c r="D29" s="450">
        <f t="shared" si="5"/>
        <v>-8984</v>
      </c>
      <c r="E29" s="434">
        <f t="shared" si="0"/>
        <v>0</v>
      </c>
      <c r="F29" s="403">
        <v>2798936</v>
      </c>
      <c r="G29" s="450">
        <f t="shared" si="6"/>
        <v>-2798936</v>
      </c>
      <c r="H29" s="434">
        <f t="shared" si="1"/>
        <v>0</v>
      </c>
      <c r="I29" s="403">
        <v>270832</v>
      </c>
      <c r="J29" s="450">
        <f t="shared" si="7"/>
        <v>-270832</v>
      </c>
      <c r="K29" s="434">
        <f t="shared" si="2"/>
        <v>0</v>
      </c>
      <c r="L29" s="403"/>
      <c r="M29" s="450"/>
      <c r="N29" s="434">
        <f t="shared" si="3"/>
        <v>0</v>
      </c>
      <c r="O29" s="403"/>
      <c r="P29" s="450"/>
      <c r="Q29" s="434">
        <f t="shared" si="4"/>
        <v>0</v>
      </c>
    </row>
    <row r="30" spans="2:17" ht="22.5" customHeight="1">
      <c r="B30" s="503" t="s">
        <v>90</v>
      </c>
      <c r="C30" s="506">
        <f>SUM(C31:C35)</f>
        <v>852015</v>
      </c>
      <c r="D30" s="506">
        <f>SUM(D31:D35)</f>
        <v>-852015</v>
      </c>
      <c r="E30" s="522">
        <f t="shared" si="0"/>
        <v>0</v>
      </c>
      <c r="F30" s="506">
        <f>SUM(F31:F35)</f>
        <v>2246448</v>
      </c>
      <c r="G30" s="506">
        <f>SUM(G31:G35)</f>
        <v>-2246448</v>
      </c>
      <c r="H30" s="522">
        <f t="shared" si="1"/>
        <v>0</v>
      </c>
      <c r="I30" s="506">
        <f>SUM(I31:I35)</f>
        <v>2196742</v>
      </c>
      <c r="J30" s="506">
        <f>SUM(J31:J35)</f>
        <v>-2196742</v>
      </c>
      <c r="K30" s="522">
        <f t="shared" si="2"/>
        <v>0</v>
      </c>
      <c r="L30" s="506">
        <f>SUM(L31:L35)</f>
        <v>0</v>
      </c>
      <c r="M30" s="506">
        <f>SUM(M31:M35)</f>
        <v>0</v>
      </c>
      <c r="N30" s="522">
        <f t="shared" si="3"/>
        <v>0</v>
      </c>
      <c r="O30" s="506">
        <f>SUM(O31:O35)</f>
        <v>0</v>
      </c>
      <c r="P30" s="506">
        <f>SUM(P31:P35)</f>
        <v>0</v>
      </c>
      <c r="Q30" s="522">
        <f t="shared" si="4"/>
        <v>0</v>
      </c>
    </row>
    <row r="31" spans="2:17" ht="22.5" customHeight="1">
      <c r="B31" s="508" t="s">
        <v>91</v>
      </c>
      <c r="C31" s="402">
        <v>852015</v>
      </c>
      <c r="D31" s="449">
        <f>-C31</f>
        <v>-852015</v>
      </c>
      <c r="E31" s="416">
        <f t="shared" si="0"/>
        <v>0</v>
      </c>
      <c r="F31" s="402">
        <v>1716559</v>
      </c>
      <c r="G31" s="449">
        <f>-F31</f>
        <v>-1716559</v>
      </c>
      <c r="H31" s="416">
        <f t="shared" si="1"/>
        <v>0</v>
      </c>
      <c r="I31" s="402">
        <v>2196742</v>
      </c>
      <c r="J31" s="449">
        <f>-I31</f>
        <v>-2196742</v>
      </c>
      <c r="K31" s="416">
        <f t="shared" si="2"/>
        <v>0</v>
      </c>
      <c r="L31" s="402"/>
      <c r="M31" s="449"/>
      <c r="N31" s="416">
        <f t="shared" si="3"/>
        <v>0</v>
      </c>
      <c r="O31" s="402"/>
      <c r="P31" s="449"/>
      <c r="Q31" s="416">
        <f t="shared" si="4"/>
        <v>0</v>
      </c>
    </row>
    <row r="32" spans="2:17" ht="22.5" customHeight="1">
      <c r="B32" s="448" t="s">
        <v>92</v>
      </c>
      <c r="C32" s="402"/>
      <c r="D32" s="449">
        <f>-C32</f>
        <v>0</v>
      </c>
      <c r="E32" s="416">
        <f t="shared" si="0"/>
        <v>0</v>
      </c>
      <c r="F32" s="402">
        <v>529889</v>
      </c>
      <c r="G32" s="449">
        <f>-F32</f>
        <v>-529889</v>
      </c>
      <c r="H32" s="416">
        <f t="shared" si="1"/>
        <v>0</v>
      </c>
      <c r="I32" s="402"/>
      <c r="J32" s="449">
        <f>-I32</f>
        <v>0</v>
      </c>
      <c r="K32" s="416">
        <f t="shared" si="2"/>
        <v>0</v>
      </c>
      <c r="L32" s="402"/>
      <c r="M32" s="449"/>
      <c r="N32" s="416">
        <f t="shared" si="3"/>
        <v>0</v>
      </c>
      <c r="O32" s="402"/>
      <c r="P32" s="449"/>
      <c r="Q32" s="416">
        <f t="shared" si="4"/>
        <v>0</v>
      </c>
    </row>
    <row r="33" spans="2:17" ht="22.5" hidden="1" customHeight="1">
      <c r="B33" s="448"/>
      <c r="C33" s="402"/>
      <c r="D33" s="449"/>
      <c r="E33" s="416">
        <f t="shared" si="0"/>
        <v>0</v>
      </c>
      <c r="F33" s="402"/>
      <c r="G33" s="449"/>
      <c r="H33" s="416">
        <f t="shared" si="1"/>
        <v>0</v>
      </c>
      <c r="I33" s="402"/>
      <c r="J33" s="449"/>
      <c r="K33" s="416">
        <f t="shared" si="2"/>
        <v>0</v>
      </c>
      <c r="L33" s="402"/>
      <c r="M33" s="449"/>
      <c r="N33" s="416">
        <f t="shared" si="3"/>
        <v>0</v>
      </c>
      <c r="O33" s="402"/>
      <c r="P33" s="449"/>
      <c r="Q33" s="416">
        <f t="shared" si="4"/>
        <v>0</v>
      </c>
    </row>
    <row r="34" spans="2:17" ht="22.5" hidden="1" customHeight="1">
      <c r="B34" s="448"/>
      <c r="C34" s="402"/>
      <c r="D34" s="449"/>
      <c r="E34" s="416">
        <f t="shared" si="0"/>
        <v>0</v>
      </c>
      <c r="F34" s="402"/>
      <c r="G34" s="449"/>
      <c r="H34" s="416">
        <f t="shared" si="1"/>
        <v>0</v>
      </c>
      <c r="I34" s="402"/>
      <c r="J34" s="449"/>
      <c r="K34" s="416">
        <f t="shared" si="2"/>
        <v>0</v>
      </c>
      <c r="L34" s="402"/>
      <c r="M34" s="449"/>
      <c r="N34" s="416">
        <f t="shared" si="3"/>
        <v>0</v>
      </c>
      <c r="O34" s="402"/>
      <c r="P34" s="449"/>
      <c r="Q34" s="416">
        <f t="shared" si="4"/>
        <v>0</v>
      </c>
    </row>
    <row r="35" spans="2:17" ht="22.5" hidden="1" customHeight="1">
      <c r="B35" s="78"/>
      <c r="C35" s="403"/>
      <c r="D35" s="450"/>
      <c r="E35" s="434">
        <f t="shared" si="0"/>
        <v>0</v>
      </c>
      <c r="F35" s="403"/>
      <c r="G35" s="450"/>
      <c r="H35" s="434">
        <f t="shared" si="1"/>
        <v>0</v>
      </c>
      <c r="I35" s="403"/>
      <c r="J35" s="450"/>
      <c r="K35" s="434">
        <f t="shared" si="2"/>
        <v>0</v>
      </c>
      <c r="L35" s="403"/>
      <c r="M35" s="450"/>
      <c r="N35" s="434">
        <f t="shared" si="3"/>
        <v>0</v>
      </c>
      <c r="O35" s="403"/>
      <c r="P35" s="450"/>
      <c r="Q35" s="434">
        <f t="shared" si="4"/>
        <v>0</v>
      </c>
    </row>
    <row r="36" spans="2:17" ht="22.5" customHeight="1">
      <c r="B36" s="451" t="s">
        <v>93</v>
      </c>
      <c r="C36" s="447">
        <f>C22+C23-C30</f>
        <v>6665569</v>
      </c>
      <c r="D36" s="447">
        <f>D22+D23-D30</f>
        <v>-2016366.5</v>
      </c>
      <c r="E36" s="414">
        <f t="shared" si="0"/>
        <v>4649202.5</v>
      </c>
      <c r="F36" s="447">
        <f>F22+F23-F30</f>
        <v>89928661</v>
      </c>
      <c r="G36" s="447">
        <f>G22+G23-G30</f>
        <v>-23332504</v>
      </c>
      <c r="H36" s="414">
        <f t="shared" si="1"/>
        <v>66596157</v>
      </c>
      <c r="I36" s="447">
        <f>I22+I23-I30</f>
        <v>64943069</v>
      </c>
      <c r="J36" s="447">
        <f>J22+J23-J30</f>
        <v>-20248261</v>
      </c>
      <c r="K36" s="414">
        <f t="shared" si="2"/>
        <v>44694808</v>
      </c>
      <c r="L36" s="447">
        <f>L22+L23-L30</f>
        <v>0</v>
      </c>
      <c r="M36" s="447">
        <f>M22+M23-M30</f>
        <v>0</v>
      </c>
      <c r="N36" s="414">
        <f t="shared" si="3"/>
        <v>0</v>
      </c>
      <c r="O36" s="447">
        <f>O22+O23-O30</f>
        <v>0</v>
      </c>
      <c r="P36" s="447">
        <f>P22+P23-P30</f>
        <v>0</v>
      </c>
      <c r="Q36" s="414">
        <f t="shared" si="4"/>
        <v>0</v>
      </c>
    </row>
    <row r="37" spans="2:17" ht="22.5" customHeight="1">
      <c r="B37" s="503" t="s">
        <v>94</v>
      </c>
      <c r="C37" s="504">
        <f>SUM(C38:C41)</f>
        <v>0</v>
      </c>
      <c r="D37" s="504">
        <f>SUM(D38:D41)</f>
        <v>0</v>
      </c>
      <c r="E37" s="520">
        <f t="shared" ref="E37:E68" si="8">C37+D37</f>
        <v>0</v>
      </c>
      <c r="F37" s="504">
        <f>SUM(F38:F41)</f>
        <v>21984310</v>
      </c>
      <c r="G37" s="504">
        <f>SUM(G38:G41)</f>
        <v>-21984310</v>
      </c>
      <c r="H37" s="520">
        <f t="shared" ref="H37:H68" si="9">F37+G37</f>
        <v>0</v>
      </c>
      <c r="I37" s="504">
        <f>SUM(I38:I41)</f>
        <v>12486495</v>
      </c>
      <c r="J37" s="504">
        <f>SUM(J38:J41)</f>
        <v>-12486495</v>
      </c>
      <c r="K37" s="520">
        <f t="shared" ref="K37:K68" si="10">I37+J37</f>
        <v>0</v>
      </c>
      <c r="L37" s="504">
        <f>SUM(L38:L41)</f>
        <v>0</v>
      </c>
      <c r="M37" s="504">
        <f>SUM(M38:M41)</f>
        <v>0</v>
      </c>
      <c r="N37" s="520">
        <f t="shared" ref="N37:N68" si="11">L37+M37</f>
        <v>0</v>
      </c>
      <c r="O37" s="504">
        <f>SUM(O38:O41)</f>
        <v>0</v>
      </c>
      <c r="P37" s="504">
        <f>SUM(P38:P41)</f>
        <v>0</v>
      </c>
      <c r="Q37" s="520">
        <f t="shared" ref="Q37:Q68" si="12">O37+P37</f>
        <v>0</v>
      </c>
    </row>
    <row r="38" spans="2:17" ht="22.5" customHeight="1">
      <c r="B38" s="448" t="s">
        <v>95</v>
      </c>
      <c r="C38" s="402"/>
      <c r="D38" s="449">
        <f>-C38</f>
        <v>0</v>
      </c>
      <c r="E38" s="416">
        <f t="shared" si="8"/>
        <v>0</v>
      </c>
      <c r="F38" s="402">
        <v>21984310</v>
      </c>
      <c r="G38" s="449">
        <f>-F38</f>
        <v>-21984310</v>
      </c>
      <c r="H38" s="416">
        <f t="shared" si="9"/>
        <v>0</v>
      </c>
      <c r="I38" s="402">
        <v>12486495</v>
      </c>
      <c r="J38" s="449">
        <f>-I38</f>
        <v>-12486495</v>
      </c>
      <c r="K38" s="416">
        <f t="shared" si="10"/>
        <v>0</v>
      </c>
      <c r="L38" s="402"/>
      <c r="M38" s="449"/>
      <c r="N38" s="416">
        <f t="shared" si="11"/>
        <v>0</v>
      </c>
      <c r="O38" s="402"/>
      <c r="P38" s="449"/>
      <c r="Q38" s="416">
        <f t="shared" si="12"/>
        <v>0</v>
      </c>
    </row>
    <row r="39" spans="2:17" ht="22.5" hidden="1" customHeight="1">
      <c r="B39" s="448"/>
      <c r="C39" s="402"/>
      <c r="D39" s="449"/>
      <c r="E39" s="416">
        <f t="shared" si="8"/>
        <v>0</v>
      </c>
      <c r="F39" s="402"/>
      <c r="G39" s="449"/>
      <c r="H39" s="416">
        <f t="shared" si="9"/>
        <v>0</v>
      </c>
      <c r="I39" s="402"/>
      <c r="J39" s="449"/>
      <c r="K39" s="416">
        <f t="shared" si="10"/>
        <v>0</v>
      </c>
      <c r="L39" s="402"/>
      <c r="M39" s="449"/>
      <c r="N39" s="416">
        <f t="shared" si="11"/>
        <v>0</v>
      </c>
      <c r="O39" s="402"/>
      <c r="P39" s="449"/>
      <c r="Q39" s="416">
        <f t="shared" si="12"/>
        <v>0</v>
      </c>
    </row>
    <row r="40" spans="2:17" ht="22.5" hidden="1" customHeight="1">
      <c r="B40" s="448"/>
      <c r="C40" s="402"/>
      <c r="D40" s="449"/>
      <c r="E40" s="416">
        <f t="shared" si="8"/>
        <v>0</v>
      </c>
      <c r="F40" s="402"/>
      <c r="G40" s="449"/>
      <c r="H40" s="416">
        <f t="shared" si="9"/>
        <v>0</v>
      </c>
      <c r="I40" s="402"/>
      <c r="J40" s="449"/>
      <c r="K40" s="416">
        <f t="shared" si="10"/>
        <v>0</v>
      </c>
      <c r="L40" s="402"/>
      <c r="M40" s="449"/>
      <c r="N40" s="416">
        <f t="shared" si="11"/>
        <v>0</v>
      </c>
      <c r="O40" s="402"/>
      <c r="P40" s="449"/>
      <c r="Q40" s="416">
        <f t="shared" si="12"/>
        <v>0</v>
      </c>
    </row>
    <row r="41" spans="2:17" ht="22.5" hidden="1" customHeight="1">
      <c r="B41" s="78"/>
      <c r="C41" s="403"/>
      <c r="D41" s="450"/>
      <c r="E41" s="434">
        <f t="shared" si="8"/>
        <v>0</v>
      </c>
      <c r="F41" s="403"/>
      <c r="G41" s="450"/>
      <c r="H41" s="434">
        <f t="shared" si="9"/>
        <v>0</v>
      </c>
      <c r="I41" s="403"/>
      <c r="J41" s="450"/>
      <c r="K41" s="434">
        <f t="shared" si="10"/>
        <v>0</v>
      </c>
      <c r="L41" s="403"/>
      <c r="M41" s="450"/>
      <c r="N41" s="434">
        <f t="shared" si="11"/>
        <v>0</v>
      </c>
      <c r="O41" s="403"/>
      <c r="P41" s="450"/>
      <c r="Q41" s="434">
        <f t="shared" si="12"/>
        <v>0</v>
      </c>
    </row>
    <row r="42" spans="2:17" ht="22.5" customHeight="1">
      <c r="B42" s="503" t="s">
        <v>96</v>
      </c>
      <c r="C42" s="504">
        <f>SUM(C43:C46)</f>
        <v>11676176</v>
      </c>
      <c r="D42" s="504">
        <f>SUM(D43:D46)</f>
        <v>-11676176</v>
      </c>
      <c r="E42" s="522">
        <f t="shared" si="8"/>
        <v>0</v>
      </c>
      <c r="F42" s="504">
        <f>SUM(F43:F46)</f>
        <v>50657768</v>
      </c>
      <c r="G42" s="504">
        <f>SUM(G43:G46)</f>
        <v>-50657768</v>
      </c>
      <c r="H42" s="522">
        <f t="shared" si="9"/>
        <v>0</v>
      </c>
      <c r="I42" s="504">
        <f>SUM(I43:I46)</f>
        <v>25990527</v>
      </c>
      <c r="J42" s="504">
        <f>SUM(J43:J46)</f>
        <v>-25990527</v>
      </c>
      <c r="K42" s="522">
        <f t="shared" si="10"/>
        <v>0</v>
      </c>
      <c r="L42" s="504">
        <f>SUM(L43:L46)</f>
        <v>0</v>
      </c>
      <c r="M42" s="504">
        <f>SUM(M43:M46)</f>
        <v>0</v>
      </c>
      <c r="N42" s="522">
        <f t="shared" si="11"/>
        <v>0</v>
      </c>
      <c r="O42" s="504">
        <f>SUM(O43:O46)</f>
        <v>0</v>
      </c>
      <c r="P42" s="504">
        <f>SUM(P43:P46)</f>
        <v>0</v>
      </c>
      <c r="Q42" s="522">
        <f t="shared" si="12"/>
        <v>0</v>
      </c>
    </row>
    <row r="43" spans="2:17" ht="22.5" customHeight="1">
      <c r="B43" s="508" t="s">
        <v>97</v>
      </c>
      <c r="C43" s="402"/>
      <c r="D43" s="449">
        <f>-C43</f>
        <v>0</v>
      </c>
      <c r="E43" s="416">
        <f t="shared" si="8"/>
        <v>0</v>
      </c>
      <c r="F43" s="402">
        <v>27860505</v>
      </c>
      <c r="G43" s="449">
        <f>-F43</f>
        <v>-27860505</v>
      </c>
      <c r="H43" s="416">
        <f t="shared" si="9"/>
        <v>0</v>
      </c>
      <c r="I43" s="402">
        <v>565843</v>
      </c>
      <c r="J43" s="449">
        <f>-I43</f>
        <v>-565843</v>
      </c>
      <c r="K43" s="416">
        <f t="shared" si="10"/>
        <v>0</v>
      </c>
      <c r="L43" s="402"/>
      <c r="M43" s="449"/>
      <c r="N43" s="416">
        <f t="shared" si="11"/>
        <v>0</v>
      </c>
      <c r="O43" s="402"/>
      <c r="P43" s="449"/>
      <c r="Q43" s="416">
        <f t="shared" si="12"/>
        <v>0</v>
      </c>
    </row>
    <row r="44" spans="2:17" ht="22.5" customHeight="1">
      <c r="B44" s="448" t="s">
        <v>98</v>
      </c>
      <c r="C44" s="402">
        <v>2</v>
      </c>
      <c r="D44" s="449">
        <f>-C44</f>
        <v>-2</v>
      </c>
      <c r="E44" s="416">
        <f t="shared" si="8"/>
        <v>0</v>
      </c>
      <c r="F44" s="402"/>
      <c r="G44" s="449">
        <f>-F44</f>
        <v>0</v>
      </c>
      <c r="H44" s="416">
        <f t="shared" si="9"/>
        <v>0</v>
      </c>
      <c r="I44" s="402"/>
      <c r="J44" s="449">
        <f>-I44</f>
        <v>0</v>
      </c>
      <c r="K44" s="416">
        <f t="shared" si="10"/>
        <v>0</v>
      </c>
      <c r="L44" s="402"/>
      <c r="M44" s="449"/>
      <c r="N44" s="416">
        <f t="shared" si="11"/>
        <v>0</v>
      </c>
      <c r="O44" s="402"/>
      <c r="P44" s="449"/>
      <c r="Q44" s="416">
        <f t="shared" si="12"/>
        <v>0</v>
      </c>
    </row>
    <row r="45" spans="2:17" ht="22.5" customHeight="1">
      <c r="B45" s="448" t="s">
        <v>99</v>
      </c>
      <c r="C45" s="402">
        <v>6722798</v>
      </c>
      <c r="D45" s="449">
        <f>-C45</f>
        <v>-6722798</v>
      </c>
      <c r="E45" s="416">
        <f t="shared" si="8"/>
        <v>0</v>
      </c>
      <c r="F45" s="402">
        <v>17217311</v>
      </c>
      <c r="G45" s="449">
        <f>-F45</f>
        <v>-17217311</v>
      </c>
      <c r="H45" s="416">
        <f t="shared" si="9"/>
        <v>0</v>
      </c>
      <c r="I45" s="402">
        <v>19844732</v>
      </c>
      <c r="J45" s="449">
        <f>-I45</f>
        <v>-19844732</v>
      </c>
      <c r="K45" s="416">
        <f t="shared" si="10"/>
        <v>0</v>
      </c>
      <c r="L45" s="402"/>
      <c r="M45" s="449"/>
      <c r="N45" s="416">
        <f t="shared" si="11"/>
        <v>0</v>
      </c>
      <c r="O45" s="402"/>
      <c r="P45" s="449"/>
      <c r="Q45" s="416">
        <f t="shared" si="12"/>
        <v>0</v>
      </c>
    </row>
    <row r="46" spans="2:17" ht="22.5" customHeight="1">
      <c r="B46" s="78" t="s">
        <v>100</v>
      </c>
      <c r="C46" s="403">
        <v>4953376</v>
      </c>
      <c r="D46" s="450">
        <f>-C46</f>
        <v>-4953376</v>
      </c>
      <c r="E46" s="434">
        <f t="shared" si="8"/>
        <v>0</v>
      </c>
      <c r="F46" s="403">
        <v>5579952</v>
      </c>
      <c r="G46" s="450">
        <f>-F46</f>
        <v>-5579952</v>
      </c>
      <c r="H46" s="434">
        <f t="shared" si="9"/>
        <v>0</v>
      </c>
      <c r="I46" s="403">
        <v>5579952</v>
      </c>
      <c r="J46" s="450">
        <f>-I46</f>
        <v>-5579952</v>
      </c>
      <c r="K46" s="434">
        <f t="shared" si="10"/>
        <v>0</v>
      </c>
      <c r="L46" s="403"/>
      <c r="M46" s="450"/>
      <c r="N46" s="434">
        <f t="shared" si="11"/>
        <v>0</v>
      </c>
      <c r="O46" s="403"/>
      <c r="P46" s="450"/>
      <c r="Q46" s="434">
        <f t="shared" si="12"/>
        <v>0</v>
      </c>
    </row>
    <row r="47" spans="2:17" ht="22.5" customHeight="1">
      <c r="B47" s="451" t="s">
        <v>101</v>
      </c>
      <c r="C47" s="447">
        <f>C36+C37-C42</f>
        <v>-5010607</v>
      </c>
      <c r="D47" s="447">
        <f>D36+D37-D42</f>
        <v>9659809.5</v>
      </c>
      <c r="E47" s="414">
        <f t="shared" si="8"/>
        <v>4649202.5</v>
      </c>
      <c r="F47" s="447">
        <f>F36+F37-F42</f>
        <v>61255203</v>
      </c>
      <c r="G47" s="447">
        <f>G36+G37-G42</f>
        <v>5340954</v>
      </c>
      <c r="H47" s="414">
        <f t="shared" si="9"/>
        <v>66596157</v>
      </c>
      <c r="I47" s="447">
        <f>I36+I37-I42</f>
        <v>51439037</v>
      </c>
      <c r="J47" s="447">
        <f>J36+J37-J42</f>
        <v>-6744229</v>
      </c>
      <c r="K47" s="414">
        <f t="shared" si="10"/>
        <v>44694808</v>
      </c>
      <c r="L47" s="447">
        <f>L36+L37-L42</f>
        <v>0</v>
      </c>
      <c r="M47" s="447">
        <f>M36+M37-M42</f>
        <v>0</v>
      </c>
      <c r="N47" s="414">
        <f t="shared" si="11"/>
        <v>0</v>
      </c>
      <c r="O47" s="447">
        <f>O36+O37-O42</f>
        <v>0</v>
      </c>
      <c r="P47" s="447">
        <f>P36+P37-P42</f>
        <v>0</v>
      </c>
      <c r="Q47" s="414">
        <f t="shared" si="12"/>
        <v>0</v>
      </c>
    </row>
    <row r="48" spans="2:17" ht="22.5" customHeight="1">
      <c r="B48" s="503" t="s">
        <v>102</v>
      </c>
      <c r="C48" s="504">
        <f>SUM(C49:C50)</f>
        <v>159573</v>
      </c>
      <c r="D48" s="504">
        <f>SUM(D49:D50)</f>
        <v>0</v>
      </c>
      <c r="E48" s="520">
        <f t="shared" si="8"/>
        <v>159573</v>
      </c>
      <c r="F48" s="504">
        <f>SUM(F49:F50)</f>
        <v>20697447</v>
      </c>
      <c r="G48" s="504">
        <f>SUM(G49:G50)</f>
        <v>0</v>
      </c>
      <c r="H48" s="520">
        <f t="shared" si="9"/>
        <v>20697447</v>
      </c>
      <c r="I48" s="504">
        <f>SUM(I49:I50)</f>
        <v>13808861</v>
      </c>
      <c r="J48" s="504">
        <f>SUM(J49:J50)</f>
        <v>0</v>
      </c>
      <c r="K48" s="520">
        <f t="shared" si="10"/>
        <v>13808861</v>
      </c>
      <c r="L48" s="504">
        <f>SUM(L49:L50)</f>
        <v>0</v>
      </c>
      <c r="M48" s="504">
        <f>SUM(M49:M50)</f>
        <v>0</v>
      </c>
      <c r="N48" s="520">
        <f t="shared" si="11"/>
        <v>0</v>
      </c>
      <c r="O48" s="504">
        <f>SUM(O49:O50)</f>
        <v>0</v>
      </c>
      <c r="P48" s="504">
        <f>SUM(P49:P50)</f>
        <v>0</v>
      </c>
      <c r="Q48" s="520">
        <f t="shared" si="12"/>
        <v>0</v>
      </c>
    </row>
    <row r="49" spans="2:17" ht="22.5" customHeight="1">
      <c r="B49" s="448" t="s">
        <v>102</v>
      </c>
      <c r="C49" s="402">
        <v>159573</v>
      </c>
      <c r="D49" s="449"/>
      <c r="E49" s="416">
        <f t="shared" si="8"/>
        <v>159573</v>
      </c>
      <c r="F49" s="402">
        <v>20697447</v>
      </c>
      <c r="G49" s="449"/>
      <c r="H49" s="416">
        <f t="shared" si="9"/>
        <v>20697447</v>
      </c>
      <c r="I49" s="402">
        <v>13808861</v>
      </c>
      <c r="J49" s="449"/>
      <c r="K49" s="416">
        <f t="shared" si="10"/>
        <v>13808861</v>
      </c>
      <c r="L49" s="402"/>
      <c r="M49" s="449"/>
      <c r="N49" s="416">
        <f t="shared" si="11"/>
        <v>0</v>
      </c>
      <c r="O49" s="402"/>
      <c r="P49" s="449"/>
      <c r="Q49" s="416">
        <f t="shared" si="12"/>
        <v>0</v>
      </c>
    </row>
    <row r="50" spans="2:17" ht="22.5" hidden="1" customHeight="1">
      <c r="B50" s="79"/>
      <c r="C50" s="403"/>
      <c r="D50" s="450"/>
      <c r="E50" s="434">
        <f t="shared" si="8"/>
        <v>0</v>
      </c>
      <c r="F50" s="403"/>
      <c r="G50" s="450"/>
      <c r="H50" s="434">
        <f t="shared" si="9"/>
        <v>0</v>
      </c>
      <c r="I50" s="403"/>
      <c r="J50" s="450"/>
      <c r="K50" s="434">
        <f t="shared" si="10"/>
        <v>0</v>
      </c>
      <c r="L50" s="403"/>
      <c r="M50" s="450"/>
      <c r="N50" s="434">
        <f t="shared" si="11"/>
        <v>0</v>
      </c>
      <c r="O50" s="403"/>
      <c r="P50" s="450"/>
      <c r="Q50" s="434">
        <f t="shared" si="12"/>
        <v>0</v>
      </c>
    </row>
    <row r="51" spans="2:17" ht="22.5" customHeight="1">
      <c r="B51" s="451" t="s">
        <v>103</v>
      </c>
      <c r="C51" s="447">
        <f>C47-C48</f>
        <v>-5170180</v>
      </c>
      <c r="D51" s="447">
        <f>D47-D48</f>
        <v>9659809.5</v>
      </c>
      <c r="E51" s="523">
        <f t="shared" si="8"/>
        <v>4489629.5</v>
      </c>
      <c r="F51" s="447">
        <f>F47-F48</f>
        <v>40557756</v>
      </c>
      <c r="G51" s="447">
        <f>G47-G48</f>
        <v>5340954</v>
      </c>
      <c r="H51" s="523">
        <f t="shared" si="9"/>
        <v>45898710</v>
      </c>
      <c r="I51" s="447">
        <f>I47-I48</f>
        <v>37630176</v>
      </c>
      <c r="J51" s="447">
        <f>J47-J48</f>
        <v>-6744229</v>
      </c>
      <c r="K51" s="523">
        <f t="shared" si="10"/>
        <v>30885947</v>
      </c>
      <c r="L51" s="447">
        <f>L47-L48</f>
        <v>0</v>
      </c>
      <c r="M51" s="447">
        <f>M47-M48</f>
        <v>0</v>
      </c>
      <c r="N51" s="523">
        <f t="shared" si="11"/>
        <v>0</v>
      </c>
      <c r="O51" s="447">
        <f>O47-O48</f>
        <v>0</v>
      </c>
      <c r="P51" s="447">
        <f>P47-P48</f>
        <v>0</v>
      </c>
      <c r="Q51" s="523">
        <f t="shared" si="12"/>
        <v>0</v>
      </c>
    </row>
    <row r="52" spans="2:17" ht="18" customHeight="1">
      <c r="C52" s="494"/>
      <c r="D52" s="494"/>
      <c r="E52" s="494">
        <f t="shared" si="8"/>
        <v>0</v>
      </c>
      <c r="F52" s="494"/>
      <c r="G52" s="494"/>
      <c r="H52" s="494">
        <f t="shared" si="9"/>
        <v>0</v>
      </c>
      <c r="I52" s="494"/>
      <c r="J52" s="494"/>
      <c r="K52" s="494">
        <f t="shared" si="10"/>
        <v>0</v>
      </c>
      <c r="L52" s="494"/>
      <c r="M52" s="494"/>
      <c r="N52" s="494">
        <f t="shared" si="11"/>
        <v>0</v>
      </c>
      <c r="O52" s="494"/>
      <c r="P52" s="494"/>
      <c r="Q52" s="494">
        <f t="shared" si="12"/>
        <v>0</v>
      </c>
    </row>
    <row r="53" spans="2:17" ht="18" customHeight="1">
      <c r="C53" s="494">
        <v>-5170180</v>
      </c>
      <c r="D53" s="494"/>
      <c r="E53" s="494">
        <f t="shared" si="8"/>
        <v>-5170180</v>
      </c>
      <c r="F53" s="494">
        <v>40557756</v>
      </c>
      <c r="G53" s="494"/>
      <c r="H53" s="494">
        <f t="shared" si="9"/>
        <v>40557756</v>
      </c>
      <c r="I53" s="494">
        <v>37630176</v>
      </c>
      <c r="J53" s="494"/>
      <c r="K53" s="494">
        <f t="shared" si="10"/>
        <v>37630176</v>
      </c>
      <c r="L53" s="494"/>
      <c r="M53" s="494"/>
      <c r="N53" s="494">
        <f t="shared" si="11"/>
        <v>0</v>
      </c>
      <c r="O53" s="494"/>
      <c r="P53" s="494"/>
      <c r="Q53" s="494">
        <f t="shared" si="12"/>
        <v>0</v>
      </c>
    </row>
    <row r="54" spans="2:17" ht="18" customHeight="1">
      <c r="C54" s="494" t="b">
        <f>C53=C51</f>
        <v>1</v>
      </c>
      <c r="D54" s="494"/>
      <c r="E54" s="494">
        <f t="shared" si="8"/>
        <v>1</v>
      </c>
      <c r="F54" s="494" t="b">
        <f>F53=F51</f>
        <v>1</v>
      </c>
      <c r="G54" s="494"/>
      <c r="H54" s="494">
        <f t="shared" si="9"/>
        <v>1</v>
      </c>
      <c r="I54" s="494" t="b">
        <f>I53=I51</f>
        <v>1</v>
      </c>
      <c r="J54" s="494"/>
      <c r="K54" s="494">
        <f t="shared" si="10"/>
        <v>1</v>
      </c>
      <c r="L54" s="494"/>
      <c r="M54" s="494"/>
      <c r="N54" s="494">
        <f t="shared" si="11"/>
        <v>0</v>
      </c>
      <c r="O54" s="494"/>
      <c r="P54" s="494"/>
      <c r="Q54" s="494">
        <f t="shared" si="12"/>
        <v>0</v>
      </c>
    </row>
    <row r="55" spans="2:17" ht="18" customHeight="1">
      <c r="C55" s="494"/>
      <c r="D55" s="494"/>
      <c r="E55" s="494">
        <f t="shared" si="8"/>
        <v>0</v>
      </c>
      <c r="F55" s="494"/>
      <c r="G55" s="494"/>
      <c r="H55" s="494">
        <f t="shared" si="9"/>
        <v>0</v>
      </c>
      <c r="I55" s="494"/>
      <c r="J55" s="494"/>
      <c r="K55" s="494">
        <f t="shared" si="10"/>
        <v>0</v>
      </c>
      <c r="L55" s="494"/>
      <c r="M55" s="494"/>
      <c r="N55" s="494">
        <f t="shared" si="11"/>
        <v>0</v>
      </c>
      <c r="O55" s="494"/>
      <c r="P55" s="494"/>
      <c r="Q55" s="494">
        <f t="shared" si="12"/>
        <v>0</v>
      </c>
    </row>
    <row r="56" spans="2:17" ht="18" customHeight="1">
      <c r="C56" s="494"/>
      <c r="D56" s="494"/>
      <c r="E56" s="494">
        <f t="shared" si="8"/>
        <v>0</v>
      </c>
      <c r="F56" s="494"/>
      <c r="G56" s="494"/>
      <c r="H56" s="494">
        <f t="shared" si="9"/>
        <v>0</v>
      </c>
      <c r="I56" s="494"/>
      <c r="J56" s="494"/>
      <c r="K56" s="494">
        <f t="shared" si="10"/>
        <v>0</v>
      </c>
      <c r="L56" s="494"/>
      <c r="M56" s="494"/>
      <c r="N56" s="494">
        <f t="shared" si="11"/>
        <v>0</v>
      </c>
      <c r="O56" s="494"/>
      <c r="P56" s="494"/>
      <c r="Q56" s="494">
        <f t="shared" si="12"/>
        <v>0</v>
      </c>
    </row>
    <row r="57" spans="2:17" ht="18" customHeight="1">
      <c r="C57" s="494"/>
      <c r="D57" s="494"/>
      <c r="E57" s="494">
        <f t="shared" si="8"/>
        <v>0</v>
      </c>
      <c r="F57" s="494"/>
      <c r="G57" s="494"/>
      <c r="H57" s="494">
        <f t="shared" si="9"/>
        <v>0</v>
      </c>
      <c r="I57" s="494"/>
      <c r="J57" s="494"/>
      <c r="K57" s="494">
        <f t="shared" si="10"/>
        <v>0</v>
      </c>
      <c r="L57" s="494"/>
      <c r="M57" s="494"/>
      <c r="N57" s="494">
        <f t="shared" si="11"/>
        <v>0</v>
      </c>
      <c r="O57" s="494"/>
      <c r="P57" s="494"/>
      <c r="Q57" s="494">
        <f t="shared" si="12"/>
        <v>0</v>
      </c>
    </row>
    <row r="58" spans="2:17" ht="18" customHeight="1">
      <c r="C58" s="494"/>
      <c r="D58" s="494"/>
      <c r="E58" s="494">
        <f t="shared" si="8"/>
        <v>0</v>
      </c>
      <c r="F58" s="494"/>
      <c r="G58" s="494"/>
      <c r="H58" s="494">
        <f t="shared" si="9"/>
        <v>0</v>
      </c>
      <c r="I58" s="494"/>
      <c r="J58" s="494"/>
      <c r="K58" s="494">
        <f t="shared" si="10"/>
        <v>0</v>
      </c>
      <c r="L58" s="494"/>
      <c r="M58" s="494"/>
      <c r="N58" s="494">
        <f t="shared" si="11"/>
        <v>0</v>
      </c>
      <c r="O58" s="494"/>
      <c r="P58" s="494"/>
      <c r="Q58" s="494">
        <f t="shared" si="12"/>
        <v>0</v>
      </c>
    </row>
    <row r="59" spans="2:17" ht="18" customHeight="1">
      <c r="C59" s="494"/>
      <c r="D59" s="494"/>
      <c r="E59" s="494">
        <f t="shared" si="8"/>
        <v>0</v>
      </c>
      <c r="F59" s="494"/>
      <c r="G59" s="494"/>
      <c r="H59" s="494">
        <f t="shared" si="9"/>
        <v>0</v>
      </c>
      <c r="I59" s="494"/>
      <c r="J59" s="494"/>
      <c r="K59" s="494">
        <f t="shared" si="10"/>
        <v>0</v>
      </c>
      <c r="L59" s="494"/>
      <c r="M59" s="494"/>
      <c r="N59" s="494">
        <f t="shared" si="11"/>
        <v>0</v>
      </c>
      <c r="O59" s="494"/>
      <c r="P59" s="494"/>
      <c r="Q59" s="494">
        <f t="shared" si="12"/>
        <v>0</v>
      </c>
    </row>
    <row r="60" spans="2:17" ht="18" customHeight="1">
      <c r="C60" s="494"/>
      <c r="D60" s="494"/>
      <c r="E60" s="494">
        <f t="shared" si="8"/>
        <v>0</v>
      </c>
      <c r="F60" s="494"/>
      <c r="G60" s="494"/>
      <c r="H60" s="494">
        <f t="shared" si="9"/>
        <v>0</v>
      </c>
      <c r="I60" s="494"/>
      <c r="J60" s="494"/>
      <c r="K60" s="494">
        <f t="shared" si="10"/>
        <v>0</v>
      </c>
      <c r="L60" s="494"/>
      <c r="M60" s="494"/>
      <c r="N60" s="494">
        <f t="shared" si="11"/>
        <v>0</v>
      </c>
      <c r="O60" s="494"/>
      <c r="P60" s="494"/>
      <c r="Q60" s="494">
        <f t="shared" si="12"/>
        <v>0</v>
      </c>
    </row>
    <row r="61" spans="2:17" ht="18" customHeight="1">
      <c r="C61" s="494"/>
      <c r="D61" s="494"/>
      <c r="E61" s="494">
        <f t="shared" si="8"/>
        <v>0</v>
      </c>
      <c r="F61" s="494"/>
      <c r="G61" s="494"/>
      <c r="H61" s="494">
        <f t="shared" si="9"/>
        <v>0</v>
      </c>
      <c r="I61" s="494"/>
      <c r="J61" s="494"/>
      <c r="K61" s="494">
        <f t="shared" si="10"/>
        <v>0</v>
      </c>
      <c r="L61" s="494"/>
      <c r="M61" s="494"/>
      <c r="N61" s="494">
        <f t="shared" si="11"/>
        <v>0</v>
      </c>
      <c r="O61" s="494"/>
      <c r="P61" s="494"/>
      <c r="Q61" s="494">
        <f t="shared" si="12"/>
        <v>0</v>
      </c>
    </row>
    <row r="62" spans="2:17" ht="18" customHeight="1">
      <c r="C62" s="494"/>
      <c r="D62" s="494"/>
      <c r="E62" s="494">
        <f t="shared" si="8"/>
        <v>0</v>
      </c>
      <c r="F62" s="494"/>
      <c r="G62" s="494"/>
      <c r="H62" s="494">
        <f t="shared" si="9"/>
        <v>0</v>
      </c>
      <c r="I62" s="494"/>
      <c r="J62" s="494"/>
      <c r="K62" s="494">
        <f t="shared" si="10"/>
        <v>0</v>
      </c>
      <c r="L62" s="494"/>
      <c r="M62" s="494"/>
      <c r="N62" s="494">
        <f t="shared" si="11"/>
        <v>0</v>
      </c>
      <c r="O62" s="494"/>
      <c r="P62" s="494"/>
      <c r="Q62" s="494">
        <f t="shared" si="12"/>
        <v>0</v>
      </c>
    </row>
    <row r="63" spans="2:17" ht="18" customHeight="1">
      <c r="C63" s="494"/>
      <c r="D63" s="494"/>
      <c r="E63" s="494">
        <f t="shared" si="8"/>
        <v>0</v>
      </c>
      <c r="F63" s="494"/>
      <c r="G63" s="494"/>
      <c r="H63" s="494">
        <f t="shared" si="9"/>
        <v>0</v>
      </c>
      <c r="I63" s="494"/>
      <c r="J63" s="494"/>
      <c r="K63" s="494">
        <f t="shared" si="10"/>
        <v>0</v>
      </c>
      <c r="L63" s="494"/>
      <c r="M63" s="494"/>
      <c r="N63" s="494">
        <f t="shared" si="11"/>
        <v>0</v>
      </c>
      <c r="O63" s="494"/>
      <c r="P63" s="494"/>
      <c r="Q63" s="494">
        <f t="shared" si="12"/>
        <v>0</v>
      </c>
    </row>
    <row r="64" spans="2:17" ht="18" customHeight="1">
      <c r="C64" s="494"/>
      <c r="D64" s="494"/>
      <c r="E64" s="494">
        <f t="shared" si="8"/>
        <v>0</v>
      </c>
      <c r="F64" s="494"/>
      <c r="G64" s="494"/>
      <c r="H64" s="494">
        <f t="shared" si="9"/>
        <v>0</v>
      </c>
      <c r="I64" s="494"/>
      <c r="J64" s="494"/>
      <c r="K64" s="494">
        <f t="shared" si="10"/>
        <v>0</v>
      </c>
      <c r="L64" s="494"/>
      <c r="M64" s="494"/>
      <c r="N64" s="494">
        <f t="shared" si="11"/>
        <v>0</v>
      </c>
      <c r="O64" s="494"/>
      <c r="P64" s="494"/>
      <c r="Q64" s="494">
        <f t="shared" si="12"/>
        <v>0</v>
      </c>
    </row>
    <row r="65" spans="3:17" ht="18" customHeight="1">
      <c r="C65" s="494"/>
      <c r="D65" s="494"/>
      <c r="E65" s="494">
        <f t="shared" si="8"/>
        <v>0</v>
      </c>
      <c r="F65" s="494"/>
      <c r="G65" s="494"/>
      <c r="H65" s="494">
        <f t="shared" si="9"/>
        <v>0</v>
      </c>
      <c r="I65" s="494"/>
      <c r="J65" s="494"/>
      <c r="K65" s="494">
        <f t="shared" si="10"/>
        <v>0</v>
      </c>
      <c r="L65" s="494"/>
      <c r="M65" s="494"/>
      <c r="N65" s="494">
        <f t="shared" si="11"/>
        <v>0</v>
      </c>
      <c r="O65" s="494"/>
      <c r="P65" s="494"/>
      <c r="Q65" s="494">
        <f t="shared" si="12"/>
        <v>0</v>
      </c>
    </row>
    <row r="66" spans="3:17" ht="18" customHeight="1">
      <c r="C66" s="494"/>
      <c r="D66" s="494"/>
      <c r="E66" s="494">
        <f t="shared" si="8"/>
        <v>0</v>
      </c>
      <c r="F66" s="494"/>
      <c r="G66" s="494"/>
      <c r="H66" s="494">
        <f t="shared" si="9"/>
        <v>0</v>
      </c>
      <c r="I66" s="494"/>
      <c r="J66" s="494"/>
      <c r="K66" s="494">
        <f t="shared" si="10"/>
        <v>0</v>
      </c>
      <c r="L66" s="494"/>
      <c r="M66" s="494"/>
      <c r="N66" s="494">
        <f t="shared" si="11"/>
        <v>0</v>
      </c>
      <c r="O66" s="494"/>
      <c r="P66" s="494"/>
      <c r="Q66" s="494">
        <f t="shared" si="12"/>
        <v>0</v>
      </c>
    </row>
    <row r="67" spans="3:17" ht="18" customHeight="1">
      <c r="C67" s="494"/>
      <c r="D67" s="494"/>
      <c r="E67" s="494">
        <f t="shared" si="8"/>
        <v>0</v>
      </c>
      <c r="F67" s="494"/>
      <c r="G67" s="494"/>
      <c r="H67" s="494">
        <f t="shared" si="9"/>
        <v>0</v>
      </c>
      <c r="I67" s="494"/>
      <c r="J67" s="494"/>
      <c r="K67" s="494">
        <f t="shared" si="10"/>
        <v>0</v>
      </c>
      <c r="L67" s="494"/>
      <c r="M67" s="494"/>
      <c r="N67" s="494">
        <f t="shared" si="11"/>
        <v>0</v>
      </c>
      <c r="O67" s="494"/>
      <c r="P67" s="494"/>
      <c r="Q67" s="494">
        <f t="shared" si="12"/>
        <v>0</v>
      </c>
    </row>
    <row r="68" spans="3:17" ht="18" customHeight="1">
      <c r="C68" s="494"/>
      <c r="D68" s="494"/>
      <c r="E68" s="494">
        <f t="shared" si="8"/>
        <v>0</v>
      </c>
      <c r="F68" s="494"/>
      <c r="G68" s="494"/>
      <c r="H68" s="494">
        <f t="shared" si="9"/>
        <v>0</v>
      </c>
      <c r="I68" s="494"/>
      <c r="J68" s="494"/>
      <c r="K68" s="494">
        <f t="shared" si="10"/>
        <v>0</v>
      </c>
      <c r="L68" s="494"/>
      <c r="M68" s="494"/>
      <c r="N68" s="494">
        <f t="shared" si="11"/>
        <v>0</v>
      </c>
      <c r="O68" s="494"/>
      <c r="P68" s="494"/>
      <c r="Q68" s="494">
        <f t="shared" si="12"/>
        <v>0</v>
      </c>
    </row>
    <row r="69" spans="3:17" ht="18" customHeight="1">
      <c r="C69" s="494"/>
      <c r="D69" s="494"/>
      <c r="E69" s="494">
        <f t="shared" ref="E69:E73" si="13">C69+D69</f>
        <v>0</v>
      </c>
      <c r="F69" s="494"/>
      <c r="G69" s="494"/>
      <c r="H69" s="494">
        <f t="shared" ref="H69:H73" si="14">F69+G69</f>
        <v>0</v>
      </c>
      <c r="I69" s="494"/>
      <c r="J69" s="494"/>
      <c r="K69" s="494">
        <f t="shared" ref="K69:K73" si="15">I69+J69</f>
        <v>0</v>
      </c>
      <c r="L69" s="494"/>
      <c r="M69" s="494"/>
      <c r="N69" s="494">
        <f t="shared" ref="N69:N73" si="16">L69+M69</f>
        <v>0</v>
      </c>
      <c r="O69" s="494"/>
      <c r="P69" s="494"/>
      <c r="Q69" s="494">
        <f t="shared" ref="Q69:Q73" si="17">O69+P69</f>
        <v>0</v>
      </c>
    </row>
    <row r="70" spans="3:17" ht="18" customHeight="1">
      <c r="C70" s="494"/>
      <c r="D70" s="494"/>
      <c r="E70" s="494">
        <f t="shared" si="13"/>
        <v>0</v>
      </c>
      <c r="F70" s="494"/>
      <c r="G70" s="494"/>
      <c r="H70" s="494">
        <f t="shared" si="14"/>
        <v>0</v>
      </c>
      <c r="I70" s="494"/>
      <c r="J70" s="494"/>
      <c r="K70" s="494">
        <f t="shared" si="15"/>
        <v>0</v>
      </c>
      <c r="L70" s="494"/>
      <c r="M70" s="494"/>
      <c r="N70" s="494">
        <f t="shared" si="16"/>
        <v>0</v>
      </c>
      <c r="O70" s="494"/>
      <c r="P70" s="494"/>
      <c r="Q70" s="494">
        <f t="shared" si="17"/>
        <v>0</v>
      </c>
    </row>
    <row r="71" spans="3:17" ht="18" customHeight="1">
      <c r="C71" s="494"/>
      <c r="D71" s="494"/>
      <c r="E71" s="494">
        <f t="shared" si="13"/>
        <v>0</v>
      </c>
      <c r="F71" s="494"/>
      <c r="G71" s="494"/>
      <c r="H71" s="494">
        <f t="shared" si="14"/>
        <v>0</v>
      </c>
      <c r="I71" s="494"/>
      <c r="J71" s="494"/>
      <c r="K71" s="494">
        <f t="shared" si="15"/>
        <v>0</v>
      </c>
      <c r="L71" s="494"/>
      <c r="M71" s="494"/>
      <c r="N71" s="494">
        <f t="shared" si="16"/>
        <v>0</v>
      </c>
      <c r="O71" s="494"/>
      <c r="P71" s="494"/>
      <c r="Q71" s="494">
        <f t="shared" si="17"/>
        <v>0</v>
      </c>
    </row>
    <row r="72" spans="3:17" ht="18" customHeight="1">
      <c r="E72" s="494">
        <f t="shared" si="13"/>
        <v>0</v>
      </c>
      <c r="H72" s="494">
        <f t="shared" si="14"/>
        <v>0</v>
      </c>
      <c r="K72" s="494">
        <f t="shared" si="15"/>
        <v>0</v>
      </c>
      <c r="N72" s="494">
        <f t="shared" si="16"/>
        <v>0</v>
      </c>
      <c r="Q72" s="494">
        <f t="shared" si="17"/>
        <v>0</v>
      </c>
    </row>
    <row r="73" spans="3:17" ht="18" customHeight="1">
      <c r="E73" s="494">
        <f t="shared" si="13"/>
        <v>0</v>
      </c>
      <c r="H73" s="494">
        <f t="shared" si="14"/>
        <v>0</v>
      </c>
      <c r="K73" s="494">
        <f t="shared" si="15"/>
        <v>0</v>
      </c>
      <c r="N73" s="494">
        <f t="shared" si="16"/>
        <v>0</v>
      </c>
      <c r="Q73" s="494">
        <f t="shared" si="17"/>
        <v>0</v>
      </c>
    </row>
  </sheetData>
  <mergeCells count="6">
    <mergeCell ref="O3:Q3"/>
    <mergeCell ref="B3:B4"/>
    <mergeCell ref="C3:E3"/>
    <mergeCell ref="F3:H3"/>
    <mergeCell ref="I3:K3"/>
    <mergeCell ref="L3:N3"/>
  </mergeCells>
  <phoneticPr fontId="60"/>
  <pageMargins left="0.7" right="0.7" top="0.75" bottom="0.75" header="0.511811023622047" footer="0.511811023622047"/>
  <pageSetup paperSize="9" orientation="portrait" horizontalDpi="300" verticalDpi="300"/>
  <ignoredErrors>
    <ignoredError sqref="E9:K29 H30:K51 E30:G51 D30:D51" formula="1"/>
  </ignoredErrors>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2:Q39"/>
  <sheetViews>
    <sheetView showGridLines="0" tabSelected="1" zoomScale="57" zoomScaleNormal="70" workbookViewId="0">
      <pane ySplit="4" topLeftCell="A23" activePane="bottomLeft" state="frozen"/>
      <selection pane="bottomLeft" activeCell="I34" sqref="I34"/>
    </sheetView>
  </sheetViews>
  <sheetFormatPr defaultColWidth="8.5" defaultRowHeight="18"/>
  <cols>
    <col min="2" max="2" width="28" style="22" customWidth="1"/>
    <col min="3" max="17" width="15" style="23" customWidth="1"/>
  </cols>
  <sheetData>
    <row r="2" spans="2:17" ht="18.75" customHeight="1">
      <c r="B2" s="242"/>
      <c r="C2" s="444"/>
      <c r="D2" s="391"/>
      <c r="E2" s="391"/>
      <c r="F2" s="444"/>
      <c r="G2" s="391"/>
      <c r="H2" s="391"/>
      <c r="I2" s="444"/>
      <c r="J2" s="391"/>
      <c r="K2" s="39" t="s">
        <v>527</v>
      </c>
      <c r="L2" s="444"/>
      <c r="M2" s="391"/>
      <c r="N2" s="391"/>
      <c r="O2" s="444"/>
      <c r="P2" s="391"/>
      <c r="Q2" s="391"/>
    </row>
    <row r="3" spans="2:17" ht="20.25" customHeight="1">
      <c r="B3" s="633" t="s">
        <v>6</v>
      </c>
      <c r="C3" s="633" t="str">
        <f>'BS(借方)'!C4</f>
        <v>24年1月期</v>
      </c>
      <c r="D3" s="633"/>
      <c r="E3" s="633"/>
      <c r="F3" s="633" t="str">
        <f>'BS(借方)'!D4</f>
        <v>25年1月期</v>
      </c>
      <c r="G3" s="633"/>
      <c r="H3" s="633"/>
      <c r="I3" s="633" t="str">
        <f>'BS(借方)'!E4</f>
        <v>26年1月期</v>
      </c>
      <c r="J3" s="633"/>
      <c r="K3" s="633"/>
      <c r="L3" s="633" t="str">
        <f>'BS(借方)'!F4</f>
        <v>●●年●月期</v>
      </c>
      <c r="M3" s="633"/>
      <c r="N3" s="633"/>
      <c r="O3" s="637" t="str">
        <f>'BS(借方)'!F4</f>
        <v>●●年●月期</v>
      </c>
      <c r="P3" s="637"/>
      <c r="Q3" s="637"/>
    </row>
    <row r="4" spans="2:17" ht="19.5" customHeight="1">
      <c r="B4" s="633"/>
      <c r="C4" s="511" t="s">
        <v>66</v>
      </c>
      <c r="D4" s="512" t="s">
        <v>156</v>
      </c>
      <c r="E4" s="513" t="s">
        <v>157</v>
      </c>
      <c r="F4" s="511" t="s">
        <v>66</v>
      </c>
      <c r="G4" s="512" t="s">
        <v>156</v>
      </c>
      <c r="H4" s="513" t="s">
        <v>157</v>
      </c>
      <c r="I4" s="511" t="s">
        <v>66</v>
      </c>
      <c r="J4" s="512" t="s">
        <v>156</v>
      </c>
      <c r="K4" s="513" t="s">
        <v>157</v>
      </c>
      <c r="L4" s="511" t="s">
        <v>66</v>
      </c>
      <c r="M4" s="512" t="s">
        <v>156</v>
      </c>
      <c r="N4" s="513" t="s">
        <v>157</v>
      </c>
      <c r="O4" s="514" t="s">
        <v>66</v>
      </c>
      <c r="P4" s="515" t="s">
        <v>156</v>
      </c>
      <c r="Q4" s="513" t="s">
        <v>157</v>
      </c>
    </row>
    <row r="5" spans="2:17" ht="22.5" customHeight="1">
      <c r="B5" s="516" t="s">
        <v>116</v>
      </c>
      <c r="C5" s="402">
        <v>1104000</v>
      </c>
      <c r="D5" s="415"/>
      <c r="E5" s="416">
        <f t="shared" ref="E5:E39" si="0">C5+D5</f>
        <v>1104000</v>
      </c>
      <c r="F5" s="402">
        <v>1104000</v>
      </c>
      <c r="G5" s="415"/>
      <c r="H5" s="416">
        <f t="shared" ref="H5:H39" si="1">F5+G5</f>
        <v>1104000</v>
      </c>
      <c r="I5" s="402">
        <v>4094000</v>
      </c>
      <c r="J5" s="415">
        <f>-1500000-1490000</f>
        <v>-2990000</v>
      </c>
      <c r="K5" s="416">
        <f t="shared" ref="K5:K39" si="2">I5+J5</f>
        <v>1104000</v>
      </c>
      <c r="L5" s="402"/>
      <c r="M5" s="415"/>
      <c r="N5" s="416">
        <f t="shared" ref="N5:N39" si="3">L5+M5</f>
        <v>0</v>
      </c>
      <c r="O5" s="402"/>
      <c r="P5" s="415"/>
      <c r="Q5" s="416">
        <f t="shared" ref="Q5:Q39" si="4">O5+P5</f>
        <v>0</v>
      </c>
    </row>
    <row r="6" spans="2:17" ht="22.5" customHeight="1">
      <c r="B6" s="489" t="s">
        <v>117</v>
      </c>
      <c r="C6" s="449">
        <v>18000000</v>
      </c>
      <c r="D6" s="415"/>
      <c r="E6" s="416">
        <f t="shared" si="0"/>
        <v>18000000</v>
      </c>
      <c r="F6" s="449">
        <v>20000000</v>
      </c>
      <c r="G6" s="415"/>
      <c r="H6" s="416">
        <f t="shared" si="1"/>
        <v>20000000</v>
      </c>
      <c r="I6" s="449">
        <v>20000000</v>
      </c>
      <c r="J6" s="415"/>
      <c r="K6" s="416">
        <f t="shared" si="2"/>
        <v>20000000</v>
      </c>
      <c r="L6" s="449"/>
      <c r="M6" s="415"/>
      <c r="N6" s="416">
        <f t="shared" si="3"/>
        <v>0</v>
      </c>
      <c r="O6" s="449"/>
      <c r="P6" s="415"/>
      <c r="Q6" s="416">
        <f t="shared" si="4"/>
        <v>0</v>
      </c>
    </row>
    <row r="7" spans="2:17" ht="22.5" customHeight="1">
      <c r="B7" s="489" t="s">
        <v>118</v>
      </c>
      <c r="C7" s="449">
        <v>33649484</v>
      </c>
      <c r="D7" s="415"/>
      <c r="E7" s="416">
        <f t="shared" si="0"/>
        <v>33649484</v>
      </c>
      <c r="F7" s="449">
        <v>29811105</v>
      </c>
      <c r="G7" s="415"/>
      <c r="H7" s="416">
        <f t="shared" si="1"/>
        <v>29811105</v>
      </c>
      <c r="I7" s="449">
        <v>27938525</v>
      </c>
      <c r="J7" s="415"/>
      <c r="K7" s="416">
        <f t="shared" si="2"/>
        <v>27938525</v>
      </c>
      <c r="L7" s="449"/>
      <c r="M7" s="415"/>
      <c r="N7" s="416">
        <f t="shared" si="3"/>
        <v>0</v>
      </c>
      <c r="O7" s="449"/>
      <c r="P7" s="415"/>
      <c r="Q7" s="416">
        <f t="shared" si="4"/>
        <v>0</v>
      </c>
    </row>
    <row r="8" spans="2:17" ht="22.5" customHeight="1">
      <c r="B8" s="489" t="s">
        <v>119</v>
      </c>
      <c r="C8" s="449">
        <v>2538750</v>
      </c>
      <c r="D8" s="415">
        <f>-C8</f>
        <v>-2538750</v>
      </c>
      <c r="E8" s="416">
        <f t="shared" si="0"/>
        <v>0</v>
      </c>
      <c r="F8" s="449">
        <v>6544740</v>
      </c>
      <c r="G8" s="415">
        <f>-1500000-1490000</f>
        <v>-2990000</v>
      </c>
      <c r="H8" s="416">
        <f t="shared" si="1"/>
        <v>3554740</v>
      </c>
      <c r="I8" s="449">
        <v>299000</v>
      </c>
      <c r="J8" s="415"/>
      <c r="K8" s="416">
        <f t="shared" si="2"/>
        <v>299000</v>
      </c>
      <c r="L8" s="449"/>
      <c r="M8" s="415"/>
      <c r="N8" s="416">
        <f t="shared" si="3"/>
        <v>0</v>
      </c>
      <c r="O8" s="449"/>
      <c r="P8" s="415"/>
      <c r="Q8" s="416">
        <f t="shared" si="4"/>
        <v>0</v>
      </c>
    </row>
    <row r="9" spans="2:17" ht="22.5" customHeight="1">
      <c r="B9" s="489" t="s">
        <v>120</v>
      </c>
      <c r="C9" s="449">
        <v>4064600</v>
      </c>
      <c r="D9" s="415"/>
      <c r="E9" s="416">
        <f t="shared" si="0"/>
        <v>4064600</v>
      </c>
      <c r="F9" s="449"/>
      <c r="G9" s="415"/>
      <c r="H9" s="416">
        <f t="shared" si="1"/>
        <v>0</v>
      </c>
      <c r="I9" s="449">
        <v>6079177</v>
      </c>
      <c r="J9" s="415"/>
      <c r="K9" s="416">
        <f t="shared" si="2"/>
        <v>6079177</v>
      </c>
      <c r="L9" s="449"/>
      <c r="M9" s="415"/>
      <c r="N9" s="416">
        <f t="shared" si="3"/>
        <v>0</v>
      </c>
      <c r="O9" s="449"/>
      <c r="P9" s="415"/>
      <c r="Q9" s="416">
        <f t="shared" si="4"/>
        <v>0</v>
      </c>
    </row>
    <row r="10" spans="2:17" ht="22.5" customHeight="1">
      <c r="B10" s="489" t="s">
        <v>121</v>
      </c>
      <c r="C10" s="449">
        <v>6407318</v>
      </c>
      <c r="D10" s="415">
        <f>(D5+D6+D8)*0.15</f>
        <v>-380812.5</v>
      </c>
      <c r="E10" s="416">
        <f t="shared" si="0"/>
        <v>6026505.5</v>
      </c>
      <c r="F10" s="449">
        <v>6394777</v>
      </c>
      <c r="G10" s="415">
        <f>(G5+G6+G8)*0.15</f>
        <v>-448500</v>
      </c>
      <c r="H10" s="416">
        <f t="shared" si="1"/>
        <v>5946277</v>
      </c>
      <c r="I10" s="449">
        <v>6366731</v>
      </c>
      <c r="J10" s="415">
        <f>(J5+J6)*0.15</f>
        <v>-448500</v>
      </c>
      <c r="K10" s="416">
        <f t="shared" si="2"/>
        <v>5918231</v>
      </c>
      <c r="L10" s="449"/>
      <c r="M10" s="415"/>
      <c r="N10" s="416">
        <f t="shared" si="3"/>
        <v>0</v>
      </c>
      <c r="O10" s="449"/>
      <c r="P10" s="415"/>
      <c r="Q10" s="416">
        <f t="shared" si="4"/>
        <v>0</v>
      </c>
    </row>
    <row r="11" spans="2:17" ht="22.5" customHeight="1">
      <c r="B11" s="489" t="s">
        <v>122</v>
      </c>
      <c r="C11" s="449">
        <v>1932474</v>
      </c>
      <c r="D11" s="415"/>
      <c r="E11" s="416">
        <f t="shared" si="0"/>
        <v>1932474</v>
      </c>
      <c r="F11" s="449">
        <v>422087</v>
      </c>
      <c r="G11" s="415"/>
      <c r="H11" s="416">
        <f t="shared" si="1"/>
        <v>422087</v>
      </c>
      <c r="I11" s="449">
        <v>705804</v>
      </c>
      <c r="J11" s="415"/>
      <c r="K11" s="416">
        <f t="shared" si="2"/>
        <v>705804</v>
      </c>
      <c r="L11" s="449"/>
      <c r="M11" s="415"/>
      <c r="N11" s="416">
        <f t="shared" si="3"/>
        <v>0</v>
      </c>
      <c r="O11" s="449"/>
      <c r="P11" s="415"/>
      <c r="Q11" s="416">
        <f t="shared" si="4"/>
        <v>0</v>
      </c>
    </row>
    <row r="12" spans="2:17" ht="22.5" customHeight="1">
      <c r="B12" s="489" t="s">
        <v>123</v>
      </c>
      <c r="C12" s="449">
        <v>280000</v>
      </c>
      <c r="D12" s="415"/>
      <c r="E12" s="416">
        <f t="shared" si="0"/>
        <v>280000</v>
      </c>
      <c r="F12" s="449">
        <v>1480000</v>
      </c>
      <c r="G12" s="415"/>
      <c r="H12" s="416">
        <f t="shared" si="1"/>
        <v>1480000</v>
      </c>
      <c r="I12" s="449"/>
      <c r="J12" s="415"/>
      <c r="K12" s="416">
        <f t="shared" si="2"/>
        <v>0</v>
      </c>
      <c r="L12" s="449"/>
      <c r="M12" s="415"/>
      <c r="N12" s="416">
        <f t="shared" si="3"/>
        <v>0</v>
      </c>
      <c r="O12" s="449"/>
      <c r="P12" s="415"/>
      <c r="Q12" s="416">
        <f t="shared" si="4"/>
        <v>0</v>
      </c>
    </row>
    <row r="13" spans="2:17" ht="22.5" customHeight="1">
      <c r="B13" s="489" t="s">
        <v>124</v>
      </c>
      <c r="C13" s="449">
        <v>9235586</v>
      </c>
      <c r="D13" s="415"/>
      <c r="E13" s="416">
        <f t="shared" si="0"/>
        <v>9235586</v>
      </c>
      <c r="F13" s="449">
        <v>13487346</v>
      </c>
      <c r="G13" s="415"/>
      <c r="H13" s="416">
        <f t="shared" si="1"/>
        <v>13487346</v>
      </c>
      <c r="I13" s="449">
        <v>7104880</v>
      </c>
      <c r="J13" s="415"/>
      <c r="K13" s="416">
        <f t="shared" si="2"/>
        <v>7104880</v>
      </c>
      <c r="L13" s="449"/>
      <c r="M13" s="415"/>
      <c r="N13" s="416">
        <f t="shared" si="3"/>
        <v>0</v>
      </c>
      <c r="O13" s="449"/>
      <c r="P13" s="415"/>
      <c r="Q13" s="416">
        <f t="shared" si="4"/>
        <v>0</v>
      </c>
    </row>
    <row r="14" spans="2:17" ht="22.5" customHeight="1">
      <c r="B14" s="489" t="s">
        <v>125</v>
      </c>
      <c r="C14" s="449">
        <v>152187</v>
      </c>
      <c r="D14" s="415"/>
      <c r="E14" s="416">
        <f t="shared" si="0"/>
        <v>152187</v>
      </c>
      <c r="F14" s="449">
        <v>142619</v>
      </c>
      <c r="G14" s="415"/>
      <c r="H14" s="416">
        <f t="shared" si="1"/>
        <v>142619</v>
      </c>
      <c r="I14" s="449">
        <v>841073</v>
      </c>
      <c r="J14" s="415"/>
      <c r="K14" s="416">
        <f t="shared" si="2"/>
        <v>841073</v>
      </c>
      <c r="L14" s="449"/>
      <c r="M14" s="415"/>
      <c r="N14" s="416">
        <f t="shared" si="3"/>
        <v>0</v>
      </c>
      <c r="O14" s="449"/>
      <c r="P14" s="415"/>
      <c r="Q14" s="416">
        <f t="shared" si="4"/>
        <v>0</v>
      </c>
    </row>
    <row r="15" spans="2:17" ht="22.5" customHeight="1">
      <c r="B15" s="489" t="s">
        <v>126</v>
      </c>
      <c r="C15" s="449">
        <v>1440144</v>
      </c>
      <c r="D15" s="415">
        <f>-C15</f>
        <v>-1440144</v>
      </c>
      <c r="E15" s="416">
        <f t="shared" si="0"/>
        <v>0</v>
      </c>
      <c r="F15" s="449">
        <v>1738203</v>
      </c>
      <c r="G15" s="415">
        <f>-F15</f>
        <v>-1738203</v>
      </c>
      <c r="H15" s="416">
        <f t="shared" si="1"/>
        <v>0</v>
      </c>
      <c r="I15" s="449">
        <v>2336230</v>
      </c>
      <c r="J15" s="415">
        <f>-I15</f>
        <v>-2336230</v>
      </c>
      <c r="K15" s="416">
        <f t="shared" si="2"/>
        <v>0</v>
      </c>
      <c r="L15" s="449"/>
      <c r="M15" s="415"/>
      <c r="N15" s="416">
        <f t="shared" si="3"/>
        <v>0</v>
      </c>
      <c r="O15" s="449"/>
      <c r="P15" s="415"/>
      <c r="Q15" s="416">
        <f t="shared" si="4"/>
        <v>0</v>
      </c>
    </row>
    <row r="16" spans="2:17" ht="22.5" customHeight="1">
      <c r="B16" s="489" t="s">
        <v>127</v>
      </c>
      <c r="C16" s="449">
        <v>211518</v>
      </c>
      <c r="D16" s="415"/>
      <c r="E16" s="416">
        <f t="shared" si="0"/>
        <v>211518</v>
      </c>
      <c r="F16" s="449">
        <v>214892</v>
      </c>
      <c r="G16" s="415"/>
      <c r="H16" s="416">
        <f t="shared" si="1"/>
        <v>214892</v>
      </c>
      <c r="I16" s="449">
        <v>284369</v>
      </c>
      <c r="J16" s="415"/>
      <c r="K16" s="416">
        <f t="shared" si="2"/>
        <v>284369</v>
      </c>
      <c r="L16" s="449"/>
      <c r="M16" s="415"/>
      <c r="N16" s="416">
        <f t="shared" si="3"/>
        <v>0</v>
      </c>
      <c r="O16" s="449"/>
      <c r="P16" s="415"/>
      <c r="Q16" s="416">
        <f t="shared" si="4"/>
        <v>0</v>
      </c>
    </row>
    <row r="17" spans="2:17" ht="22.5" customHeight="1">
      <c r="B17" s="489" t="s">
        <v>128</v>
      </c>
      <c r="C17" s="449">
        <v>645511</v>
      </c>
      <c r="D17" s="415"/>
      <c r="E17" s="416">
        <f t="shared" si="0"/>
        <v>645511</v>
      </c>
      <c r="F17" s="449">
        <v>2129949</v>
      </c>
      <c r="G17" s="415"/>
      <c r="H17" s="416">
        <f t="shared" si="1"/>
        <v>2129949</v>
      </c>
      <c r="I17" s="449">
        <v>1018914</v>
      </c>
      <c r="J17" s="415"/>
      <c r="K17" s="416">
        <f t="shared" si="2"/>
        <v>1018914</v>
      </c>
      <c r="L17" s="449"/>
      <c r="M17" s="415"/>
      <c r="N17" s="416">
        <f t="shared" si="3"/>
        <v>0</v>
      </c>
      <c r="O17" s="449"/>
      <c r="P17" s="415"/>
      <c r="Q17" s="416">
        <f t="shared" si="4"/>
        <v>0</v>
      </c>
    </row>
    <row r="18" spans="2:17" ht="22.5" customHeight="1">
      <c r="B18" s="489" t="s">
        <v>129</v>
      </c>
      <c r="C18" s="449">
        <v>1416425</v>
      </c>
      <c r="D18" s="415"/>
      <c r="E18" s="416">
        <f t="shared" si="0"/>
        <v>1416425</v>
      </c>
      <c r="F18" s="449">
        <v>1506325</v>
      </c>
      <c r="G18" s="415"/>
      <c r="H18" s="416">
        <f t="shared" si="1"/>
        <v>1506325</v>
      </c>
      <c r="I18" s="449">
        <v>1506831</v>
      </c>
      <c r="J18" s="415"/>
      <c r="K18" s="416">
        <f t="shared" si="2"/>
        <v>1506831</v>
      </c>
      <c r="L18" s="449"/>
      <c r="M18" s="415"/>
      <c r="N18" s="416">
        <f t="shared" si="3"/>
        <v>0</v>
      </c>
      <c r="O18" s="449"/>
      <c r="P18" s="415"/>
      <c r="Q18" s="416">
        <f t="shared" si="4"/>
        <v>0</v>
      </c>
    </row>
    <row r="19" spans="2:17" ht="22.5" customHeight="1">
      <c r="B19" s="489" t="s">
        <v>130</v>
      </c>
      <c r="C19" s="449">
        <v>65128</v>
      </c>
      <c r="D19" s="415"/>
      <c r="E19" s="416">
        <f t="shared" si="0"/>
        <v>65128</v>
      </c>
      <c r="F19" s="449"/>
      <c r="G19" s="415"/>
      <c r="H19" s="416">
        <f t="shared" si="1"/>
        <v>0</v>
      </c>
      <c r="I19" s="449"/>
      <c r="J19" s="415"/>
      <c r="K19" s="416">
        <f t="shared" si="2"/>
        <v>0</v>
      </c>
      <c r="L19" s="449"/>
      <c r="M19" s="415"/>
      <c r="N19" s="416">
        <f t="shared" si="3"/>
        <v>0</v>
      </c>
      <c r="O19" s="449"/>
      <c r="P19" s="415"/>
      <c r="Q19" s="416">
        <f t="shared" si="4"/>
        <v>0</v>
      </c>
    </row>
    <row r="20" spans="2:17" ht="22.5" customHeight="1">
      <c r="B20" s="489" t="s">
        <v>131</v>
      </c>
      <c r="C20" s="449">
        <v>1145535</v>
      </c>
      <c r="D20" s="415"/>
      <c r="E20" s="416">
        <f t="shared" si="0"/>
        <v>1145535</v>
      </c>
      <c r="F20" s="449">
        <v>1700793</v>
      </c>
      <c r="G20" s="415"/>
      <c r="H20" s="416">
        <f t="shared" si="1"/>
        <v>1700793</v>
      </c>
      <c r="I20" s="449">
        <v>1195194</v>
      </c>
      <c r="J20" s="415"/>
      <c r="K20" s="416">
        <f t="shared" si="2"/>
        <v>1195194</v>
      </c>
      <c r="L20" s="449"/>
      <c r="M20" s="415"/>
      <c r="N20" s="416">
        <f t="shared" si="3"/>
        <v>0</v>
      </c>
      <c r="O20" s="449"/>
      <c r="P20" s="415"/>
      <c r="Q20" s="416">
        <f t="shared" si="4"/>
        <v>0</v>
      </c>
    </row>
    <row r="21" spans="2:17" ht="22.5" customHeight="1">
      <c r="B21" s="489" t="s">
        <v>132</v>
      </c>
      <c r="C21" s="449">
        <v>44900</v>
      </c>
      <c r="D21" s="415"/>
      <c r="E21" s="416">
        <f t="shared" si="0"/>
        <v>44900</v>
      </c>
      <c r="F21" s="449">
        <v>190064</v>
      </c>
      <c r="G21" s="415"/>
      <c r="H21" s="416">
        <f t="shared" si="1"/>
        <v>190064</v>
      </c>
      <c r="I21" s="449"/>
      <c r="J21" s="415"/>
      <c r="K21" s="416">
        <f t="shared" si="2"/>
        <v>0</v>
      </c>
      <c r="L21" s="449"/>
      <c r="M21" s="415"/>
      <c r="N21" s="416">
        <f t="shared" si="3"/>
        <v>0</v>
      </c>
      <c r="O21" s="449"/>
      <c r="P21" s="415"/>
      <c r="Q21" s="416">
        <f t="shared" si="4"/>
        <v>0</v>
      </c>
    </row>
    <row r="22" spans="2:17" ht="22.5" customHeight="1">
      <c r="B22" s="489" t="s">
        <v>133</v>
      </c>
      <c r="C22" s="449">
        <v>394299</v>
      </c>
      <c r="D22" s="415"/>
      <c r="E22" s="416">
        <f t="shared" si="0"/>
        <v>394299</v>
      </c>
      <c r="F22" s="449">
        <v>403021</v>
      </c>
      <c r="G22" s="415"/>
      <c r="H22" s="416">
        <f t="shared" si="1"/>
        <v>403021</v>
      </c>
      <c r="I22" s="449">
        <v>412583</v>
      </c>
      <c r="J22" s="415"/>
      <c r="K22" s="416">
        <f t="shared" si="2"/>
        <v>412583</v>
      </c>
      <c r="L22" s="449"/>
      <c r="M22" s="415"/>
      <c r="N22" s="416">
        <f t="shared" si="3"/>
        <v>0</v>
      </c>
      <c r="O22" s="449"/>
      <c r="P22" s="415"/>
      <c r="Q22" s="416">
        <f t="shared" si="4"/>
        <v>0</v>
      </c>
    </row>
    <row r="23" spans="2:17" ht="22.5" customHeight="1">
      <c r="B23" s="489" t="s">
        <v>134</v>
      </c>
      <c r="C23" s="449">
        <v>57450</v>
      </c>
      <c r="D23" s="415"/>
      <c r="E23" s="416">
        <f t="shared" si="0"/>
        <v>57450</v>
      </c>
      <c r="F23" s="449">
        <v>36000</v>
      </c>
      <c r="G23" s="415"/>
      <c r="H23" s="416">
        <f t="shared" si="1"/>
        <v>36000</v>
      </c>
      <c r="I23" s="449">
        <v>48000</v>
      </c>
      <c r="J23" s="415"/>
      <c r="K23" s="416">
        <f t="shared" si="2"/>
        <v>48000</v>
      </c>
      <c r="L23" s="449"/>
      <c r="M23" s="415"/>
      <c r="N23" s="416">
        <f t="shared" si="3"/>
        <v>0</v>
      </c>
      <c r="O23" s="449"/>
      <c r="P23" s="415"/>
      <c r="Q23" s="416">
        <f t="shared" si="4"/>
        <v>0</v>
      </c>
    </row>
    <row r="24" spans="2:17" ht="22.5" customHeight="1">
      <c r="B24" s="489" t="s">
        <v>135</v>
      </c>
      <c r="C24" s="449">
        <v>3167934</v>
      </c>
      <c r="D24" s="415"/>
      <c r="E24" s="416">
        <f t="shared" si="0"/>
        <v>3167934</v>
      </c>
      <c r="F24" s="449">
        <v>3674031</v>
      </c>
      <c r="G24" s="415"/>
      <c r="H24" s="416">
        <f t="shared" si="1"/>
        <v>3674031</v>
      </c>
      <c r="I24" s="449">
        <v>1179313</v>
      </c>
      <c r="J24" s="415"/>
      <c r="K24" s="416">
        <f t="shared" si="2"/>
        <v>1179313</v>
      </c>
      <c r="L24" s="449"/>
      <c r="M24" s="415"/>
      <c r="N24" s="416">
        <f t="shared" si="3"/>
        <v>0</v>
      </c>
      <c r="O24" s="449"/>
      <c r="P24" s="415"/>
      <c r="Q24" s="416">
        <f t="shared" si="4"/>
        <v>0</v>
      </c>
    </row>
    <row r="25" spans="2:17" ht="22.5" customHeight="1">
      <c r="B25" s="518" t="s">
        <v>136</v>
      </c>
      <c r="C25" s="449">
        <v>650214</v>
      </c>
      <c r="D25" s="415"/>
      <c r="E25" s="416">
        <f t="shared" si="0"/>
        <v>650214</v>
      </c>
      <c r="F25" s="449">
        <v>478916</v>
      </c>
      <c r="G25" s="415"/>
      <c r="H25" s="416">
        <f t="shared" si="1"/>
        <v>478916</v>
      </c>
      <c r="I25" s="449">
        <v>716759</v>
      </c>
      <c r="J25" s="415"/>
      <c r="K25" s="416">
        <f t="shared" si="2"/>
        <v>716759</v>
      </c>
      <c r="L25" s="449"/>
      <c r="M25" s="415"/>
      <c r="N25" s="416">
        <f t="shared" si="3"/>
        <v>0</v>
      </c>
      <c r="O25" s="449"/>
      <c r="P25" s="415"/>
      <c r="Q25" s="416">
        <f t="shared" si="4"/>
        <v>0</v>
      </c>
    </row>
    <row r="26" spans="2:17" ht="22.5" customHeight="1">
      <c r="B26" s="489" t="s">
        <v>137</v>
      </c>
      <c r="C26" s="449">
        <v>5430000</v>
      </c>
      <c r="D26" s="415"/>
      <c r="E26" s="416">
        <f t="shared" si="0"/>
        <v>5430000</v>
      </c>
      <c r="F26" s="449">
        <v>5430000</v>
      </c>
      <c r="G26" s="415"/>
      <c r="H26" s="416">
        <f t="shared" si="1"/>
        <v>5430000</v>
      </c>
      <c r="I26" s="449">
        <v>5500911</v>
      </c>
      <c r="J26" s="415"/>
      <c r="K26" s="416">
        <f t="shared" si="2"/>
        <v>5500911</v>
      </c>
      <c r="L26" s="449"/>
      <c r="M26" s="415"/>
      <c r="N26" s="416">
        <f t="shared" si="3"/>
        <v>0</v>
      </c>
      <c r="O26" s="449"/>
      <c r="P26" s="415"/>
      <c r="Q26" s="416">
        <f t="shared" si="4"/>
        <v>0</v>
      </c>
    </row>
    <row r="27" spans="2:17" ht="22.5" customHeight="1">
      <c r="B27" s="489" t="s">
        <v>138</v>
      </c>
      <c r="C27" s="449">
        <v>131200</v>
      </c>
      <c r="D27" s="415"/>
      <c r="E27" s="416">
        <f t="shared" si="0"/>
        <v>131200</v>
      </c>
      <c r="F27" s="449">
        <v>160920</v>
      </c>
      <c r="G27" s="415"/>
      <c r="H27" s="416">
        <f t="shared" si="1"/>
        <v>160920</v>
      </c>
      <c r="I27" s="449">
        <v>147510</v>
      </c>
      <c r="J27" s="415"/>
      <c r="K27" s="416">
        <f t="shared" si="2"/>
        <v>147510</v>
      </c>
      <c r="L27" s="449"/>
      <c r="M27" s="415"/>
      <c r="N27" s="416">
        <f t="shared" si="3"/>
        <v>0</v>
      </c>
      <c r="O27" s="449"/>
      <c r="P27" s="415"/>
      <c r="Q27" s="416">
        <f t="shared" si="4"/>
        <v>0</v>
      </c>
    </row>
    <row r="28" spans="2:17" ht="22.5" customHeight="1">
      <c r="B28" s="518" t="s">
        <v>139</v>
      </c>
      <c r="C28" s="449">
        <v>709690</v>
      </c>
      <c r="D28" s="415"/>
      <c r="E28" s="416">
        <f t="shared" si="0"/>
        <v>709690</v>
      </c>
      <c r="F28" s="449">
        <v>1090090</v>
      </c>
      <c r="G28" s="415"/>
      <c r="H28" s="416">
        <f t="shared" si="1"/>
        <v>1090090</v>
      </c>
      <c r="I28" s="449">
        <v>735330</v>
      </c>
      <c r="J28" s="415"/>
      <c r="K28" s="416">
        <f t="shared" si="2"/>
        <v>735330</v>
      </c>
      <c r="L28" s="449"/>
      <c r="M28" s="415"/>
      <c r="N28" s="416">
        <f t="shared" si="3"/>
        <v>0</v>
      </c>
      <c r="O28" s="449"/>
      <c r="P28" s="415"/>
      <c r="Q28" s="416">
        <f t="shared" si="4"/>
        <v>0</v>
      </c>
    </row>
    <row r="29" spans="2:17" ht="22.5" customHeight="1">
      <c r="B29" s="489" t="s">
        <v>140</v>
      </c>
      <c r="C29" s="449">
        <v>234840</v>
      </c>
      <c r="D29" s="415"/>
      <c r="E29" s="416">
        <f t="shared" si="0"/>
        <v>234840</v>
      </c>
      <c r="F29" s="449">
        <v>175360</v>
      </c>
      <c r="G29" s="415"/>
      <c r="H29" s="416">
        <f t="shared" si="1"/>
        <v>175360</v>
      </c>
      <c r="I29" s="449">
        <v>269084</v>
      </c>
      <c r="J29" s="415"/>
      <c r="K29" s="416">
        <f t="shared" si="2"/>
        <v>269084</v>
      </c>
      <c r="L29" s="449"/>
      <c r="M29" s="415"/>
      <c r="N29" s="416">
        <f t="shared" si="3"/>
        <v>0</v>
      </c>
      <c r="O29" s="449"/>
      <c r="P29" s="415"/>
      <c r="Q29" s="416">
        <f t="shared" si="4"/>
        <v>0</v>
      </c>
    </row>
    <row r="30" spans="2:17" ht="22.5" customHeight="1">
      <c r="B30" s="489" t="s">
        <v>141</v>
      </c>
      <c r="C30" s="449">
        <v>755000</v>
      </c>
      <c r="D30" s="415"/>
      <c r="E30" s="416">
        <f t="shared" si="0"/>
        <v>755000</v>
      </c>
      <c r="F30" s="449">
        <v>755000</v>
      </c>
      <c r="G30" s="415"/>
      <c r="H30" s="416">
        <f t="shared" si="1"/>
        <v>755000</v>
      </c>
      <c r="I30" s="449">
        <v>762000</v>
      </c>
      <c r="J30" s="415"/>
      <c r="K30" s="416">
        <f t="shared" si="2"/>
        <v>762000</v>
      </c>
      <c r="L30" s="449"/>
      <c r="M30" s="415"/>
      <c r="N30" s="416">
        <f t="shared" si="3"/>
        <v>0</v>
      </c>
      <c r="O30" s="449"/>
      <c r="P30" s="415"/>
      <c r="Q30" s="416">
        <f t="shared" si="4"/>
        <v>0</v>
      </c>
    </row>
    <row r="31" spans="2:17" ht="22.5" customHeight="1">
      <c r="B31" s="489" t="s">
        <v>142</v>
      </c>
      <c r="C31" s="449">
        <v>50000</v>
      </c>
      <c r="D31" s="415">
        <f>-C31</f>
        <v>-50000</v>
      </c>
      <c r="E31" s="416">
        <f t="shared" si="0"/>
        <v>0</v>
      </c>
      <c r="F31" s="449">
        <v>200000</v>
      </c>
      <c r="G31" s="415">
        <f>-F31</f>
        <v>-200000</v>
      </c>
      <c r="H31" s="416">
        <f t="shared" si="1"/>
        <v>0</v>
      </c>
      <c r="I31" s="449">
        <v>50000</v>
      </c>
      <c r="J31" s="415">
        <f>-I31</f>
        <v>-50000</v>
      </c>
      <c r="K31" s="416">
        <f t="shared" si="2"/>
        <v>0</v>
      </c>
      <c r="L31" s="449"/>
      <c r="M31" s="415"/>
      <c r="N31" s="416">
        <f t="shared" si="3"/>
        <v>0</v>
      </c>
      <c r="O31" s="449"/>
      <c r="P31" s="415"/>
      <c r="Q31" s="416">
        <f t="shared" si="4"/>
        <v>0</v>
      </c>
    </row>
    <row r="32" spans="2:17" ht="22.5" customHeight="1">
      <c r="B32" s="489" t="s">
        <v>143</v>
      </c>
      <c r="C32" s="449">
        <v>174503</v>
      </c>
      <c r="D32" s="415"/>
      <c r="E32" s="416">
        <f t="shared" si="0"/>
        <v>174503</v>
      </c>
      <c r="F32" s="449">
        <v>574824</v>
      </c>
      <c r="G32" s="415"/>
      <c r="H32" s="416">
        <f t="shared" si="1"/>
        <v>574824</v>
      </c>
      <c r="I32" s="449">
        <v>170367</v>
      </c>
      <c r="J32" s="415"/>
      <c r="K32" s="416">
        <f t="shared" si="2"/>
        <v>170367</v>
      </c>
      <c r="L32" s="449"/>
      <c r="M32" s="415"/>
      <c r="N32" s="416">
        <f t="shared" si="3"/>
        <v>0</v>
      </c>
      <c r="O32" s="449"/>
      <c r="P32" s="415"/>
      <c r="Q32" s="416">
        <f t="shared" si="4"/>
        <v>0</v>
      </c>
    </row>
    <row r="33" spans="2:17" ht="22.5" customHeight="1">
      <c r="B33" s="489" t="s">
        <v>144</v>
      </c>
      <c r="C33" s="449">
        <v>881300</v>
      </c>
      <c r="D33" s="415"/>
      <c r="E33" s="416">
        <f t="shared" si="0"/>
        <v>881300</v>
      </c>
      <c r="F33" s="449">
        <v>644524</v>
      </c>
      <c r="G33" s="415"/>
      <c r="H33" s="416">
        <f t="shared" si="1"/>
        <v>644524</v>
      </c>
      <c r="I33" s="449">
        <v>1182673</v>
      </c>
      <c r="J33" s="415"/>
      <c r="K33" s="416">
        <f t="shared" si="2"/>
        <v>1182673</v>
      </c>
      <c r="L33" s="449"/>
      <c r="M33" s="415"/>
      <c r="N33" s="416">
        <f t="shared" si="3"/>
        <v>0</v>
      </c>
      <c r="O33" s="449"/>
      <c r="P33" s="415"/>
      <c r="Q33" s="416">
        <f t="shared" si="4"/>
        <v>0</v>
      </c>
    </row>
    <row r="34" spans="2:17" ht="22.5" customHeight="1">
      <c r="B34" s="489" t="s">
        <v>145</v>
      </c>
      <c r="C34" s="449">
        <v>803000</v>
      </c>
      <c r="D34" s="415">
        <f>-C34</f>
        <v>-803000</v>
      </c>
      <c r="E34" s="416">
        <f t="shared" si="0"/>
        <v>0</v>
      </c>
      <c r="F34" s="449">
        <v>246000</v>
      </c>
      <c r="G34" s="415">
        <f>-F34</f>
        <v>-246000</v>
      </c>
      <c r="H34" s="416">
        <f t="shared" si="1"/>
        <v>0</v>
      </c>
      <c r="I34" s="449">
        <v>201000</v>
      </c>
      <c r="J34" s="415">
        <f>-I34</f>
        <v>-201000</v>
      </c>
      <c r="K34" s="416">
        <f t="shared" si="2"/>
        <v>0</v>
      </c>
      <c r="L34" s="449"/>
      <c r="M34" s="415"/>
      <c r="N34" s="416">
        <f t="shared" si="3"/>
        <v>0</v>
      </c>
      <c r="O34" s="449"/>
      <c r="P34" s="415"/>
      <c r="Q34" s="416">
        <f t="shared" si="4"/>
        <v>0</v>
      </c>
    </row>
    <row r="35" spans="2:17" ht="22.5" customHeight="1">
      <c r="B35" s="518" t="s">
        <v>146</v>
      </c>
      <c r="C35" s="449">
        <v>1622989</v>
      </c>
      <c r="D35" s="415"/>
      <c r="E35" s="416">
        <f t="shared" si="0"/>
        <v>1622989</v>
      </c>
      <c r="F35" s="449"/>
      <c r="G35" s="415"/>
      <c r="H35" s="416">
        <f t="shared" si="1"/>
        <v>0</v>
      </c>
      <c r="I35" s="449">
        <v>1143204</v>
      </c>
      <c r="J35" s="415"/>
      <c r="K35" s="416">
        <f t="shared" si="2"/>
        <v>1143204</v>
      </c>
      <c r="L35" s="449"/>
      <c r="M35" s="415"/>
      <c r="N35" s="416">
        <f t="shared" si="3"/>
        <v>0</v>
      </c>
      <c r="O35" s="449"/>
      <c r="P35" s="415"/>
      <c r="Q35" s="416">
        <f t="shared" si="4"/>
        <v>0</v>
      </c>
    </row>
    <row r="36" spans="2:17" ht="22.5" hidden="1" customHeight="1">
      <c r="B36" s="489"/>
      <c r="C36" s="449"/>
      <c r="D36" s="415"/>
      <c r="E36" s="416">
        <f t="shared" si="0"/>
        <v>0</v>
      </c>
      <c r="F36" s="449"/>
      <c r="G36" s="415"/>
      <c r="H36" s="416">
        <f t="shared" si="1"/>
        <v>0</v>
      </c>
      <c r="I36" s="449"/>
      <c r="J36" s="415"/>
      <c r="K36" s="416">
        <f t="shared" si="2"/>
        <v>0</v>
      </c>
      <c r="L36" s="449"/>
      <c r="M36" s="415"/>
      <c r="N36" s="416">
        <f t="shared" si="3"/>
        <v>0</v>
      </c>
      <c r="O36" s="449"/>
      <c r="P36" s="415"/>
      <c r="Q36" s="416">
        <f t="shared" si="4"/>
        <v>0</v>
      </c>
    </row>
    <row r="37" spans="2:17" ht="22.5" hidden="1" customHeight="1">
      <c r="B37" s="489"/>
      <c r="C37" s="449"/>
      <c r="D37" s="415"/>
      <c r="E37" s="416">
        <f t="shared" si="0"/>
        <v>0</v>
      </c>
      <c r="F37" s="449"/>
      <c r="G37" s="415"/>
      <c r="H37" s="416">
        <f t="shared" si="1"/>
        <v>0</v>
      </c>
      <c r="I37" s="449"/>
      <c r="J37" s="415"/>
      <c r="K37" s="416">
        <f t="shared" si="2"/>
        <v>0</v>
      </c>
      <c r="L37" s="449"/>
      <c r="M37" s="415"/>
      <c r="N37" s="416">
        <f t="shared" si="3"/>
        <v>0</v>
      </c>
      <c r="O37" s="449"/>
      <c r="P37" s="415"/>
      <c r="Q37" s="416">
        <f t="shared" si="4"/>
        <v>0</v>
      </c>
    </row>
    <row r="38" spans="2:17" ht="22.5" hidden="1" customHeight="1">
      <c r="B38" s="489"/>
      <c r="C38" s="403"/>
      <c r="D38" s="417"/>
      <c r="E38" s="416">
        <f t="shared" si="0"/>
        <v>0</v>
      </c>
      <c r="F38" s="403"/>
      <c r="G38" s="417"/>
      <c r="H38" s="416">
        <f t="shared" si="1"/>
        <v>0</v>
      </c>
      <c r="I38" s="403"/>
      <c r="J38" s="417"/>
      <c r="K38" s="416">
        <f t="shared" si="2"/>
        <v>0</v>
      </c>
      <c r="L38" s="403"/>
      <c r="M38" s="417"/>
      <c r="N38" s="416">
        <f t="shared" si="3"/>
        <v>0</v>
      </c>
      <c r="O38" s="403"/>
      <c r="P38" s="417"/>
      <c r="Q38" s="416">
        <f t="shared" si="4"/>
        <v>0</v>
      </c>
    </row>
    <row r="39" spans="2:17" ht="22.5" customHeight="1">
      <c r="B39" s="490" t="s">
        <v>147</v>
      </c>
      <c r="C39" s="447">
        <f>SUM(C5:C38)</f>
        <v>97395979</v>
      </c>
      <c r="D39" s="447">
        <f>SUM(D5:D38)</f>
        <v>-5212706.5</v>
      </c>
      <c r="E39" s="517">
        <f t="shared" si="0"/>
        <v>92183272.5</v>
      </c>
      <c r="F39" s="447">
        <f>SUM(F5:F38)</f>
        <v>100735586</v>
      </c>
      <c r="G39" s="447">
        <f>SUM(G5:G38)</f>
        <v>-5622703</v>
      </c>
      <c r="H39" s="517">
        <f t="shared" si="1"/>
        <v>95112883</v>
      </c>
      <c r="I39" s="447">
        <f>SUM(I5:I38)</f>
        <v>92289462</v>
      </c>
      <c r="J39" s="447">
        <f>SUM(J5:J38)</f>
        <v>-6025730</v>
      </c>
      <c r="K39" s="517">
        <f t="shared" si="2"/>
        <v>86263732</v>
      </c>
      <c r="L39" s="447">
        <f>SUM(L5:L38)</f>
        <v>0</v>
      </c>
      <c r="M39" s="447">
        <f>SUM(M5:M38)</f>
        <v>0</v>
      </c>
      <c r="N39" s="517">
        <f t="shared" si="3"/>
        <v>0</v>
      </c>
      <c r="O39" s="447">
        <f>SUM(O5:O38)</f>
        <v>0</v>
      </c>
      <c r="P39" s="447">
        <f>SUM(P5:P38)</f>
        <v>0</v>
      </c>
      <c r="Q39" s="517">
        <f t="shared" si="4"/>
        <v>0</v>
      </c>
    </row>
  </sheetData>
  <mergeCells count="6">
    <mergeCell ref="O3:Q3"/>
    <mergeCell ref="B3:B4"/>
    <mergeCell ref="C3:E3"/>
    <mergeCell ref="F3:H3"/>
    <mergeCell ref="I3:K3"/>
    <mergeCell ref="L3:N3"/>
  </mergeCells>
  <phoneticPr fontId="60"/>
  <pageMargins left="0.7" right="0.7" top="0.75" bottom="0.75" header="0.511811023622047" footer="0.511811023622047"/>
  <pageSetup paperSize="9" orientation="portrait" horizontalDpi="300" verticalDpi="300"/>
  <ignoredErrors>
    <ignoredError sqref="E39:K39" formula="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2:Q44"/>
  <sheetViews>
    <sheetView showGridLines="0" topLeftCell="A2" zoomScale="63" zoomScaleNormal="63" workbookViewId="0">
      <pane ySplit="3" topLeftCell="A5" activePane="bottomLeft" state="frozen"/>
      <selection activeCell="A2" sqref="A2"/>
      <selection pane="bottomLeft" activeCell="O17" sqref="O17"/>
    </sheetView>
  </sheetViews>
  <sheetFormatPr defaultColWidth="8.5" defaultRowHeight="18"/>
  <cols>
    <col min="2" max="2" width="28" style="22" customWidth="1"/>
    <col min="3" max="17" width="15" style="23" customWidth="1"/>
  </cols>
  <sheetData>
    <row r="2" spans="2:17" ht="18.75" customHeight="1">
      <c r="B2" s="6"/>
      <c r="C2" s="38"/>
      <c r="F2" s="38"/>
      <c r="I2" s="38"/>
      <c r="K2" s="39" t="s">
        <v>43</v>
      </c>
      <c r="L2" s="38"/>
      <c r="O2" s="38"/>
    </row>
    <row r="3" spans="2:17" ht="20.25" customHeight="1">
      <c r="B3" s="630" t="s">
        <v>6</v>
      </c>
      <c r="C3" s="633" t="str">
        <f>'BS(借方)'!C4</f>
        <v>24年1月期</v>
      </c>
      <c r="D3" s="633"/>
      <c r="E3" s="633"/>
      <c r="F3" s="633" t="str">
        <f>'BS(借方)'!D4</f>
        <v>25年1月期</v>
      </c>
      <c r="G3" s="633"/>
      <c r="H3" s="633"/>
      <c r="I3" s="633" t="str">
        <f>'BS(借方)'!E4</f>
        <v>26年1月期</v>
      </c>
      <c r="J3" s="633"/>
      <c r="K3" s="633"/>
      <c r="L3" s="633" t="str">
        <f>'BS(借方)'!F4</f>
        <v>●●年●月期</v>
      </c>
      <c r="M3" s="633"/>
      <c r="N3" s="633"/>
      <c r="O3" s="638" t="str">
        <f>'BS(借方)'!G4</f>
        <v>●●年●月
（●か月TB）</v>
      </c>
      <c r="P3" s="638"/>
      <c r="Q3" s="638"/>
    </row>
    <row r="4" spans="2:17" ht="19.5" customHeight="1">
      <c r="B4" s="630"/>
      <c r="C4" s="83" t="s">
        <v>66</v>
      </c>
      <c r="D4" s="219" t="s">
        <v>156</v>
      </c>
      <c r="E4" s="220" t="s">
        <v>157</v>
      </c>
      <c r="F4" s="83" t="s">
        <v>66</v>
      </c>
      <c r="G4" s="219" t="s">
        <v>156</v>
      </c>
      <c r="H4" s="220" t="s">
        <v>157</v>
      </c>
      <c r="I4" s="83" t="s">
        <v>66</v>
      </c>
      <c r="J4" s="219" t="s">
        <v>156</v>
      </c>
      <c r="K4" s="220" t="s">
        <v>157</v>
      </c>
      <c r="L4" s="83" t="s">
        <v>66</v>
      </c>
      <c r="M4" s="219" t="s">
        <v>156</v>
      </c>
      <c r="N4" s="220" t="s">
        <v>157</v>
      </c>
      <c r="O4" s="86" t="s">
        <v>66</v>
      </c>
      <c r="P4" s="221" t="s">
        <v>156</v>
      </c>
      <c r="Q4" s="220" t="s">
        <v>157</v>
      </c>
    </row>
    <row r="5" spans="2:17" ht="22.5" customHeight="1">
      <c r="B5" s="105" t="s">
        <v>231</v>
      </c>
      <c r="C5" s="30">
        <v>500000</v>
      </c>
      <c r="D5" s="20">
        <v>-500000</v>
      </c>
      <c r="E5" s="21">
        <f t="shared" ref="E5:E41" si="0">C5+D5</f>
        <v>0</v>
      </c>
      <c r="F5" s="30">
        <v>500000</v>
      </c>
      <c r="G5" s="20">
        <v>-500000</v>
      </c>
      <c r="H5" s="21">
        <f t="shared" ref="H5:H41" si="1">F5+G5</f>
        <v>0</v>
      </c>
      <c r="I5" s="30">
        <v>500000</v>
      </c>
      <c r="J5" s="20">
        <v>-500000</v>
      </c>
      <c r="K5" s="21">
        <f t="shared" ref="K5:K41" si="2">I5+J5</f>
        <v>0</v>
      </c>
      <c r="L5" s="30">
        <v>500000</v>
      </c>
      <c r="M5" s="20">
        <v>-500000</v>
      </c>
      <c r="N5" s="21">
        <f t="shared" ref="N5:N41" si="3">L5+M5</f>
        <v>0</v>
      </c>
      <c r="O5" s="30">
        <v>500000</v>
      </c>
      <c r="P5" s="20">
        <v>-500000</v>
      </c>
      <c r="Q5" s="21">
        <f t="shared" ref="Q5:Q41" si="4">O5+P5</f>
        <v>0</v>
      </c>
    </row>
    <row r="6" spans="2:17" ht="22.5" customHeight="1">
      <c r="B6" s="71" t="s">
        <v>232</v>
      </c>
      <c r="C6" s="43"/>
      <c r="D6" s="20"/>
      <c r="E6" s="21">
        <f t="shared" si="0"/>
        <v>0</v>
      </c>
      <c r="F6" s="43"/>
      <c r="G6" s="20"/>
      <c r="H6" s="21">
        <f t="shared" si="1"/>
        <v>0</v>
      </c>
      <c r="I6" s="43"/>
      <c r="J6" s="20"/>
      <c r="K6" s="21">
        <f t="shared" si="2"/>
        <v>0</v>
      </c>
      <c r="L6" s="43"/>
      <c r="M6" s="20"/>
      <c r="N6" s="21">
        <f t="shared" si="3"/>
        <v>0</v>
      </c>
      <c r="O6" s="43"/>
      <c r="P6" s="20"/>
      <c r="Q6" s="21">
        <f t="shared" si="4"/>
        <v>0</v>
      </c>
    </row>
    <row r="7" spans="2:17" ht="22.5" customHeight="1">
      <c r="B7" s="71" t="s">
        <v>233</v>
      </c>
      <c r="C7" s="43"/>
      <c r="D7" s="20"/>
      <c r="E7" s="21">
        <f t="shared" si="0"/>
        <v>0</v>
      </c>
      <c r="F7" s="43"/>
      <c r="G7" s="20"/>
      <c r="H7" s="21">
        <f t="shared" si="1"/>
        <v>0</v>
      </c>
      <c r="I7" s="43"/>
      <c r="J7" s="20"/>
      <c r="K7" s="21">
        <f t="shared" si="2"/>
        <v>0</v>
      </c>
      <c r="L7" s="43"/>
      <c r="M7" s="20"/>
      <c r="N7" s="21">
        <f t="shared" si="3"/>
        <v>0</v>
      </c>
      <c r="O7" s="43"/>
      <c r="P7" s="20"/>
      <c r="Q7" s="21">
        <f t="shared" si="4"/>
        <v>0</v>
      </c>
    </row>
    <row r="8" spans="2:17" ht="22.5" customHeight="1">
      <c r="B8" s="71" t="s">
        <v>234</v>
      </c>
      <c r="C8" s="43"/>
      <c r="D8" s="20"/>
      <c r="E8" s="21">
        <f t="shared" si="0"/>
        <v>0</v>
      </c>
      <c r="F8" s="43"/>
      <c r="G8" s="20"/>
      <c r="H8" s="21">
        <f t="shared" si="1"/>
        <v>0</v>
      </c>
      <c r="I8" s="43"/>
      <c r="J8" s="20"/>
      <c r="K8" s="21">
        <f t="shared" si="2"/>
        <v>0</v>
      </c>
      <c r="L8" s="43"/>
      <c r="M8" s="20"/>
      <c r="N8" s="21">
        <f t="shared" si="3"/>
        <v>0</v>
      </c>
      <c r="O8" s="43"/>
      <c r="P8" s="20"/>
      <c r="Q8" s="21">
        <f t="shared" si="4"/>
        <v>0</v>
      </c>
    </row>
    <row r="9" spans="2:17" ht="22.5" customHeight="1">
      <c r="B9" s="71"/>
      <c r="C9" s="43"/>
      <c r="D9" s="20"/>
      <c r="E9" s="21">
        <f t="shared" si="0"/>
        <v>0</v>
      </c>
      <c r="F9" s="43"/>
      <c r="G9" s="20"/>
      <c r="H9" s="21">
        <f t="shared" si="1"/>
        <v>0</v>
      </c>
      <c r="I9" s="43"/>
      <c r="J9" s="20"/>
      <c r="K9" s="21">
        <f t="shared" si="2"/>
        <v>0</v>
      </c>
      <c r="L9" s="43"/>
      <c r="M9" s="20"/>
      <c r="N9" s="21">
        <f t="shared" si="3"/>
        <v>0</v>
      </c>
      <c r="O9" s="43"/>
      <c r="P9" s="20"/>
      <c r="Q9" s="21">
        <f t="shared" si="4"/>
        <v>0</v>
      </c>
    </row>
    <row r="10" spans="2:17" ht="22.5" customHeight="1">
      <c r="B10" s="72"/>
      <c r="C10" s="31"/>
      <c r="D10" s="46"/>
      <c r="E10" s="21">
        <f t="shared" si="0"/>
        <v>0</v>
      </c>
      <c r="F10" s="31"/>
      <c r="G10" s="46"/>
      <c r="H10" s="21">
        <f t="shared" si="1"/>
        <v>0</v>
      </c>
      <c r="I10" s="31"/>
      <c r="J10" s="46"/>
      <c r="K10" s="21">
        <f t="shared" si="2"/>
        <v>0</v>
      </c>
      <c r="L10" s="31"/>
      <c r="M10" s="46"/>
      <c r="N10" s="21">
        <f t="shared" si="3"/>
        <v>0</v>
      </c>
      <c r="O10" s="31"/>
      <c r="P10" s="46"/>
      <c r="Q10" s="21">
        <f t="shared" si="4"/>
        <v>0</v>
      </c>
    </row>
    <row r="11" spans="2:17" ht="22.5" customHeight="1">
      <c r="B11" s="94" t="s">
        <v>107</v>
      </c>
      <c r="C11" s="75">
        <f>SUM(C5:C10)</f>
        <v>500000</v>
      </c>
      <c r="D11" s="75">
        <f>SUM(D5:D10)</f>
        <v>-500000</v>
      </c>
      <c r="E11" s="116">
        <f t="shared" si="0"/>
        <v>0</v>
      </c>
      <c r="F11" s="75">
        <f>SUM(F5:F10)</f>
        <v>500000</v>
      </c>
      <c r="G11" s="75">
        <f>SUM(G5:G10)</f>
        <v>-500000</v>
      </c>
      <c r="H11" s="116">
        <f t="shared" si="1"/>
        <v>0</v>
      </c>
      <c r="I11" s="75">
        <f>SUM(I5:I10)</f>
        <v>500000</v>
      </c>
      <c r="J11" s="75">
        <f>SUM(J5:J10)</f>
        <v>-500000</v>
      </c>
      <c r="K11" s="116">
        <f t="shared" si="2"/>
        <v>0</v>
      </c>
      <c r="L11" s="75">
        <f>SUM(L5:L10)</f>
        <v>500000</v>
      </c>
      <c r="M11" s="75">
        <f>SUM(M5:M10)</f>
        <v>-500000</v>
      </c>
      <c r="N11" s="116">
        <f t="shared" si="3"/>
        <v>0</v>
      </c>
      <c r="O11" s="75">
        <f>SUM(O5:O10)</f>
        <v>500000</v>
      </c>
      <c r="P11" s="75">
        <f>SUM(P5:P10)</f>
        <v>-500000</v>
      </c>
      <c r="Q11" s="116">
        <f t="shared" si="4"/>
        <v>0</v>
      </c>
    </row>
    <row r="12" spans="2:17" ht="22.5" customHeight="1">
      <c r="B12" s="105"/>
      <c r="C12" s="30"/>
      <c r="D12" s="20"/>
      <c r="E12" s="21">
        <f t="shared" si="0"/>
        <v>0</v>
      </c>
      <c r="F12" s="30"/>
      <c r="G12" s="20"/>
      <c r="H12" s="21">
        <f t="shared" si="1"/>
        <v>0</v>
      </c>
      <c r="I12" s="30"/>
      <c r="J12" s="20"/>
      <c r="K12" s="21">
        <f t="shared" si="2"/>
        <v>0</v>
      </c>
      <c r="L12" s="30"/>
      <c r="M12" s="20"/>
      <c r="N12" s="21">
        <f t="shared" si="3"/>
        <v>0</v>
      </c>
      <c r="O12" s="30"/>
      <c r="P12" s="20"/>
      <c r="Q12" s="21">
        <f t="shared" si="4"/>
        <v>0</v>
      </c>
    </row>
    <row r="13" spans="2:17" ht="22.5" customHeight="1">
      <c r="B13" s="71"/>
      <c r="C13" s="43"/>
      <c r="D13" s="20"/>
      <c r="E13" s="21">
        <f t="shared" si="0"/>
        <v>0</v>
      </c>
      <c r="F13" s="43"/>
      <c r="G13" s="20"/>
      <c r="H13" s="21">
        <f t="shared" si="1"/>
        <v>0</v>
      </c>
      <c r="I13" s="43"/>
      <c r="J13" s="20"/>
      <c r="K13" s="21">
        <f t="shared" si="2"/>
        <v>0</v>
      </c>
      <c r="L13" s="43"/>
      <c r="M13" s="20"/>
      <c r="N13" s="21">
        <f t="shared" si="3"/>
        <v>0</v>
      </c>
      <c r="O13" s="43"/>
      <c r="P13" s="20"/>
      <c r="Q13" s="21">
        <f t="shared" si="4"/>
        <v>0</v>
      </c>
    </row>
    <row r="14" spans="2:17" ht="22.5" customHeight="1">
      <c r="B14" s="71"/>
      <c r="C14" s="43"/>
      <c r="D14" s="20"/>
      <c r="E14" s="21">
        <f t="shared" si="0"/>
        <v>0</v>
      </c>
      <c r="F14" s="43"/>
      <c r="G14" s="20"/>
      <c r="H14" s="21">
        <f t="shared" si="1"/>
        <v>0</v>
      </c>
      <c r="I14" s="43"/>
      <c r="J14" s="20"/>
      <c r="K14" s="21">
        <f t="shared" si="2"/>
        <v>0</v>
      </c>
      <c r="L14" s="43"/>
      <c r="M14" s="20"/>
      <c r="N14" s="21">
        <f t="shared" si="3"/>
        <v>0</v>
      </c>
      <c r="O14" s="43"/>
      <c r="P14" s="20"/>
      <c r="Q14" s="21">
        <f t="shared" si="4"/>
        <v>0</v>
      </c>
    </row>
    <row r="15" spans="2:17" ht="22.5" customHeight="1">
      <c r="B15" s="71"/>
      <c r="C15" s="43"/>
      <c r="D15" s="20"/>
      <c r="E15" s="21">
        <f t="shared" si="0"/>
        <v>0</v>
      </c>
      <c r="F15" s="43"/>
      <c r="G15" s="20"/>
      <c r="H15" s="21">
        <f t="shared" si="1"/>
        <v>0</v>
      </c>
      <c r="I15" s="43"/>
      <c r="J15" s="20"/>
      <c r="K15" s="21">
        <f t="shared" si="2"/>
        <v>0</v>
      </c>
      <c r="L15" s="43"/>
      <c r="M15" s="20"/>
      <c r="N15" s="21">
        <f t="shared" si="3"/>
        <v>0</v>
      </c>
      <c r="O15" s="43"/>
      <c r="P15" s="20"/>
      <c r="Q15" s="21">
        <f t="shared" si="4"/>
        <v>0</v>
      </c>
    </row>
    <row r="16" spans="2:17" ht="22.5" customHeight="1">
      <c r="B16" s="71"/>
      <c r="C16" s="43"/>
      <c r="D16" s="20"/>
      <c r="E16" s="21">
        <f t="shared" si="0"/>
        <v>0</v>
      </c>
      <c r="F16" s="43"/>
      <c r="G16" s="20"/>
      <c r="H16" s="21">
        <f t="shared" si="1"/>
        <v>0</v>
      </c>
      <c r="I16" s="43"/>
      <c r="J16" s="20"/>
      <c r="K16" s="21">
        <f t="shared" si="2"/>
        <v>0</v>
      </c>
      <c r="L16" s="43"/>
      <c r="M16" s="20"/>
      <c r="N16" s="21">
        <f t="shared" si="3"/>
        <v>0</v>
      </c>
      <c r="O16" s="43"/>
      <c r="P16" s="20"/>
      <c r="Q16" s="21">
        <f t="shared" si="4"/>
        <v>0</v>
      </c>
    </row>
    <row r="17" spans="2:17" ht="22.5" customHeight="1">
      <c r="B17" s="72"/>
      <c r="C17" s="31"/>
      <c r="D17" s="46"/>
      <c r="E17" s="21">
        <f t="shared" si="0"/>
        <v>0</v>
      </c>
      <c r="F17" s="31"/>
      <c r="G17" s="46"/>
      <c r="H17" s="21">
        <f t="shared" si="1"/>
        <v>0</v>
      </c>
      <c r="I17" s="31"/>
      <c r="J17" s="46"/>
      <c r="K17" s="21">
        <f t="shared" si="2"/>
        <v>0</v>
      </c>
      <c r="L17" s="31"/>
      <c r="M17" s="46"/>
      <c r="N17" s="21">
        <f t="shared" si="3"/>
        <v>0</v>
      </c>
      <c r="O17" s="31"/>
      <c r="P17" s="46"/>
      <c r="Q17" s="21">
        <f t="shared" si="4"/>
        <v>0</v>
      </c>
    </row>
    <row r="18" spans="2:17" ht="22.5" customHeight="1">
      <c r="B18" s="94" t="s">
        <v>108</v>
      </c>
      <c r="C18" s="75">
        <f>SUM(C12:C17)</f>
        <v>0</v>
      </c>
      <c r="D18" s="75">
        <f>SUM(D12:D17)</f>
        <v>0</v>
      </c>
      <c r="E18" s="116">
        <f t="shared" si="0"/>
        <v>0</v>
      </c>
      <c r="F18" s="75">
        <f>SUM(F12:F17)</f>
        <v>0</v>
      </c>
      <c r="G18" s="75">
        <f>SUM(G12:G17)</f>
        <v>0</v>
      </c>
      <c r="H18" s="116">
        <f t="shared" si="1"/>
        <v>0</v>
      </c>
      <c r="I18" s="75">
        <f>SUM(I12:I17)</f>
        <v>0</v>
      </c>
      <c r="J18" s="75">
        <f>SUM(J12:J17)</f>
        <v>0</v>
      </c>
      <c r="K18" s="116">
        <f t="shared" si="2"/>
        <v>0</v>
      </c>
      <c r="L18" s="75">
        <f>SUM(L12:L17)</f>
        <v>0</v>
      </c>
      <c r="M18" s="75">
        <f>SUM(M12:M17)</f>
        <v>0</v>
      </c>
      <c r="N18" s="116">
        <f t="shared" si="3"/>
        <v>0</v>
      </c>
      <c r="O18" s="75">
        <f>SUM(O12:O17)</f>
        <v>0</v>
      </c>
      <c r="P18" s="75">
        <f>SUM(P12:P17)</f>
        <v>0</v>
      </c>
      <c r="Q18" s="116">
        <f t="shared" si="4"/>
        <v>0</v>
      </c>
    </row>
    <row r="19" spans="2:17" ht="22.5" customHeight="1">
      <c r="B19" s="105"/>
      <c r="C19" s="30"/>
      <c r="D19" s="20"/>
      <c r="E19" s="21">
        <f t="shared" si="0"/>
        <v>0</v>
      </c>
      <c r="F19" s="30"/>
      <c r="G19" s="20"/>
      <c r="H19" s="21">
        <f t="shared" si="1"/>
        <v>0</v>
      </c>
      <c r="I19" s="30"/>
      <c r="J19" s="20"/>
      <c r="K19" s="21">
        <f t="shared" si="2"/>
        <v>0</v>
      </c>
      <c r="L19" s="30"/>
      <c r="M19" s="20"/>
      <c r="N19" s="21">
        <f t="shared" si="3"/>
        <v>0</v>
      </c>
      <c r="O19" s="30"/>
      <c r="P19" s="20"/>
      <c r="Q19" s="21">
        <f t="shared" si="4"/>
        <v>0</v>
      </c>
    </row>
    <row r="20" spans="2:17" ht="22.5" customHeight="1">
      <c r="B20" s="71"/>
      <c r="C20" s="43"/>
      <c r="D20" s="20"/>
      <c r="E20" s="21">
        <f t="shared" si="0"/>
        <v>0</v>
      </c>
      <c r="F20" s="43"/>
      <c r="G20" s="20"/>
      <c r="H20" s="21">
        <f t="shared" si="1"/>
        <v>0</v>
      </c>
      <c r="I20" s="43"/>
      <c r="J20" s="20"/>
      <c r="K20" s="21">
        <f t="shared" si="2"/>
        <v>0</v>
      </c>
      <c r="L20" s="43"/>
      <c r="M20" s="20"/>
      <c r="N20" s="21">
        <f t="shared" si="3"/>
        <v>0</v>
      </c>
      <c r="O20" s="43"/>
      <c r="P20" s="20"/>
      <c r="Q20" s="21">
        <f t="shared" si="4"/>
        <v>0</v>
      </c>
    </row>
    <row r="21" spans="2:17" ht="22.5" customHeight="1">
      <c r="B21" s="71"/>
      <c r="C21" s="43"/>
      <c r="D21" s="20"/>
      <c r="E21" s="21">
        <f t="shared" si="0"/>
        <v>0</v>
      </c>
      <c r="F21" s="43"/>
      <c r="G21" s="20"/>
      <c r="H21" s="21">
        <f t="shared" si="1"/>
        <v>0</v>
      </c>
      <c r="I21" s="43"/>
      <c r="J21" s="20"/>
      <c r="K21" s="21">
        <f t="shared" si="2"/>
        <v>0</v>
      </c>
      <c r="L21" s="43"/>
      <c r="M21" s="20"/>
      <c r="N21" s="21">
        <f t="shared" si="3"/>
        <v>0</v>
      </c>
      <c r="O21" s="43"/>
      <c r="P21" s="20"/>
      <c r="Q21" s="21">
        <f t="shared" si="4"/>
        <v>0</v>
      </c>
    </row>
    <row r="22" spans="2:17" ht="22.5" customHeight="1">
      <c r="B22" s="71"/>
      <c r="C22" s="43"/>
      <c r="D22" s="20"/>
      <c r="E22" s="21">
        <f t="shared" si="0"/>
        <v>0</v>
      </c>
      <c r="F22" s="43"/>
      <c r="G22" s="20"/>
      <c r="H22" s="21">
        <f t="shared" si="1"/>
        <v>0</v>
      </c>
      <c r="I22" s="43"/>
      <c r="J22" s="20"/>
      <c r="K22" s="21">
        <f t="shared" si="2"/>
        <v>0</v>
      </c>
      <c r="L22" s="43"/>
      <c r="M22" s="20"/>
      <c r="N22" s="21">
        <f t="shared" si="3"/>
        <v>0</v>
      </c>
      <c r="O22" s="43"/>
      <c r="P22" s="20"/>
      <c r="Q22" s="21">
        <f t="shared" si="4"/>
        <v>0</v>
      </c>
    </row>
    <row r="23" spans="2:17" ht="22.5" customHeight="1">
      <c r="B23" s="71"/>
      <c r="C23" s="43"/>
      <c r="D23" s="20"/>
      <c r="E23" s="21">
        <f t="shared" si="0"/>
        <v>0</v>
      </c>
      <c r="F23" s="43"/>
      <c r="G23" s="20"/>
      <c r="H23" s="21">
        <f t="shared" si="1"/>
        <v>0</v>
      </c>
      <c r="I23" s="43"/>
      <c r="J23" s="20"/>
      <c r="K23" s="21">
        <f t="shared" si="2"/>
        <v>0</v>
      </c>
      <c r="L23" s="43"/>
      <c r="M23" s="20"/>
      <c r="N23" s="21">
        <f t="shared" si="3"/>
        <v>0</v>
      </c>
      <c r="O23" s="43"/>
      <c r="P23" s="20"/>
      <c r="Q23" s="21">
        <f t="shared" si="4"/>
        <v>0</v>
      </c>
    </row>
    <row r="24" spans="2:17" ht="22.5" customHeight="1">
      <c r="B24" s="72"/>
      <c r="C24" s="31"/>
      <c r="D24" s="46"/>
      <c r="E24" s="21">
        <f t="shared" si="0"/>
        <v>0</v>
      </c>
      <c r="F24" s="31"/>
      <c r="G24" s="46"/>
      <c r="H24" s="21">
        <f t="shared" si="1"/>
        <v>0</v>
      </c>
      <c r="I24" s="31"/>
      <c r="J24" s="46"/>
      <c r="K24" s="21">
        <f t="shared" si="2"/>
        <v>0</v>
      </c>
      <c r="L24" s="31"/>
      <c r="M24" s="46"/>
      <c r="N24" s="21">
        <f t="shared" si="3"/>
        <v>0</v>
      </c>
      <c r="O24" s="31"/>
      <c r="P24" s="46"/>
      <c r="Q24" s="21">
        <f t="shared" si="4"/>
        <v>0</v>
      </c>
    </row>
    <row r="25" spans="2:17" ht="22.5" customHeight="1">
      <c r="B25" s="94" t="s">
        <v>109</v>
      </c>
      <c r="C25" s="75">
        <f>SUM(C19:C24)</f>
        <v>0</v>
      </c>
      <c r="D25" s="75">
        <f>SUM(D19:D24)</f>
        <v>0</v>
      </c>
      <c r="E25" s="116">
        <f t="shared" si="0"/>
        <v>0</v>
      </c>
      <c r="F25" s="75">
        <f>SUM(F19:F24)</f>
        <v>0</v>
      </c>
      <c r="G25" s="75">
        <f>SUM(G19:G24)</f>
        <v>0</v>
      </c>
      <c r="H25" s="116">
        <f t="shared" si="1"/>
        <v>0</v>
      </c>
      <c r="I25" s="75">
        <f>SUM(I19:I24)</f>
        <v>0</v>
      </c>
      <c r="J25" s="75">
        <f>SUM(J19:J24)</f>
        <v>0</v>
      </c>
      <c r="K25" s="116">
        <f t="shared" si="2"/>
        <v>0</v>
      </c>
      <c r="L25" s="75">
        <f>SUM(L19:L24)</f>
        <v>0</v>
      </c>
      <c r="M25" s="75">
        <f>SUM(M19:M24)</f>
        <v>0</v>
      </c>
      <c r="N25" s="116">
        <f t="shared" si="3"/>
        <v>0</v>
      </c>
      <c r="O25" s="75">
        <f>SUM(O19:O24)</f>
        <v>0</v>
      </c>
      <c r="P25" s="75">
        <f>SUM(P19:P24)</f>
        <v>0</v>
      </c>
      <c r="Q25" s="116">
        <f t="shared" si="4"/>
        <v>0</v>
      </c>
    </row>
    <row r="26" spans="2:17" ht="22.5" customHeight="1">
      <c r="B26" s="105"/>
      <c r="C26" s="30"/>
      <c r="D26" s="20"/>
      <c r="E26" s="21">
        <f t="shared" si="0"/>
        <v>0</v>
      </c>
      <c r="F26" s="30"/>
      <c r="G26" s="20"/>
      <c r="H26" s="21">
        <f t="shared" si="1"/>
        <v>0</v>
      </c>
      <c r="I26" s="30"/>
      <c r="J26" s="20"/>
      <c r="K26" s="21">
        <f t="shared" si="2"/>
        <v>0</v>
      </c>
      <c r="L26" s="30"/>
      <c r="M26" s="20"/>
      <c r="N26" s="21">
        <f t="shared" si="3"/>
        <v>0</v>
      </c>
      <c r="O26" s="30"/>
      <c r="P26" s="20"/>
      <c r="Q26" s="21">
        <f t="shared" si="4"/>
        <v>0</v>
      </c>
    </row>
    <row r="27" spans="2:17" ht="22.5" customHeight="1">
      <c r="B27" s="71"/>
      <c r="C27" s="43"/>
      <c r="D27" s="20"/>
      <c r="E27" s="21">
        <f t="shared" si="0"/>
        <v>0</v>
      </c>
      <c r="F27" s="43"/>
      <c r="G27" s="20"/>
      <c r="H27" s="21">
        <f t="shared" si="1"/>
        <v>0</v>
      </c>
      <c r="I27" s="43"/>
      <c r="J27" s="20"/>
      <c r="K27" s="21">
        <f t="shared" si="2"/>
        <v>0</v>
      </c>
      <c r="L27" s="43"/>
      <c r="M27" s="20"/>
      <c r="N27" s="21">
        <f t="shared" si="3"/>
        <v>0</v>
      </c>
      <c r="O27" s="43"/>
      <c r="P27" s="20"/>
      <c r="Q27" s="21">
        <f t="shared" si="4"/>
        <v>0</v>
      </c>
    </row>
    <row r="28" spans="2:17" ht="22.5" customHeight="1">
      <c r="B28" s="71"/>
      <c r="C28" s="43"/>
      <c r="D28" s="20"/>
      <c r="E28" s="21">
        <f t="shared" si="0"/>
        <v>0</v>
      </c>
      <c r="F28" s="43"/>
      <c r="G28" s="20"/>
      <c r="H28" s="21">
        <f t="shared" si="1"/>
        <v>0</v>
      </c>
      <c r="I28" s="43"/>
      <c r="J28" s="20"/>
      <c r="K28" s="21">
        <f t="shared" si="2"/>
        <v>0</v>
      </c>
      <c r="L28" s="43"/>
      <c r="M28" s="20"/>
      <c r="N28" s="21">
        <f t="shared" si="3"/>
        <v>0</v>
      </c>
      <c r="O28" s="43"/>
      <c r="P28" s="20"/>
      <c r="Q28" s="21">
        <f t="shared" si="4"/>
        <v>0</v>
      </c>
    </row>
    <row r="29" spans="2:17" ht="22.5" customHeight="1">
      <c r="B29" s="71"/>
      <c r="C29" s="43"/>
      <c r="D29" s="20"/>
      <c r="E29" s="21">
        <f t="shared" si="0"/>
        <v>0</v>
      </c>
      <c r="F29" s="43"/>
      <c r="G29" s="20"/>
      <c r="H29" s="21">
        <f t="shared" si="1"/>
        <v>0</v>
      </c>
      <c r="I29" s="43"/>
      <c r="J29" s="20"/>
      <c r="K29" s="21">
        <f t="shared" si="2"/>
        <v>0</v>
      </c>
      <c r="L29" s="43"/>
      <c r="M29" s="20"/>
      <c r="N29" s="21">
        <f t="shared" si="3"/>
        <v>0</v>
      </c>
      <c r="O29" s="43"/>
      <c r="P29" s="20"/>
      <c r="Q29" s="21">
        <f t="shared" si="4"/>
        <v>0</v>
      </c>
    </row>
    <row r="30" spans="2:17" ht="22.5" customHeight="1">
      <c r="B30" s="71"/>
      <c r="C30" s="43"/>
      <c r="D30" s="20"/>
      <c r="E30" s="21">
        <f t="shared" si="0"/>
        <v>0</v>
      </c>
      <c r="F30" s="43"/>
      <c r="G30" s="20"/>
      <c r="H30" s="21">
        <f t="shared" si="1"/>
        <v>0</v>
      </c>
      <c r="I30" s="43"/>
      <c r="J30" s="20"/>
      <c r="K30" s="21">
        <f t="shared" si="2"/>
        <v>0</v>
      </c>
      <c r="L30" s="43"/>
      <c r="M30" s="20"/>
      <c r="N30" s="21">
        <f t="shared" si="3"/>
        <v>0</v>
      </c>
      <c r="O30" s="43"/>
      <c r="P30" s="20"/>
      <c r="Q30" s="21">
        <f t="shared" si="4"/>
        <v>0</v>
      </c>
    </row>
    <row r="31" spans="2:17" ht="22.5" customHeight="1">
      <c r="B31" s="71"/>
      <c r="C31" s="43"/>
      <c r="D31" s="20"/>
      <c r="E31" s="21">
        <f t="shared" si="0"/>
        <v>0</v>
      </c>
      <c r="F31" s="43"/>
      <c r="G31" s="20"/>
      <c r="H31" s="21">
        <f t="shared" si="1"/>
        <v>0</v>
      </c>
      <c r="I31" s="43"/>
      <c r="J31" s="20"/>
      <c r="K31" s="21">
        <f t="shared" si="2"/>
        <v>0</v>
      </c>
      <c r="L31" s="43"/>
      <c r="M31" s="20"/>
      <c r="N31" s="21">
        <f t="shared" si="3"/>
        <v>0</v>
      </c>
      <c r="O31" s="43"/>
      <c r="P31" s="20"/>
      <c r="Q31" s="21">
        <f t="shared" si="4"/>
        <v>0</v>
      </c>
    </row>
    <row r="32" spans="2:17" ht="22.5" customHeight="1">
      <c r="B32" s="71"/>
      <c r="C32" s="43"/>
      <c r="D32" s="20"/>
      <c r="E32" s="21">
        <f t="shared" si="0"/>
        <v>0</v>
      </c>
      <c r="F32" s="43"/>
      <c r="G32" s="20"/>
      <c r="H32" s="21">
        <f t="shared" si="1"/>
        <v>0</v>
      </c>
      <c r="I32" s="43"/>
      <c r="J32" s="20"/>
      <c r="K32" s="21">
        <f t="shared" si="2"/>
        <v>0</v>
      </c>
      <c r="L32" s="43"/>
      <c r="M32" s="20"/>
      <c r="N32" s="21">
        <f t="shared" si="3"/>
        <v>0</v>
      </c>
      <c r="O32" s="43"/>
      <c r="P32" s="20"/>
      <c r="Q32" s="21">
        <f t="shared" si="4"/>
        <v>0</v>
      </c>
    </row>
    <row r="33" spans="2:17" ht="22.5" customHeight="1">
      <c r="B33" s="71"/>
      <c r="C33" s="43"/>
      <c r="D33" s="20"/>
      <c r="E33" s="21">
        <f t="shared" si="0"/>
        <v>0</v>
      </c>
      <c r="F33" s="43"/>
      <c r="G33" s="20"/>
      <c r="H33" s="21">
        <f t="shared" si="1"/>
        <v>0</v>
      </c>
      <c r="I33" s="43"/>
      <c r="J33" s="20"/>
      <c r="K33" s="21">
        <f t="shared" si="2"/>
        <v>0</v>
      </c>
      <c r="L33" s="43"/>
      <c r="M33" s="20"/>
      <c r="N33" s="21">
        <f t="shared" si="3"/>
        <v>0</v>
      </c>
      <c r="O33" s="43"/>
      <c r="P33" s="20"/>
      <c r="Q33" s="21">
        <f t="shared" si="4"/>
        <v>0</v>
      </c>
    </row>
    <row r="34" spans="2:17" ht="22.5" customHeight="1">
      <c r="B34" s="71"/>
      <c r="C34" s="43"/>
      <c r="D34" s="20"/>
      <c r="E34" s="21">
        <f t="shared" si="0"/>
        <v>0</v>
      </c>
      <c r="F34" s="43"/>
      <c r="G34" s="20"/>
      <c r="H34" s="21">
        <f t="shared" si="1"/>
        <v>0</v>
      </c>
      <c r="I34" s="43"/>
      <c r="J34" s="20"/>
      <c r="K34" s="21">
        <f t="shared" si="2"/>
        <v>0</v>
      </c>
      <c r="L34" s="43"/>
      <c r="M34" s="20"/>
      <c r="N34" s="21">
        <f t="shared" si="3"/>
        <v>0</v>
      </c>
      <c r="O34" s="43"/>
      <c r="P34" s="20"/>
      <c r="Q34" s="21">
        <f t="shared" si="4"/>
        <v>0</v>
      </c>
    </row>
    <row r="35" spans="2:17" ht="22.5" customHeight="1">
      <c r="B35" s="72"/>
      <c r="C35" s="31"/>
      <c r="D35" s="46"/>
      <c r="E35" s="21">
        <f t="shared" si="0"/>
        <v>0</v>
      </c>
      <c r="F35" s="31"/>
      <c r="G35" s="46"/>
      <c r="H35" s="21">
        <f t="shared" si="1"/>
        <v>0</v>
      </c>
      <c r="I35" s="31"/>
      <c r="J35" s="46"/>
      <c r="K35" s="21">
        <f t="shared" si="2"/>
        <v>0</v>
      </c>
      <c r="L35" s="31"/>
      <c r="M35" s="46"/>
      <c r="N35" s="21">
        <f t="shared" si="3"/>
        <v>0</v>
      </c>
      <c r="O35" s="31"/>
      <c r="P35" s="46"/>
      <c r="Q35" s="21">
        <f t="shared" si="4"/>
        <v>0</v>
      </c>
    </row>
    <row r="36" spans="2:17" ht="22.5" customHeight="1">
      <c r="B36" s="94" t="s">
        <v>110</v>
      </c>
      <c r="C36" s="75">
        <f>SUM(C26:C35)</f>
        <v>0</v>
      </c>
      <c r="D36" s="75">
        <f>SUM(D26:D35)</f>
        <v>0</v>
      </c>
      <c r="E36" s="223">
        <f t="shared" si="0"/>
        <v>0</v>
      </c>
      <c r="F36" s="75">
        <f>SUM(F26:F35)</f>
        <v>0</v>
      </c>
      <c r="G36" s="75">
        <f>SUM(G26:G35)</f>
        <v>0</v>
      </c>
      <c r="H36" s="223">
        <f t="shared" si="1"/>
        <v>0</v>
      </c>
      <c r="I36" s="75">
        <f>SUM(I26:I35)</f>
        <v>0</v>
      </c>
      <c r="J36" s="75">
        <f>SUM(J26:J35)</f>
        <v>0</v>
      </c>
      <c r="K36" s="223">
        <f t="shared" si="2"/>
        <v>0</v>
      </c>
      <c r="L36" s="75">
        <f>SUM(L26:L35)</f>
        <v>0</v>
      </c>
      <c r="M36" s="75">
        <f>SUM(M26:M35)</f>
        <v>0</v>
      </c>
      <c r="N36" s="223">
        <f t="shared" si="3"/>
        <v>0</v>
      </c>
      <c r="O36" s="75">
        <f>SUM(O26:O35)</f>
        <v>0</v>
      </c>
      <c r="P36" s="75">
        <f>SUM(P26:P35)</f>
        <v>0</v>
      </c>
      <c r="Q36" s="223">
        <f t="shared" si="4"/>
        <v>0</v>
      </c>
    </row>
    <row r="37" spans="2:17" ht="22.5" customHeight="1">
      <c r="B37" s="96" t="s">
        <v>111</v>
      </c>
      <c r="C37" s="75">
        <f>C11+C18+C25+C36</f>
        <v>500000</v>
      </c>
      <c r="D37" s="75">
        <f>D11+D18+D25+D36</f>
        <v>-500000</v>
      </c>
      <c r="E37" s="116">
        <f t="shared" si="0"/>
        <v>0</v>
      </c>
      <c r="F37" s="75">
        <f>F11+F18+F25+F36</f>
        <v>500000</v>
      </c>
      <c r="G37" s="75">
        <f>G11+G18+G25+G36</f>
        <v>-500000</v>
      </c>
      <c r="H37" s="116">
        <f t="shared" si="1"/>
        <v>0</v>
      </c>
      <c r="I37" s="75">
        <f>I11+I18+I25+I36</f>
        <v>500000</v>
      </c>
      <c r="J37" s="75">
        <f>J11+J18+J25+J36</f>
        <v>-500000</v>
      </c>
      <c r="K37" s="116">
        <f t="shared" si="2"/>
        <v>0</v>
      </c>
      <c r="L37" s="75">
        <f>L11+L18+L25+L36</f>
        <v>500000</v>
      </c>
      <c r="M37" s="75">
        <f>M11+M18+M25+M36</f>
        <v>-500000</v>
      </c>
      <c r="N37" s="116">
        <f t="shared" si="3"/>
        <v>0</v>
      </c>
      <c r="O37" s="75">
        <f>O11+O18+O25+O36</f>
        <v>500000</v>
      </c>
      <c r="P37" s="75">
        <f>P11+P18+P25+P36</f>
        <v>-500000</v>
      </c>
      <c r="Q37" s="116">
        <f t="shared" si="4"/>
        <v>0</v>
      </c>
    </row>
    <row r="38" spans="2:17" ht="22.5" customHeight="1">
      <c r="B38" s="97" t="s">
        <v>112</v>
      </c>
      <c r="C38" s="31"/>
      <c r="D38" s="46"/>
      <c r="E38" s="21">
        <f t="shared" si="0"/>
        <v>0</v>
      </c>
      <c r="F38" s="31"/>
      <c r="G38" s="46"/>
      <c r="H38" s="21">
        <f t="shared" si="1"/>
        <v>0</v>
      </c>
      <c r="I38" s="31"/>
      <c r="J38" s="46"/>
      <c r="K38" s="21">
        <f t="shared" si="2"/>
        <v>0</v>
      </c>
      <c r="L38" s="31"/>
      <c r="M38" s="46"/>
      <c r="N38" s="21">
        <f t="shared" si="3"/>
        <v>0</v>
      </c>
      <c r="O38" s="31"/>
      <c r="P38" s="46"/>
      <c r="Q38" s="21">
        <f t="shared" si="4"/>
        <v>0</v>
      </c>
    </row>
    <row r="39" spans="2:17" ht="22.5" customHeight="1">
      <c r="B39" s="74" t="s">
        <v>113</v>
      </c>
      <c r="C39" s="75">
        <f>SUM(C37:C38)</f>
        <v>500000</v>
      </c>
      <c r="D39" s="75">
        <f>SUM(D37:D38)</f>
        <v>-500000</v>
      </c>
      <c r="E39" s="116">
        <f t="shared" si="0"/>
        <v>0</v>
      </c>
      <c r="F39" s="75">
        <f>SUM(F37:F38)</f>
        <v>500000</v>
      </c>
      <c r="G39" s="75">
        <f>SUM(G37:G38)</f>
        <v>-500000</v>
      </c>
      <c r="H39" s="116">
        <f t="shared" si="1"/>
        <v>0</v>
      </c>
      <c r="I39" s="75">
        <f>SUM(I37:I38)</f>
        <v>500000</v>
      </c>
      <c r="J39" s="75">
        <f>SUM(J37:J38)</f>
        <v>-500000</v>
      </c>
      <c r="K39" s="116">
        <f t="shared" si="2"/>
        <v>0</v>
      </c>
      <c r="L39" s="75">
        <f>SUM(L37:L38)</f>
        <v>500000</v>
      </c>
      <c r="M39" s="75">
        <f>SUM(M37:M38)</f>
        <v>-500000</v>
      </c>
      <c r="N39" s="116">
        <f t="shared" si="3"/>
        <v>0</v>
      </c>
      <c r="O39" s="75">
        <f>SUM(O37:O38)</f>
        <v>500000</v>
      </c>
      <c r="P39" s="75">
        <f>SUM(P37:P38)</f>
        <v>-500000</v>
      </c>
      <c r="Q39" s="116">
        <f t="shared" si="4"/>
        <v>0</v>
      </c>
    </row>
    <row r="40" spans="2:17" ht="22.5" customHeight="1">
      <c r="B40" s="98" t="s">
        <v>114</v>
      </c>
      <c r="C40" s="101"/>
      <c r="D40" s="224"/>
      <c r="E40" s="225">
        <f t="shared" si="0"/>
        <v>0</v>
      </c>
      <c r="F40" s="101"/>
      <c r="G40" s="224"/>
      <c r="H40" s="225">
        <f t="shared" si="1"/>
        <v>0</v>
      </c>
      <c r="I40" s="101"/>
      <c r="J40" s="224"/>
      <c r="K40" s="225">
        <f t="shared" si="2"/>
        <v>0</v>
      </c>
      <c r="L40" s="101"/>
      <c r="M40" s="224"/>
      <c r="N40" s="225">
        <f t="shared" si="3"/>
        <v>0</v>
      </c>
      <c r="O40" s="101"/>
      <c r="P40" s="224"/>
      <c r="Q40" s="225">
        <f t="shared" si="4"/>
        <v>0</v>
      </c>
    </row>
    <row r="41" spans="2:17" ht="22.5" customHeight="1">
      <c r="B41" s="74" t="s">
        <v>115</v>
      </c>
      <c r="C41" s="75">
        <f>C39-C40</f>
        <v>500000</v>
      </c>
      <c r="D41" s="75">
        <f>D39-D40</f>
        <v>-500000</v>
      </c>
      <c r="E41" s="222">
        <f t="shared" si="0"/>
        <v>0</v>
      </c>
      <c r="F41" s="75">
        <f>F39-F40</f>
        <v>500000</v>
      </c>
      <c r="G41" s="75">
        <f>G39-G40</f>
        <v>-500000</v>
      </c>
      <c r="H41" s="222">
        <f t="shared" si="1"/>
        <v>0</v>
      </c>
      <c r="I41" s="75">
        <f>I39-I40</f>
        <v>500000</v>
      </c>
      <c r="J41" s="75">
        <f>J39-J40</f>
        <v>-500000</v>
      </c>
      <c r="K41" s="222">
        <f t="shared" si="2"/>
        <v>0</v>
      </c>
      <c r="L41" s="75">
        <f>L39-L40</f>
        <v>500000</v>
      </c>
      <c r="M41" s="75">
        <f>M39-M40</f>
        <v>-500000</v>
      </c>
      <c r="N41" s="222">
        <f t="shared" si="3"/>
        <v>0</v>
      </c>
      <c r="O41" s="75">
        <f>O39-O40</f>
        <v>500000</v>
      </c>
      <c r="P41" s="75">
        <f>P39-P40</f>
        <v>-500000</v>
      </c>
      <c r="Q41" s="222">
        <f t="shared" si="4"/>
        <v>0</v>
      </c>
    </row>
    <row r="42" spans="2:17" ht="18" customHeight="1">
      <c r="C42" s="35"/>
      <c r="D42" s="35"/>
      <c r="E42" s="35"/>
      <c r="F42" s="35"/>
      <c r="G42" s="35"/>
      <c r="H42" s="35"/>
      <c r="I42" s="35"/>
      <c r="J42" s="35"/>
      <c r="K42" s="35"/>
      <c r="L42" s="35"/>
      <c r="M42" s="35"/>
      <c r="N42" s="35"/>
      <c r="O42" s="35"/>
      <c r="P42" s="35"/>
      <c r="Q42" s="35"/>
    </row>
    <row r="43" spans="2:17" ht="18" customHeight="1">
      <c r="C43" s="35"/>
      <c r="D43" s="35"/>
      <c r="E43" s="35"/>
      <c r="F43" s="35"/>
      <c r="G43" s="35"/>
      <c r="H43" s="35"/>
      <c r="I43" s="35"/>
      <c r="J43" s="35"/>
      <c r="K43" s="35"/>
      <c r="L43" s="35"/>
      <c r="M43" s="35"/>
      <c r="N43" s="35"/>
      <c r="O43" s="35"/>
      <c r="P43" s="35"/>
      <c r="Q43" s="35"/>
    </row>
    <row r="44" spans="2:17" ht="18" customHeight="1">
      <c r="C44" s="35"/>
      <c r="D44" s="35"/>
      <c r="E44" s="35"/>
      <c r="F44" s="35"/>
      <c r="G44" s="35"/>
      <c r="H44" s="35"/>
      <c r="I44" s="35"/>
      <c r="J44" s="35"/>
      <c r="K44" s="35"/>
      <c r="L44" s="35"/>
      <c r="M44" s="35"/>
      <c r="N44" s="35"/>
      <c r="O44" s="35"/>
      <c r="P44" s="35"/>
      <c r="Q44" s="35"/>
    </row>
  </sheetData>
  <mergeCells count="6">
    <mergeCell ref="O3:Q3"/>
    <mergeCell ref="B3:B4"/>
    <mergeCell ref="C3:E3"/>
    <mergeCell ref="F3:H3"/>
    <mergeCell ref="I3:K3"/>
    <mergeCell ref="L3:N3"/>
  </mergeCells>
  <phoneticPr fontId="60"/>
  <pageMargins left="0.7" right="0.7" top="0.75" bottom="0.75"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F0"/>
  </sheetPr>
  <dimension ref="B2:M10"/>
  <sheetViews>
    <sheetView showGridLines="0" zoomScaleNormal="100" workbookViewId="0">
      <selection activeCell="J2" sqref="J2:M6"/>
    </sheetView>
  </sheetViews>
  <sheetFormatPr defaultColWidth="8.5" defaultRowHeight="18"/>
  <cols>
    <col min="1" max="1" width="8.5" style="242"/>
    <col min="2" max="3" width="18.6640625" style="391" customWidth="1"/>
    <col min="4" max="4" width="8.5" style="242"/>
    <col min="5" max="5" width="24.6640625" style="391" customWidth="1"/>
    <col min="6" max="8" width="18.6640625" style="391" customWidth="1"/>
    <col min="9" max="9" width="8.5" style="242"/>
    <col min="10" max="13" width="20.25" style="391" customWidth="1"/>
    <col min="14" max="16384" width="8.5" style="242"/>
  </cols>
  <sheetData>
    <row r="2" spans="2:13" ht="18.75" customHeight="1">
      <c r="C2" s="39" t="s">
        <v>527</v>
      </c>
      <c r="H2" s="39" t="s">
        <v>527</v>
      </c>
      <c r="M2" s="39" t="s">
        <v>527</v>
      </c>
    </row>
    <row r="3" spans="2:13" ht="21.75" customHeight="1">
      <c r="B3" s="204" t="str">
        <f>修正PL!I3</f>
        <v>26年1月期</v>
      </c>
      <c r="C3" s="228" t="s">
        <v>228</v>
      </c>
      <c r="E3" s="204"/>
      <c r="F3" s="204" t="str">
        <f>修正PL!C3</f>
        <v>24年1月期</v>
      </c>
      <c r="G3" s="204" t="str">
        <f>修正PL!F3</f>
        <v>25年1月期</v>
      </c>
      <c r="H3" s="204" t="str">
        <f>修正PL!I3</f>
        <v>26年1月期</v>
      </c>
      <c r="J3" s="204" t="s">
        <v>235</v>
      </c>
      <c r="K3" s="204" t="s">
        <v>236</v>
      </c>
      <c r="L3" s="204" t="s">
        <v>237</v>
      </c>
      <c r="M3" s="204" t="s">
        <v>238</v>
      </c>
    </row>
    <row r="4" spans="2:13" s="525" customFormat="1" ht="31.5" customHeight="1">
      <c r="B4" s="524" t="s">
        <v>239</v>
      </c>
      <c r="C4" s="499">
        <f>'BS (貸方)'!E50</f>
        <v>333535909</v>
      </c>
      <c r="E4" s="524" t="s">
        <v>240</v>
      </c>
      <c r="F4" s="499">
        <f>修正PL!C22</f>
        <v>6159294</v>
      </c>
      <c r="G4" s="499">
        <f>修正PL!F22</f>
        <v>78190765</v>
      </c>
      <c r="H4" s="499">
        <f>修正PL!I22</f>
        <v>58513810</v>
      </c>
      <c r="J4" s="227" t="s">
        <v>241</v>
      </c>
      <c r="K4" s="639">
        <f>C6</f>
        <v>7678778</v>
      </c>
      <c r="L4" s="639"/>
      <c r="M4" s="639"/>
    </row>
    <row r="5" spans="2:13" s="525" customFormat="1" ht="31.5" customHeight="1">
      <c r="B5" s="526" t="s">
        <v>156</v>
      </c>
      <c r="C5" s="527">
        <f>'修正BS(貸方) '!D52</f>
        <v>-325857131</v>
      </c>
      <c r="E5" s="526" t="s">
        <v>156</v>
      </c>
      <c r="F5" s="527">
        <f>修正PL!D22</f>
        <v>-1510091.5</v>
      </c>
      <c r="G5" s="527">
        <f>修正PL!G22</f>
        <v>-11594608</v>
      </c>
      <c r="H5" s="527">
        <f>修正PL!J22</f>
        <v>-13819002</v>
      </c>
      <c r="J5" s="426" t="s">
        <v>242</v>
      </c>
      <c r="K5" s="402">
        <f>H10*1</f>
        <v>25506836.849999998</v>
      </c>
      <c r="L5" s="460">
        <f>H10*2</f>
        <v>51013673.699999996</v>
      </c>
      <c r="M5" s="460">
        <f>H10*3</f>
        <v>76520510.549999997</v>
      </c>
    </row>
    <row r="6" spans="2:13" s="525" customFormat="1" ht="31.5" customHeight="1">
      <c r="B6" s="477" t="s">
        <v>241</v>
      </c>
      <c r="C6" s="217">
        <f>SUM(C4:C5)</f>
        <v>7678778</v>
      </c>
      <c r="E6" s="317" t="s">
        <v>243</v>
      </c>
      <c r="F6" s="418">
        <f>SUM(F4:F5)</f>
        <v>4649202.5</v>
      </c>
      <c r="G6" s="418">
        <f>SUM(G4:G5)</f>
        <v>66596157</v>
      </c>
      <c r="H6" s="418">
        <f>SUM(H4:H5)</f>
        <v>44694808</v>
      </c>
      <c r="J6" s="528" t="s">
        <v>244</v>
      </c>
      <c r="K6" s="529">
        <f>K4+K5</f>
        <v>33185614.849999998</v>
      </c>
      <c r="L6" s="529">
        <f>K4+L5</f>
        <v>58692451.699999996</v>
      </c>
      <c r="M6" s="530">
        <f>K4+M5</f>
        <v>84199288.549999997</v>
      </c>
    </row>
    <row r="7" spans="2:13" s="525" customFormat="1" ht="31.5" customHeight="1">
      <c r="E7" s="526" t="s">
        <v>245</v>
      </c>
      <c r="F7" s="527">
        <f>-F6*0.34</f>
        <v>-1580728.85</v>
      </c>
      <c r="G7" s="527">
        <f>-G6*0.34</f>
        <v>-22642693.380000003</v>
      </c>
      <c r="H7" s="527">
        <f>-H6*0.34</f>
        <v>-15196234.720000001</v>
      </c>
    </row>
    <row r="8" spans="2:13" s="525" customFormat="1" ht="31.5" customHeight="1">
      <c r="E8" s="531" t="s">
        <v>246</v>
      </c>
      <c r="F8" s="217">
        <f>SUM(F6:F7)</f>
        <v>3068473.65</v>
      </c>
      <c r="G8" s="217">
        <f>SUM(G6:G7)</f>
        <v>43953463.619999997</v>
      </c>
      <c r="H8" s="217">
        <f>SUM(H6:H7)</f>
        <v>29498573.280000001</v>
      </c>
    </row>
    <row r="9" spans="2:13" s="525" customFormat="1" ht="15" customHeight="1"/>
    <row r="10" spans="2:13" s="525" customFormat="1" ht="31.5" customHeight="1">
      <c r="B10" s="391"/>
      <c r="C10" s="391"/>
      <c r="G10" s="532" t="s">
        <v>247</v>
      </c>
      <c r="H10" s="217">
        <f>AVERAGE(F8:H8)</f>
        <v>25506836.849999998</v>
      </c>
    </row>
  </sheetData>
  <mergeCells count="1">
    <mergeCell ref="K4:M4"/>
  </mergeCells>
  <phoneticPr fontId="60"/>
  <pageMargins left="0.7" right="0.7" top="0.75" bottom="0.75" header="0.511811023622047" footer="0.511811023622047"/>
  <pageSetup paperSize="9" orientation="portrait" horizontalDpi="300" verticalDpi="300"/>
  <ignoredErrors>
    <ignoredError sqref="F7:H7" formula="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F0"/>
  </sheetPr>
  <dimension ref="B2:M10"/>
  <sheetViews>
    <sheetView showGridLines="0" topLeftCell="C1" zoomScale="70" zoomScaleNormal="70" workbookViewId="0">
      <selection activeCell="J2" sqref="J2:M7"/>
    </sheetView>
  </sheetViews>
  <sheetFormatPr defaultColWidth="8.5" defaultRowHeight="18"/>
  <cols>
    <col min="1" max="1" width="8.5" style="242"/>
    <col min="2" max="2" width="20.58203125" style="391" customWidth="1"/>
    <col min="3" max="3" width="18.6640625" style="391" customWidth="1"/>
    <col min="4" max="4" width="8.5" style="242"/>
    <col min="5" max="5" width="24.6640625" style="391" customWidth="1"/>
    <col min="6" max="8" width="18.6640625" style="391" customWidth="1"/>
    <col min="9" max="9" width="8.5" style="242"/>
    <col min="10" max="10" width="26" style="391" customWidth="1"/>
    <col min="11" max="13" width="20.25" style="391" customWidth="1"/>
    <col min="14" max="16384" width="8.5" style="242"/>
  </cols>
  <sheetData>
    <row r="2" spans="2:13" ht="18.75" customHeight="1">
      <c r="C2" s="39" t="s">
        <v>527</v>
      </c>
      <c r="H2" s="39" t="s">
        <v>527</v>
      </c>
      <c r="M2" s="39" t="s">
        <v>527</v>
      </c>
    </row>
    <row r="3" spans="2:13" ht="21.75" customHeight="1">
      <c r="B3" s="204" t="str">
        <f>PL!G3</f>
        <v>26年1月期</v>
      </c>
      <c r="C3" s="228" t="s">
        <v>228</v>
      </c>
      <c r="E3" s="204"/>
      <c r="F3" s="204" t="str">
        <f>修正PL!C3</f>
        <v>24年1月期</v>
      </c>
      <c r="G3" s="204" t="str">
        <f>修正PL!F3</f>
        <v>25年1月期</v>
      </c>
      <c r="H3" s="204" t="str">
        <f>修正PL!I3</f>
        <v>26年1月期</v>
      </c>
      <c r="J3" s="204" t="s">
        <v>248</v>
      </c>
      <c r="K3" s="204" t="s">
        <v>238</v>
      </c>
      <c r="L3" s="204" t="s">
        <v>249</v>
      </c>
      <c r="M3" s="204" t="s">
        <v>250</v>
      </c>
    </row>
    <row r="4" spans="2:13" s="525" customFormat="1" ht="31.5" customHeight="1">
      <c r="B4" s="534" t="s">
        <v>251</v>
      </c>
      <c r="C4" s="499">
        <f>ネットキャッシュ!C13</f>
        <v>193226490</v>
      </c>
      <c r="E4" s="524" t="s">
        <v>240</v>
      </c>
      <c r="F4" s="499">
        <f>修正PL!C22</f>
        <v>6159294</v>
      </c>
      <c r="G4" s="499">
        <f>修正PL!F22</f>
        <v>78190765</v>
      </c>
      <c r="H4" s="499">
        <f>修正PL!I22</f>
        <v>58513810</v>
      </c>
      <c r="J4" s="227" t="s">
        <v>530</v>
      </c>
      <c r="K4" s="535">
        <f>H10*3</f>
        <v>118648664.5</v>
      </c>
      <c r="L4" s="536">
        <f>H10*4</f>
        <v>158198219.33333334</v>
      </c>
      <c r="M4" s="536">
        <f>H10*5</f>
        <v>197747774.16666669</v>
      </c>
    </row>
    <row r="5" spans="2:13" s="525" customFormat="1" ht="31.5" customHeight="1">
      <c r="B5" s="537" t="s">
        <v>252</v>
      </c>
      <c r="C5" s="527">
        <f>ネットキャッシュ!F13</f>
        <v>187808000</v>
      </c>
      <c r="E5" s="526" t="s">
        <v>156</v>
      </c>
      <c r="F5" s="527">
        <f>修正PL!D22</f>
        <v>-1510091.5</v>
      </c>
      <c r="G5" s="527">
        <f>修正PL!G22</f>
        <v>-11594608</v>
      </c>
      <c r="H5" s="527">
        <f>修正PL!J22</f>
        <v>-13819002</v>
      </c>
      <c r="J5" s="538" t="s">
        <v>253</v>
      </c>
      <c r="K5" s="535">
        <f>-K4*0.1</f>
        <v>-11864866.450000001</v>
      </c>
      <c r="L5" s="535">
        <f>-L4*0.1</f>
        <v>-15819821.933333335</v>
      </c>
      <c r="M5" s="535">
        <f>-M4*0.1</f>
        <v>-19774777.416666668</v>
      </c>
    </row>
    <row r="6" spans="2:13" s="525" customFormat="1" ht="31.5" customHeight="1">
      <c r="B6" s="477" t="s">
        <v>230</v>
      </c>
      <c r="C6" s="217">
        <f>C4-C5</f>
        <v>5418490</v>
      </c>
      <c r="E6" s="317" t="s">
        <v>243</v>
      </c>
      <c r="F6" s="418">
        <f>SUM(F4:F5)</f>
        <v>4649202.5</v>
      </c>
      <c r="G6" s="418">
        <f>SUM(G4:G5)</f>
        <v>66596157</v>
      </c>
      <c r="H6" s="418">
        <f>SUM(H4:H5)</f>
        <v>44694808</v>
      </c>
      <c r="J6" s="426" t="str">
        <f>B6</f>
        <v>ネットキャッシュ</v>
      </c>
      <c r="K6" s="640">
        <f>C6</f>
        <v>5418490</v>
      </c>
      <c r="L6" s="640"/>
      <c r="M6" s="640"/>
    </row>
    <row r="7" spans="2:13" s="525" customFormat="1" ht="31.5" customHeight="1">
      <c r="E7" s="526" t="s">
        <v>144</v>
      </c>
      <c r="F7" s="527">
        <f>修正SGA!E33</f>
        <v>881300</v>
      </c>
      <c r="G7" s="527">
        <f>修正SGA!H33</f>
        <v>644524</v>
      </c>
      <c r="H7" s="527">
        <f>修正SGA!K33</f>
        <v>1182673</v>
      </c>
      <c r="J7" s="528" t="s">
        <v>244</v>
      </c>
      <c r="K7" s="529">
        <f>SUM(K4:K6)</f>
        <v>112202288.05</v>
      </c>
      <c r="L7" s="529">
        <f>SUM(L4:L5)+K6</f>
        <v>147796887.40000001</v>
      </c>
      <c r="M7" s="530">
        <f>SUM(M4:M5)+K6</f>
        <v>183391486.75000003</v>
      </c>
    </row>
    <row r="8" spans="2:13" s="525" customFormat="1" ht="31.5" customHeight="1">
      <c r="E8" s="539" t="s">
        <v>254</v>
      </c>
      <c r="F8" s="217">
        <f>SUM(F6:F7)</f>
        <v>5530502.5</v>
      </c>
      <c r="G8" s="217">
        <f>SUM(G6:G7)</f>
        <v>67240681</v>
      </c>
      <c r="H8" s="217">
        <f>SUM(H6:H7)</f>
        <v>45877481</v>
      </c>
    </row>
    <row r="9" spans="2:13" s="525" customFormat="1" ht="15" customHeight="1"/>
    <row r="10" spans="2:13" s="525" customFormat="1" ht="31.5" customHeight="1">
      <c r="G10" s="532" t="s">
        <v>255</v>
      </c>
      <c r="H10" s="217">
        <f>AVERAGE(F8:H8)</f>
        <v>39549554.833333336</v>
      </c>
    </row>
  </sheetData>
  <mergeCells count="1">
    <mergeCell ref="K6:M6"/>
  </mergeCells>
  <phoneticPr fontId="60"/>
  <pageMargins left="0.7" right="0.7" top="0.75" bottom="0.75" header="0.511811023622047" footer="0.511811023622047"/>
  <pageSetup paperSize="9" orientation="portrait" horizontalDpi="300" verticalDpi="300"/>
  <ignoredErrors>
    <ignoredError sqref="F7:H7" formula="1"/>
  </ignoredError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71D85-DE95-4E3E-8B8B-5D0A670902AF}">
  <sheetPr>
    <tabColor rgb="FF0889C9"/>
  </sheetPr>
  <dimension ref="B2:F119"/>
  <sheetViews>
    <sheetView zoomScale="55" zoomScaleNormal="55" workbookViewId="0">
      <pane ySplit="4" topLeftCell="A5" activePane="bottomLeft" state="frozen"/>
      <selection pane="bottomLeft" activeCell="D11" sqref="D11"/>
    </sheetView>
  </sheetViews>
  <sheetFormatPr defaultColWidth="8.5" defaultRowHeight="18"/>
  <cols>
    <col min="2" max="2" width="28" style="22" customWidth="1"/>
    <col min="3" max="4" width="16.1640625" style="23" customWidth="1"/>
    <col min="5" max="5" width="24.5" style="23" bestFit="1" customWidth="1"/>
    <col min="6" max="6" width="16.1640625" style="23" customWidth="1"/>
  </cols>
  <sheetData>
    <row r="2" spans="2:6" ht="18.75" customHeight="1">
      <c r="E2" s="39"/>
      <c r="F2" s="39" t="s">
        <v>43</v>
      </c>
    </row>
    <row r="3" spans="2:6" ht="27.75" customHeight="1" thickBot="1">
      <c r="B3" s="619" t="s">
        <v>5</v>
      </c>
      <c r="C3" s="619"/>
      <c r="D3" s="619"/>
      <c r="E3" s="619"/>
    </row>
    <row r="4" spans="2:6" ht="19.5" customHeight="1">
      <c r="B4" s="12" t="s">
        <v>6</v>
      </c>
      <c r="C4" s="568" t="s">
        <v>550</v>
      </c>
      <c r="D4" s="14" t="s">
        <v>551</v>
      </c>
      <c r="E4" s="15" t="s">
        <v>552</v>
      </c>
      <c r="F4" s="15" t="s">
        <v>553</v>
      </c>
    </row>
    <row r="5" spans="2:6" ht="22.5" customHeight="1">
      <c r="B5" s="16" t="s">
        <v>9</v>
      </c>
      <c r="C5" s="17">
        <f>SUM(C6:C19)</f>
        <v>226345406</v>
      </c>
      <c r="D5" s="17">
        <f>SUM(D6:D19)</f>
        <v>-6570163</v>
      </c>
      <c r="E5" s="18">
        <f t="shared" ref="E5:E61" si="0">C5+D5</f>
        <v>219775243</v>
      </c>
      <c r="F5" s="18">
        <f t="shared" ref="F5:F61" si="1">-D5</f>
        <v>6570163</v>
      </c>
    </row>
    <row r="6" spans="2:6" ht="22.5" customHeight="1">
      <c r="B6" s="19" t="s">
        <v>10</v>
      </c>
      <c r="C6" s="20">
        <f>'[1]修正BS(借方)'!E6</f>
        <v>193226490</v>
      </c>
      <c r="D6" s="20"/>
      <c r="E6" s="21">
        <f t="shared" si="0"/>
        <v>193226490</v>
      </c>
      <c r="F6" s="21">
        <f t="shared" si="1"/>
        <v>0</v>
      </c>
    </row>
    <row r="7" spans="2:6" ht="22.5" customHeight="1">
      <c r="B7" s="19" t="s">
        <v>16</v>
      </c>
      <c r="C7" s="20">
        <f>'[1]修正BS(借方)'!E7</f>
        <v>20153150</v>
      </c>
      <c r="D7" s="20"/>
      <c r="E7" s="21">
        <f t="shared" si="0"/>
        <v>20153150</v>
      </c>
      <c r="F7" s="21">
        <f t="shared" si="1"/>
        <v>0</v>
      </c>
    </row>
    <row r="8" spans="2:6" ht="22.5" customHeight="1">
      <c r="B8" s="19" t="s">
        <v>17</v>
      </c>
      <c r="C8" s="20">
        <f>'[1]修正BS(借方)'!E8</f>
        <v>0</v>
      </c>
      <c r="D8" s="20"/>
      <c r="E8" s="21">
        <f t="shared" si="0"/>
        <v>0</v>
      </c>
      <c r="F8" s="21">
        <f t="shared" si="1"/>
        <v>0</v>
      </c>
    </row>
    <row r="9" spans="2:6" ht="22.5" customHeight="1">
      <c r="B9" s="19" t="s">
        <v>18</v>
      </c>
      <c r="C9" s="20">
        <f>'[1]修正BS(借方)'!E9</f>
        <v>204834</v>
      </c>
      <c r="D9" s="20"/>
      <c r="E9" s="21">
        <f t="shared" si="0"/>
        <v>204834</v>
      </c>
      <c r="F9" s="21">
        <f t="shared" si="1"/>
        <v>0</v>
      </c>
    </row>
    <row r="10" spans="2:6" ht="22.5" customHeight="1">
      <c r="B10" s="19" t="s">
        <v>19</v>
      </c>
      <c r="C10" s="20">
        <f>'[1]修正BS(借方)'!E10</f>
        <v>24020</v>
      </c>
      <c r="D10" s="20"/>
      <c r="E10" s="21">
        <f t="shared" si="0"/>
        <v>24020</v>
      </c>
      <c r="F10" s="21">
        <f t="shared" si="1"/>
        <v>0</v>
      </c>
    </row>
    <row r="11" spans="2:6" ht="22.5" customHeight="1">
      <c r="B11" s="19" t="s">
        <v>20</v>
      </c>
      <c r="C11" s="20">
        <f>'[1]修正BS(借方)'!E11</f>
        <v>12055237</v>
      </c>
      <c r="D11" s="20">
        <v>-6570163</v>
      </c>
      <c r="E11" s="21">
        <f t="shared" si="0"/>
        <v>5485074</v>
      </c>
      <c r="F11" s="21">
        <f t="shared" si="1"/>
        <v>6570163</v>
      </c>
    </row>
    <row r="12" spans="2:6" ht="22.5" customHeight="1">
      <c r="B12" s="19" t="s">
        <v>22</v>
      </c>
      <c r="C12" s="20">
        <f>'[1]修正BS(借方)'!E12</f>
        <v>640475</v>
      </c>
      <c r="D12" s="20"/>
      <c r="E12" s="21">
        <f t="shared" si="0"/>
        <v>640475</v>
      </c>
      <c r="F12" s="21">
        <f t="shared" si="1"/>
        <v>0</v>
      </c>
    </row>
    <row r="13" spans="2:6" ht="22.5" customHeight="1">
      <c r="B13" s="19" t="s">
        <v>23</v>
      </c>
      <c r="C13" s="20">
        <f>'[1]修正BS(借方)'!E13</f>
        <v>41200</v>
      </c>
      <c r="D13" s="20"/>
      <c r="E13" s="21">
        <f t="shared" si="0"/>
        <v>41200</v>
      </c>
      <c r="F13" s="21">
        <f t="shared" si="1"/>
        <v>0</v>
      </c>
    </row>
    <row r="14" spans="2:6" ht="22.5" customHeight="1">
      <c r="B14" s="19"/>
      <c r="C14" s="20"/>
      <c r="D14" s="20"/>
      <c r="E14" s="21">
        <f t="shared" si="0"/>
        <v>0</v>
      </c>
      <c r="F14" s="21">
        <f t="shared" si="1"/>
        <v>0</v>
      </c>
    </row>
    <row r="15" spans="2:6" ht="22.5" customHeight="1">
      <c r="B15" s="19"/>
      <c r="C15" s="20"/>
      <c r="D15" s="20"/>
      <c r="E15" s="21">
        <f t="shared" si="0"/>
        <v>0</v>
      </c>
      <c r="F15" s="21">
        <f t="shared" si="1"/>
        <v>0</v>
      </c>
    </row>
    <row r="16" spans="2:6" ht="22.5" customHeight="1">
      <c r="B16" s="19"/>
      <c r="C16" s="20"/>
      <c r="D16" s="20"/>
      <c r="E16" s="21">
        <f t="shared" si="0"/>
        <v>0</v>
      </c>
      <c r="F16" s="21">
        <f t="shared" si="1"/>
        <v>0</v>
      </c>
    </row>
    <row r="17" spans="2:6" ht="22.5" customHeight="1">
      <c r="B17" s="19"/>
      <c r="C17" s="20"/>
      <c r="D17" s="20"/>
      <c r="E17" s="21">
        <f t="shared" si="0"/>
        <v>0</v>
      </c>
      <c r="F17" s="21">
        <f t="shared" si="1"/>
        <v>0</v>
      </c>
    </row>
    <row r="18" spans="2:6" ht="22.5" customHeight="1">
      <c r="B18" s="19"/>
      <c r="C18" s="20"/>
      <c r="D18" s="20"/>
      <c r="E18" s="21">
        <f t="shared" si="0"/>
        <v>0</v>
      </c>
      <c r="F18" s="21">
        <f t="shared" si="1"/>
        <v>0</v>
      </c>
    </row>
    <row r="19" spans="2:6" ht="22.5" customHeight="1">
      <c r="B19" s="26"/>
      <c r="C19" s="46"/>
      <c r="D19" s="46"/>
      <c r="E19" s="21">
        <f t="shared" si="0"/>
        <v>0</v>
      </c>
      <c r="F19" s="21">
        <f t="shared" si="1"/>
        <v>0</v>
      </c>
    </row>
    <row r="20" spans="2:6" ht="22.5" customHeight="1">
      <c r="B20" s="16" t="s">
        <v>25</v>
      </c>
      <c r="C20" s="106">
        <f>C21+C35+C46</f>
        <v>323863136</v>
      </c>
      <c r="D20" s="106">
        <f>D21+D35+D46</f>
        <v>-319487968</v>
      </c>
      <c r="E20" s="116">
        <f t="shared" si="0"/>
        <v>4375168</v>
      </c>
      <c r="F20" s="116">
        <f t="shared" si="1"/>
        <v>319487968</v>
      </c>
    </row>
    <row r="21" spans="2:6" ht="22.5" customHeight="1">
      <c r="B21" s="28" t="s">
        <v>26</v>
      </c>
      <c r="C21" s="29">
        <f>SUM(C22:C34)</f>
        <v>1056920</v>
      </c>
      <c r="D21" s="29">
        <f>SUM(D22:D34)</f>
        <v>-264868</v>
      </c>
      <c r="E21" s="117">
        <f t="shared" si="0"/>
        <v>792052</v>
      </c>
      <c r="F21" s="117">
        <f t="shared" si="1"/>
        <v>264868</v>
      </c>
    </row>
    <row r="22" spans="2:6" ht="22.5" customHeight="1">
      <c r="B22" s="19" t="s">
        <v>27</v>
      </c>
      <c r="C22" s="20">
        <f>'[1]修正BS(借方)'!E22</f>
        <v>700993</v>
      </c>
      <c r="D22" s="20"/>
      <c r="E22" s="21">
        <f t="shared" si="0"/>
        <v>700993</v>
      </c>
      <c r="F22" s="21">
        <f t="shared" si="1"/>
        <v>0</v>
      </c>
    </row>
    <row r="23" spans="2:6" ht="22.5" customHeight="1">
      <c r="B23" s="19" t="s">
        <v>28</v>
      </c>
      <c r="C23" s="20">
        <f>'[1]修正BS(借方)'!E23</f>
        <v>264868</v>
      </c>
      <c r="D23" s="20">
        <f>-C23</f>
        <v>-264868</v>
      </c>
      <c r="E23" s="21">
        <f t="shared" si="0"/>
        <v>0</v>
      </c>
      <c r="F23" s="21">
        <f t="shared" si="1"/>
        <v>264868</v>
      </c>
    </row>
    <row r="24" spans="2:6" ht="22.5" customHeight="1">
      <c r="B24" s="19" t="s">
        <v>29</v>
      </c>
      <c r="C24" s="20">
        <f>'[1]修正BS(借方)'!E24</f>
        <v>91059</v>
      </c>
      <c r="D24" s="20"/>
      <c r="E24" s="21">
        <f t="shared" si="0"/>
        <v>91059</v>
      </c>
      <c r="F24" s="21">
        <f t="shared" si="1"/>
        <v>0</v>
      </c>
    </row>
    <row r="25" spans="2:6" ht="22.5" customHeight="1">
      <c r="B25" s="19"/>
      <c r="C25" s="20"/>
      <c r="D25" s="20"/>
      <c r="E25" s="21">
        <f t="shared" si="0"/>
        <v>0</v>
      </c>
      <c r="F25" s="21">
        <f t="shared" si="1"/>
        <v>0</v>
      </c>
    </row>
    <row r="26" spans="2:6" ht="22.5" customHeight="1">
      <c r="B26" s="19"/>
      <c r="C26" s="20"/>
      <c r="D26" s="20"/>
      <c r="E26" s="21">
        <f t="shared" si="0"/>
        <v>0</v>
      </c>
      <c r="F26" s="21">
        <f t="shared" si="1"/>
        <v>0</v>
      </c>
    </row>
    <row r="27" spans="2:6" ht="22.5" customHeight="1">
      <c r="B27" s="19"/>
      <c r="C27" s="20"/>
      <c r="D27" s="20"/>
      <c r="E27" s="21">
        <f t="shared" si="0"/>
        <v>0</v>
      </c>
      <c r="F27" s="21">
        <f t="shared" si="1"/>
        <v>0</v>
      </c>
    </row>
    <row r="28" spans="2:6" ht="22.5" customHeight="1">
      <c r="B28" s="19"/>
      <c r="C28" s="20"/>
      <c r="D28" s="20"/>
      <c r="E28" s="21">
        <f t="shared" si="0"/>
        <v>0</v>
      </c>
      <c r="F28" s="21">
        <f t="shared" si="1"/>
        <v>0</v>
      </c>
    </row>
    <row r="29" spans="2:6" ht="22.5" customHeight="1">
      <c r="B29" s="19"/>
      <c r="C29" s="20"/>
      <c r="D29" s="20"/>
      <c r="E29" s="21">
        <f t="shared" si="0"/>
        <v>0</v>
      </c>
      <c r="F29" s="21">
        <f t="shared" si="1"/>
        <v>0</v>
      </c>
    </row>
    <row r="30" spans="2:6" ht="22.5" customHeight="1">
      <c r="B30" s="19"/>
      <c r="C30" s="20"/>
      <c r="D30" s="20"/>
      <c r="E30" s="21">
        <f t="shared" si="0"/>
        <v>0</v>
      </c>
      <c r="F30" s="21">
        <f t="shared" si="1"/>
        <v>0</v>
      </c>
    </row>
    <row r="31" spans="2:6" ht="22.5" customHeight="1">
      <c r="B31" s="19"/>
      <c r="C31" s="20"/>
      <c r="D31" s="20"/>
      <c r="E31" s="21">
        <f t="shared" si="0"/>
        <v>0</v>
      </c>
      <c r="F31" s="21">
        <f t="shared" si="1"/>
        <v>0</v>
      </c>
    </row>
    <row r="32" spans="2:6" ht="22.5" customHeight="1">
      <c r="B32" s="19"/>
      <c r="C32" s="20"/>
      <c r="D32" s="20"/>
      <c r="E32" s="21">
        <f t="shared" si="0"/>
        <v>0</v>
      </c>
      <c r="F32" s="21">
        <f t="shared" si="1"/>
        <v>0</v>
      </c>
    </row>
    <row r="33" spans="2:6" ht="22.5" customHeight="1">
      <c r="B33" s="19"/>
      <c r="C33" s="20"/>
      <c r="D33" s="20"/>
      <c r="E33" s="21">
        <f t="shared" si="0"/>
        <v>0</v>
      </c>
      <c r="F33" s="21">
        <f t="shared" si="1"/>
        <v>0</v>
      </c>
    </row>
    <row r="34" spans="2:6" ht="22.5" customHeight="1">
      <c r="B34" s="26"/>
      <c r="C34" s="46"/>
      <c r="D34" s="46"/>
      <c r="E34" s="21">
        <f t="shared" si="0"/>
        <v>0</v>
      </c>
      <c r="F34" s="21">
        <f t="shared" si="1"/>
        <v>0</v>
      </c>
    </row>
    <row r="35" spans="2:6" ht="22.5" customHeight="1">
      <c r="B35" s="28" t="s">
        <v>30</v>
      </c>
      <c r="C35" s="118">
        <f>SUM(C36:C45)</f>
        <v>2112001</v>
      </c>
      <c r="D35" s="119">
        <f>SUM(D36:D45)</f>
        <v>0</v>
      </c>
      <c r="E35" s="120">
        <f t="shared" si="0"/>
        <v>2112001</v>
      </c>
      <c r="F35" s="120">
        <f t="shared" si="1"/>
        <v>0</v>
      </c>
    </row>
    <row r="36" spans="2:6" ht="21.75" customHeight="1">
      <c r="B36" s="19" t="s">
        <v>31</v>
      </c>
      <c r="C36" s="20">
        <f>'[1]修正BS(借方)'!E36</f>
        <v>2112001</v>
      </c>
      <c r="D36" s="20"/>
      <c r="E36" s="21">
        <f t="shared" si="0"/>
        <v>2112001</v>
      </c>
      <c r="F36" s="21">
        <f t="shared" si="1"/>
        <v>0</v>
      </c>
    </row>
    <row r="37" spans="2:6" ht="21.75" customHeight="1">
      <c r="B37" s="19"/>
      <c r="C37" s="20"/>
      <c r="D37" s="20"/>
      <c r="E37" s="21">
        <f t="shared" si="0"/>
        <v>0</v>
      </c>
      <c r="F37" s="21">
        <f t="shared" si="1"/>
        <v>0</v>
      </c>
    </row>
    <row r="38" spans="2:6" ht="21.75" customHeight="1">
      <c r="B38" s="19"/>
      <c r="C38" s="20"/>
      <c r="D38" s="20"/>
      <c r="E38" s="21">
        <f t="shared" si="0"/>
        <v>0</v>
      </c>
      <c r="F38" s="21">
        <f t="shared" si="1"/>
        <v>0</v>
      </c>
    </row>
    <row r="39" spans="2:6" ht="21.75" customHeight="1">
      <c r="B39" s="19"/>
      <c r="C39" s="20"/>
      <c r="D39" s="20"/>
      <c r="E39" s="21">
        <f t="shared" si="0"/>
        <v>0</v>
      </c>
      <c r="F39" s="21">
        <f t="shared" si="1"/>
        <v>0</v>
      </c>
    </row>
    <row r="40" spans="2:6" ht="21.75" customHeight="1">
      <c r="B40" s="19"/>
      <c r="C40" s="20"/>
      <c r="D40" s="20"/>
      <c r="E40" s="21">
        <f t="shared" si="0"/>
        <v>0</v>
      </c>
      <c r="F40" s="21">
        <f t="shared" si="1"/>
        <v>0</v>
      </c>
    </row>
    <row r="41" spans="2:6" ht="21.75" customHeight="1">
      <c r="B41" s="19"/>
      <c r="C41" s="20"/>
      <c r="D41" s="20"/>
      <c r="E41" s="21">
        <f t="shared" si="0"/>
        <v>0</v>
      </c>
      <c r="F41" s="21">
        <f t="shared" si="1"/>
        <v>0</v>
      </c>
    </row>
    <row r="42" spans="2:6" ht="21.75" customHeight="1">
      <c r="B42" s="19"/>
      <c r="C42" s="20"/>
      <c r="D42" s="20"/>
      <c r="E42" s="21">
        <f t="shared" si="0"/>
        <v>0</v>
      </c>
      <c r="F42" s="21">
        <f t="shared" si="1"/>
        <v>0</v>
      </c>
    </row>
    <row r="43" spans="2:6" ht="21.75" customHeight="1">
      <c r="B43" s="19"/>
      <c r="C43" s="20"/>
      <c r="D43" s="20"/>
      <c r="E43" s="21">
        <f t="shared" si="0"/>
        <v>0</v>
      </c>
      <c r="F43" s="21">
        <f t="shared" si="1"/>
        <v>0</v>
      </c>
    </row>
    <row r="44" spans="2:6" ht="21.75" customHeight="1">
      <c r="B44" s="19"/>
      <c r="C44" s="20"/>
      <c r="D44" s="20"/>
      <c r="E44" s="21">
        <f t="shared" si="0"/>
        <v>0</v>
      </c>
      <c r="F44" s="21">
        <f t="shared" si="1"/>
        <v>0</v>
      </c>
    </row>
    <row r="45" spans="2:6" ht="21.75" customHeight="1">
      <c r="B45" s="26"/>
      <c r="C45" s="46"/>
      <c r="D45" s="46"/>
      <c r="E45" s="21">
        <f t="shared" si="0"/>
        <v>0</v>
      </c>
      <c r="F45" s="21">
        <f t="shared" si="1"/>
        <v>0</v>
      </c>
    </row>
    <row r="46" spans="2:6" ht="21.75" customHeight="1">
      <c r="B46" s="28" t="s">
        <v>32</v>
      </c>
      <c r="C46" s="121">
        <f>SUM(C47:C54)</f>
        <v>320694215</v>
      </c>
      <c r="D46" s="122">
        <f>SUM(D47:D54)</f>
        <v>-319223100</v>
      </c>
      <c r="E46" s="123">
        <f t="shared" si="0"/>
        <v>1471115</v>
      </c>
      <c r="F46" s="123">
        <f t="shared" si="1"/>
        <v>319223100</v>
      </c>
    </row>
    <row r="47" spans="2:6" ht="22.5" customHeight="1">
      <c r="B47" s="124" t="s">
        <v>33</v>
      </c>
      <c r="C47" s="20">
        <f>'[1]修正BS(借方)'!E47</f>
        <v>275896334</v>
      </c>
      <c r="D47" s="20">
        <f>-C47</f>
        <v>-275896334</v>
      </c>
      <c r="E47" s="21">
        <f t="shared" si="0"/>
        <v>0</v>
      </c>
      <c r="F47" s="21">
        <f t="shared" si="1"/>
        <v>275896334</v>
      </c>
    </row>
    <row r="48" spans="2:6" ht="22.5" customHeight="1">
      <c r="B48" s="124" t="s">
        <v>34</v>
      </c>
      <c r="C48" s="20">
        <f>'[1]修正BS(借方)'!E48</f>
        <v>30000</v>
      </c>
      <c r="D48" s="20"/>
      <c r="E48" s="21">
        <f t="shared" si="0"/>
        <v>30000</v>
      </c>
      <c r="F48" s="21">
        <f t="shared" si="1"/>
        <v>0</v>
      </c>
    </row>
    <row r="49" spans="2:6" ht="22.5" customHeight="1">
      <c r="B49" s="124" t="s">
        <v>35</v>
      </c>
      <c r="C49" s="20">
        <f>'[1]修正BS(借方)'!E49</f>
        <v>50000</v>
      </c>
      <c r="D49" s="20"/>
      <c r="E49" s="21">
        <f t="shared" si="0"/>
        <v>50000</v>
      </c>
      <c r="F49" s="21">
        <f t="shared" si="1"/>
        <v>0</v>
      </c>
    </row>
    <row r="50" spans="2:6" ht="22.5" customHeight="1">
      <c r="B50" s="124" t="s">
        <v>36</v>
      </c>
      <c r="C50" s="20">
        <f>'[1]修正BS(借方)'!E50</f>
        <v>1263500</v>
      </c>
      <c r="D50" s="20"/>
      <c r="E50" s="21">
        <f t="shared" si="0"/>
        <v>1263500</v>
      </c>
      <c r="F50" s="21">
        <f t="shared" si="1"/>
        <v>0</v>
      </c>
    </row>
    <row r="51" spans="2:6" ht="22.5" customHeight="1">
      <c r="B51" s="124" t="s">
        <v>37</v>
      </c>
      <c r="C51" s="20">
        <f>'[1]修正BS(借方)'!E51</f>
        <v>25040</v>
      </c>
      <c r="D51" s="20"/>
      <c r="E51" s="21">
        <f t="shared" si="0"/>
        <v>25040</v>
      </c>
      <c r="F51" s="21">
        <f t="shared" si="1"/>
        <v>0</v>
      </c>
    </row>
    <row r="52" spans="2:6" ht="22.5" customHeight="1">
      <c r="B52" s="124" t="s">
        <v>38</v>
      </c>
      <c r="C52" s="20">
        <f>'[1]修正BS(借方)'!E52</f>
        <v>43326766</v>
      </c>
      <c r="D52" s="20">
        <f>-C52</f>
        <v>-43326766</v>
      </c>
      <c r="E52" s="21">
        <f t="shared" si="0"/>
        <v>0</v>
      </c>
      <c r="F52" s="21">
        <f t="shared" si="1"/>
        <v>43326766</v>
      </c>
    </row>
    <row r="53" spans="2:6" ht="22.5" customHeight="1">
      <c r="B53" s="124" t="s">
        <v>39</v>
      </c>
      <c r="C53" s="20">
        <f>'[1]修正BS(借方)'!E53</f>
        <v>102575</v>
      </c>
      <c r="D53" s="20"/>
      <c r="E53" s="21">
        <f t="shared" si="0"/>
        <v>102575</v>
      </c>
      <c r="F53" s="21">
        <f t="shared" si="1"/>
        <v>0</v>
      </c>
    </row>
    <row r="54" spans="2:6" ht="22.5" customHeight="1">
      <c r="B54" s="124"/>
      <c r="C54" s="20"/>
      <c r="D54" s="20"/>
      <c r="E54" s="21">
        <f t="shared" si="0"/>
        <v>0</v>
      </c>
      <c r="F54" s="21">
        <f t="shared" si="1"/>
        <v>0</v>
      </c>
    </row>
    <row r="55" spans="2:6" ht="21.75" customHeight="1">
      <c r="B55" s="125" t="s">
        <v>40</v>
      </c>
      <c r="C55" s="33">
        <f>SUM(C56:C59)</f>
        <v>0</v>
      </c>
      <c r="D55" s="33">
        <f>SUM(D56:D59)</f>
        <v>0</v>
      </c>
      <c r="E55" s="126">
        <f t="shared" si="0"/>
        <v>0</v>
      </c>
      <c r="F55" s="126">
        <f t="shared" si="1"/>
        <v>0</v>
      </c>
    </row>
    <row r="56" spans="2:6" ht="21.75" customHeight="1">
      <c r="B56" s="127"/>
      <c r="C56" s="128"/>
      <c r="D56" s="129"/>
      <c r="E56" s="130">
        <f t="shared" si="0"/>
        <v>0</v>
      </c>
      <c r="F56" s="130">
        <f t="shared" si="1"/>
        <v>0</v>
      </c>
    </row>
    <row r="57" spans="2:6" ht="21.75" customHeight="1">
      <c r="B57" s="124"/>
      <c r="C57" s="131"/>
      <c r="D57" s="131"/>
      <c r="E57" s="21">
        <f t="shared" si="0"/>
        <v>0</v>
      </c>
      <c r="F57" s="21">
        <f t="shared" si="1"/>
        <v>0</v>
      </c>
    </row>
    <row r="58" spans="2:6" ht="21.75" customHeight="1">
      <c r="B58" s="124"/>
      <c r="C58" s="131"/>
      <c r="D58" s="131"/>
      <c r="E58" s="21">
        <f t="shared" si="0"/>
        <v>0</v>
      </c>
      <c r="F58" s="21">
        <f t="shared" si="1"/>
        <v>0</v>
      </c>
    </row>
    <row r="59" spans="2:6" ht="21.75" customHeight="1">
      <c r="B59" s="132"/>
      <c r="C59" s="133"/>
      <c r="D59" s="133"/>
      <c r="E59" s="134">
        <f t="shared" si="0"/>
        <v>0</v>
      </c>
      <c r="F59" s="134">
        <f t="shared" si="1"/>
        <v>0</v>
      </c>
    </row>
    <row r="60" spans="2:6" ht="21.75" customHeight="1">
      <c r="B60" s="135" t="s">
        <v>158</v>
      </c>
      <c r="C60" s="136">
        <f>'[1]修正BS(借方)'!E60</f>
        <v>0</v>
      </c>
      <c r="D60" s="136"/>
      <c r="E60" s="137">
        <f t="shared" si="0"/>
        <v>0</v>
      </c>
      <c r="F60" s="137">
        <f t="shared" si="1"/>
        <v>0</v>
      </c>
    </row>
    <row r="61" spans="2:6" ht="22.5" customHeight="1" thickBot="1">
      <c r="B61" s="34" t="s">
        <v>41</v>
      </c>
      <c r="C61" s="138">
        <f>C5+C20+C55+C60</f>
        <v>550208542</v>
      </c>
      <c r="D61" s="138">
        <f>D5+D20+D55+D60</f>
        <v>-326058131</v>
      </c>
      <c r="E61" s="139">
        <f t="shared" si="0"/>
        <v>224150411</v>
      </c>
      <c r="F61" s="139">
        <f t="shared" si="1"/>
        <v>326058131</v>
      </c>
    </row>
    <row r="62" spans="2:6" ht="18" customHeight="1">
      <c r="C62" s="140"/>
      <c r="D62" s="140"/>
      <c r="E62" s="140"/>
    </row>
    <row r="63" spans="2:6" ht="18" customHeight="1">
      <c r="C63" s="140"/>
      <c r="D63" s="140"/>
      <c r="E63" s="140"/>
    </row>
    <row r="64" spans="2:6" ht="27.75" customHeight="1" thickBot="1">
      <c r="B64" s="641" t="s">
        <v>44</v>
      </c>
      <c r="C64" s="641"/>
      <c r="D64" s="641"/>
      <c r="E64" s="641"/>
      <c r="F64" s="641"/>
    </row>
    <row r="65" spans="2:6" ht="19.5" customHeight="1">
      <c r="B65" s="144" t="s">
        <v>6</v>
      </c>
      <c r="C65" s="569" t="s">
        <v>550</v>
      </c>
      <c r="D65" s="181" t="s">
        <v>551</v>
      </c>
      <c r="E65" s="15" t="s">
        <v>552</v>
      </c>
      <c r="F65" s="15" t="s">
        <v>553</v>
      </c>
    </row>
    <row r="66" spans="2:6" ht="22.5" customHeight="1">
      <c r="B66" s="182" t="s">
        <v>45</v>
      </c>
      <c r="C66" s="75">
        <f>SUM(C67:C74)</f>
        <v>70491633</v>
      </c>
      <c r="D66" s="17">
        <f>SUM(D67:D74)</f>
        <v>0</v>
      </c>
      <c r="E66" s="18">
        <f t="shared" ref="E66:E82" si="2">C66+D66</f>
        <v>70491633</v>
      </c>
      <c r="F66" s="18">
        <f t="shared" ref="F66:F82" si="3">-D66</f>
        <v>0</v>
      </c>
    </row>
    <row r="67" spans="2:6" ht="22.5" customHeight="1">
      <c r="B67" s="77" t="s">
        <v>46</v>
      </c>
      <c r="C67" s="30">
        <f>'[1]修正BS(貸方) '!E6</f>
        <v>9644516</v>
      </c>
      <c r="D67" s="43"/>
      <c r="E67" s="21">
        <f t="shared" si="2"/>
        <v>9644516</v>
      </c>
      <c r="F67" s="21">
        <f t="shared" si="3"/>
        <v>0</v>
      </c>
    </row>
    <row r="68" spans="2:6" ht="22.5" customHeight="1">
      <c r="B68" s="77" t="s">
        <v>47</v>
      </c>
      <c r="C68" s="30">
        <f>'[1]修正BS(貸方) '!E7</f>
        <v>3947278</v>
      </c>
      <c r="D68" s="43"/>
      <c r="E68" s="21">
        <f t="shared" si="2"/>
        <v>3947278</v>
      </c>
      <c r="F68" s="21">
        <f t="shared" si="3"/>
        <v>0</v>
      </c>
    </row>
    <row r="69" spans="2:6" ht="22.5" customHeight="1">
      <c r="B69" s="77" t="s">
        <v>48</v>
      </c>
      <c r="C69" s="30">
        <f>'[1]修正BS(貸方) '!E8</f>
        <v>2929500</v>
      </c>
      <c r="D69" s="43"/>
      <c r="E69" s="21">
        <f t="shared" si="2"/>
        <v>2929500</v>
      </c>
      <c r="F69" s="21">
        <f t="shared" si="3"/>
        <v>0</v>
      </c>
    </row>
    <row r="70" spans="2:6" ht="22.5" customHeight="1">
      <c r="B70" s="77" t="s">
        <v>49</v>
      </c>
      <c r="C70" s="30">
        <f>'[1]修正BS(貸方) '!E9</f>
        <v>12017600</v>
      </c>
      <c r="D70" s="43"/>
      <c r="E70" s="21">
        <f t="shared" si="2"/>
        <v>12017600</v>
      </c>
      <c r="F70" s="21">
        <f t="shared" si="3"/>
        <v>0</v>
      </c>
    </row>
    <row r="71" spans="2:6" ht="22.5" customHeight="1">
      <c r="B71" s="77" t="s">
        <v>50</v>
      </c>
      <c r="C71" s="30">
        <f>'[1]修正BS(貸方) '!E10</f>
        <v>124739</v>
      </c>
      <c r="D71" s="43"/>
      <c r="E71" s="21">
        <f t="shared" si="2"/>
        <v>124739</v>
      </c>
      <c r="F71" s="21">
        <f t="shared" si="3"/>
        <v>0</v>
      </c>
    </row>
    <row r="72" spans="2:6" ht="22.5" customHeight="1">
      <c r="B72" s="77" t="s">
        <v>52</v>
      </c>
      <c r="C72" s="30">
        <f>'[1]修正BS(貸方) '!E11</f>
        <v>41828000</v>
      </c>
      <c r="D72" s="43"/>
      <c r="E72" s="21">
        <f t="shared" si="2"/>
        <v>41828000</v>
      </c>
      <c r="F72" s="21">
        <f t="shared" si="3"/>
        <v>0</v>
      </c>
    </row>
    <row r="73" spans="2:6" ht="22.5" customHeight="1">
      <c r="B73" s="77"/>
      <c r="C73" s="30"/>
      <c r="D73" s="43"/>
      <c r="E73" s="21">
        <f t="shared" si="2"/>
        <v>0</v>
      </c>
      <c r="F73" s="21">
        <f t="shared" si="3"/>
        <v>0</v>
      </c>
    </row>
    <row r="74" spans="2:6" ht="22.5" customHeight="1">
      <c r="B74" s="77"/>
      <c r="C74" s="30"/>
      <c r="D74" s="43"/>
      <c r="E74" s="21">
        <f t="shared" si="2"/>
        <v>0</v>
      </c>
      <c r="F74" s="21">
        <f t="shared" si="3"/>
        <v>0</v>
      </c>
    </row>
    <row r="75" spans="2:6" ht="22.5" customHeight="1">
      <c r="B75" s="182" t="s">
        <v>53</v>
      </c>
      <c r="C75" s="75">
        <f>SUM(C76:C80)</f>
        <v>145980000</v>
      </c>
      <c r="D75" s="17">
        <f>SUM(D76:D80)</f>
        <v>0</v>
      </c>
      <c r="E75" s="116">
        <f t="shared" si="2"/>
        <v>145980000</v>
      </c>
      <c r="F75" s="116">
        <f t="shared" si="3"/>
        <v>0</v>
      </c>
    </row>
    <row r="76" spans="2:6" ht="22.5" customHeight="1">
      <c r="B76" s="77" t="s">
        <v>54</v>
      </c>
      <c r="C76" s="30">
        <f>'[1]修正BS(貸方) '!E19</f>
        <v>145980000</v>
      </c>
      <c r="D76" s="43"/>
      <c r="E76" s="21">
        <f t="shared" si="2"/>
        <v>145980000</v>
      </c>
      <c r="F76" s="21">
        <f t="shared" si="3"/>
        <v>0</v>
      </c>
    </row>
    <row r="77" spans="2:6" ht="22.5" customHeight="1">
      <c r="B77" s="77"/>
      <c r="C77" s="30"/>
      <c r="D77" s="43"/>
      <c r="E77" s="21">
        <f t="shared" si="2"/>
        <v>0</v>
      </c>
      <c r="F77" s="21">
        <f t="shared" si="3"/>
        <v>0</v>
      </c>
    </row>
    <row r="78" spans="2:6" ht="22.5" customHeight="1">
      <c r="B78" s="77"/>
      <c r="C78" s="30"/>
      <c r="D78" s="43"/>
      <c r="E78" s="21">
        <f t="shared" si="2"/>
        <v>0</v>
      </c>
      <c r="F78" s="21">
        <f t="shared" si="3"/>
        <v>0</v>
      </c>
    </row>
    <row r="79" spans="2:6" ht="22.5" customHeight="1">
      <c r="B79" s="77"/>
      <c r="C79" s="30"/>
      <c r="D79" s="43"/>
      <c r="E79" s="21">
        <f t="shared" si="2"/>
        <v>0</v>
      </c>
      <c r="F79" s="21">
        <f t="shared" si="3"/>
        <v>0</v>
      </c>
    </row>
    <row r="80" spans="2:6" ht="22.5" customHeight="1">
      <c r="B80" s="77"/>
      <c r="C80" s="30"/>
      <c r="D80" s="43"/>
      <c r="E80" s="21">
        <f t="shared" si="2"/>
        <v>0</v>
      </c>
      <c r="F80" s="21">
        <f t="shared" si="3"/>
        <v>0</v>
      </c>
    </row>
    <row r="81" spans="2:6" ht="22.5" customHeight="1">
      <c r="B81" s="74" t="s">
        <v>182</v>
      </c>
      <c r="C81" s="106">
        <v>0</v>
      </c>
      <c r="D81" s="183">
        <v>0</v>
      </c>
      <c r="E81" s="116">
        <f t="shared" si="2"/>
        <v>0</v>
      </c>
      <c r="F81" s="116">
        <f t="shared" si="3"/>
        <v>0</v>
      </c>
    </row>
    <row r="82" spans="2:6" ht="22.5" customHeight="1" thickBot="1">
      <c r="B82" s="184" t="s">
        <v>55</v>
      </c>
      <c r="C82" s="185">
        <f>C66+C75+C81</f>
        <v>216471633</v>
      </c>
      <c r="D82" s="48">
        <f>D66+D75+D81</f>
        <v>0</v>
      </c>
      <c r="E82" s="186">
        <f t="shared" si="2"/>
        <v>216471633</v>
      </c>
      <c r="F82" s="186">
        <f t="shared" si="3"/>
        <v>0</v>
      </c>
    </row>
    <row r="83" spans="2:6" ht="18" customHeight="1">
      <c r="C83" s="140"/>
      <c r="D83" s="140"/>
      <c r="E83" s="140"/>
    </row>
    <row r="84" spans="2:6" ht="21.75" customHeight="1">
      <c r="B84" s="642" t="s">
        <v>56</v>
      </c>
      <c r="C84" s="642"/>
      <c r="D84" s="642"/>
      <c r="E84" s="642"/>
      <c r="F84" s="642"/>
    </row>
    <row r="85" spans="2:6" ht="21.75" customHeight="1">
      <c r="B85" s="182" t="s">
        <v>57</v>
      </c>
      <c r="C85" s="75">
        <f>SUM(C86:C87)</f>
        <v>10000000</v>
      </c>
      <c r="D85" s="17">
        <f>SUM(D86:D87)</f>
        <v>0</v>
      </c>
      <c r="E85" s="18">
        <f t="shared" ref="E85:E96" si="4">C85+D85</f>
        <v>10000000</v>
      </c>
      <c r="F85" s="18">
        <f t="shared" ref="F85:F96" si="5">-D85</f>
        <v>0</v>
      </c>
    </row>
    <row r="86" spans="2:6" ht="21.75" customHeight="1">
      <c r="B86" s="187" t="s">
        <v>58</v>
      </c>
      <c r="C86" s="51">
        <f>'[1]修正BS(貸方) '!E36</f>
        <v>10000000</v>
      </c>
      <c r="D86" s="20"/>
      <c r="E86" s="21">
        <f t="shared" si="4"/>
        <v>10000000</v>
      </c>
      <c r="F86" s="21">
        <f t="shared" si="5"/>
        <v>0</v>
      </c>
    </row>
    <row r="87" spans="2:6" ht="21.75" customHeight="1">
      <c r="B87" s="187"/>
      <c r="C87" s="20"/>
      <c r="D87" s="20"/>
      <c r="E87" s="21">
        <f t="shared" si="4"/>
        <v>0</v>
      </c>
      <c r="F87" s="21">
        <f t="shared" si="5"/>
        <v>0</v>
      </c>
    </row>
    <row r="88" spans="2:6" ht="21.75" customHeight="1">
      <c r="B88" s="182" t="s">
        <v>59</v>
      </c>
      <c r="C88" s="106">
        <v>0</v>
      </c>
      <c r="D88" s="183">
        <v>0</v>
      </c>
      <c r="E88" s="116">
        <f t="shared" si="4"/>
        <v>0</v>
      </c>
      <c r="F88" s="116">
        <f t="shared" si="5"/>
        <v>0</v>
      </c>
    </row>
    <row r="89" spans="2:6" ht="22.5" customHeight="1">
      <c r="B89" s="182" t="s">
        <v>60</v>
      </c>
      <c r="C89" s="106">
        <f>SUM(C90:C91)</f>
        <v>323535909</v>
      </c>
      <c r="D89" s="183">
        <f>SUM(D90:D91)</f>
        <v>0</v>
      </c>
      <c r="E89" s="116">
        <f t="shared" si="4"/>
        <v>323535909</v>
      </c>
      <c r="F89" s="116">
        <f t="shared" si="5"/>
        <v>0</v>
      </c>
    </row>
    <row r="90" spans="2:6" ht="22.5" customHeight="1">
      <c r="B90" s="187" t="s">
        <v>61</v>
      </c>
      <c r="C90" s="51">
        <f>'[1]修正BS(貸方) '!E44</f>
        <v>323535909</v>
      </c>
      <c r="D90" s="20"/>
      <c r="E90" s="21">
        <f t="shared" si="4"/>
        <v>323535909</v>
      </c>
      <c r="F90" s="21">
        <f t="shared" si="5"/>
        <v>0</v>
      </c>
    </row>
    <row r="91" spans="2:6" ht="22.5" customHeight="1">
      <c r="B91" s="187"/>
      <c r="C91" s="20"/>
      <c r="D91" s="20"/>
      <c r="E91" s="21">
        <f t="shared" si="4"/>
        <v>0</v>
      </c>
      <c r="F91" s="21">
        <f t="shared" si="5"/>
        <v>0</v>
      </c>
    </row>
    <row r="92" spans="2:6" ht="22.5" customHeight="1">
      <c r="B92" s="74" t="s">
        <v>62</v>
      </c>
      <c r="C92" s="106">
        <v>0</v>
      </c>
      <c r="D92" s="183">
        <v>0</v>
      </c>
      <c r="E92" s="116">
        <f t="shared" si="4"/>
        <v>0</v>
      </c>
      <c r="F92" s="116">
        <f t="shared" si="5"/>
        <v>0</v>
      </c>
    </row>
    <row r="93" spans="2:6" ht="22.5" customHeight="1">
      <c r="B93" s="74" t="s">
        <v>183</v>
      </c>
      <c r="C93" s="106">
        <f>'[1]修正BS(貸方) '!E49</f>
        <v>201000</v>
      </c>
      <c r="D93" s="183"/>
      <c r="E93" s="116">
        <f t="shared" si="4"/>
        <v>201000</v>
      </c>
      <c r="F93" s="116">
        <f t="shared" si="5"/>
        <v>0</v>
      </c>
    </row>
    <row r="94" spans="2:6" ht="22.5" customHeight="1">
      <c r="B94" s="74" t="s">
        <v>554</v>
      </c>
      <c r="C94" s="106">
        <v>0</v>
      </c>
      <c r="D94" s="183">
        <f>分割後BS!D61-D82</f>
        <v>-326058131</v>
      </c>
      <c r="E94" s="116">
        <f t="shared" si="4"/>
        <v>-326058131</v>
      </c>
      <c r="F94" s="116">
        <f t="shared" si="5"/>
        <v>326058131</v>
      </c>
    </row>
    <row r="95" spans="2:6" ht="22.5" customHeight="1">
      <c r="B95" s="190" t="s">
        <v>63</v>
      </c>
      <c r="C95" s="191">
        <f>C85+C88+C89+C92+C93+C94</f>
        <v>333736909</v>
      </c>
      <c r="D95" s="191">
        <f>D85+D88+D89+D92+D93+D94</f>
        <v>-326058131</v>
      </c>
      <c r="E95" s="192">
        <f t="shared" si="4"/>
        <v>7678778</v>
      </c>
      <c r="F95" s="192">
        <f t="shared" si="5"/>
        <v>326058131</v>
      </c>
    </row>
    <row r="96" spans="2:6" ht="22.5" customHeight="1" thickBot="1">
      <c r="B96" s="193" t="s">
        <v>64</v>
      </c>
      <c r="C96" s="194">
        <f>C82+C95</f>
        <v>550208542</v>
      </c>
      <c r="D96" s="194">
        <f>D82+D95</f>
        <v>-326058131</v>
      </c>
      <c r="E96" s="195">
        <f t="shared" si="4"/>
        <v>224150411</v>
      </c>
      <c r="F96" s="195">
        <f t="shared" si="5"/>
        <v>326058131</v>
      </c>
    </row>
    <row r="97" spans="2:6" ht="18" customHeight="1">
      <c r="C97" s="141"/>
      <c r="D97" s="141"/>
      <c r="E97" s="141"/>
    </row>
    <row r="98" spans="2:6" ht="18" customHeight="1" thickBot="1">
      <c r="B98" s="4" t="s">
        <v>42</v>
      </c>
      <c r="C98" s="139" t="b">
        <f>ROUND(C96,0)=ROUND(C61,0)</f>
        <v>1</v>
      </c>
      <c r="D98" s="139" t="b">
        <f>ROUND(D96,0)=ROUND(D61,0)</f>
        <v>1</v>
      </c>
      <c r="E98" s="139" t="b">
        <f>ROUND(E96,0)=ROUND(E61,0)</f>
        <v>1</v>
      </c>
      <c r="F98" s="139" t="b">
        <f>ROUND(F96,0)=ROUND(F61,0)</f>
        <v>1</v>
      </c>
    </row>
    <row r="99" spans="2:6" ht="18" customHeight="1">
      <c r="C99" s="141"/>
      <c r="D99" s="141"/>
      <c r="E99" s="141"/>
    </row>
    <row r="100" spans="2:6" ht="18" customHeight="1">
      <c r="C100" s="141"/>
      <c r="D100" s="141"/>
      <c r="E100" s="141"/>
    </row>
    <row r="101" spans="2:6" ht="18" customHeight="1">
      <c r="B101" s="570" t="s">
        <v>555</v>
      </c>
      <c r="C101" s="141"/>
      <c r="D101" s="141"/>
      <c r="E101" s="141"/>
    </row>
    <row r="102" spans="2:6" ht="18" customHeight="1">
      <c r="B102" s="19" t="s">
        <v>556</v>
      </c>
      <c r="C102" s="141"/>
      <c r="D102" s="141"/>
      <c r="E102" s="141"/>
    </row>
    <row r="103" spans="2:6" ht="18" customHeight="1">
      <c r="B103" s="19" t="s">
        <v>557</v>
      </c>
      <c r="C103" s="141"/>
      <c r="D103" s="141"/>
      <c r="E103" s="141"/>
    </row>
    <row r="104" spans="2:6" ht="18" customHeight="1">
      <c r="B104" s="19" t="s">
        <v>558</v>
      </c>
      <c r="C104" s="141"/>
      <c r="D104" s="141"/>
      <c r="E104" s="141"/>
    </row>
    <row r="105" spans="2:6" ht="18" customHeight="1">
      <c r="B105" s="19" t="s">
        <v>559</v>
      </c>
      <c r="C105" s="141"/>
      <c r="D105" s="141"/>
      <c r="E105" s="141"/>
    </row>
    <row r="106" spans="2:6" ht="18" customHeight="1">
      <c r="B106" s="19" t="s">
        <v>560</v>
      </c>
      <c r="C106" s="141"/>
      <c r="D106" s="141"/>
      <c r="E106" s="141"/>
    </row>
    <row r="107" spans="2:6" ht="18" customHeight="1">
      <c r="B107" s="19" t="s">
        <v>561</v>
      </c>
      <c r="C107" s="141"/>
      <c r="D107" s="141"/>
      <c r="E107" s="141"/>
    </row>
    <row r="108" spans="2:6" ht="18" customHeight="1">
      <c r="B108" s="570" t="s">
        <v>562</v>
      </c>
      <c r="C108" s="141"/>
      <c r="D108" s="141"/>
      <c r="E108" s="141"/>
    </row>
    <row r="109" spans="2:6" ht="18" customHeight="1">
      <c r="B109" s="19" t="s">
        <v>563</v>
      </c>
      <c r="C109" s="142"/>
      <c r="D109" s="142"/>
      <c r="E109" s="142"/>
    </row>
    <row r="110" spans="2:6" ht="18" customHeight="1">
      <c r="B110" s="19" t="s">
        <v>564</v>
      </c>
      <c r="C110" s="142"/>
      <c r="D110" s="142"/>
      <c r="E110" s="142"/>
    </row>
    <row r="111" spans="2:6" ht="18" customHeight="1">
      <c r="B111" s="19" t="s">
        <v>565</v>
      </c>
      <c r="C111" s="142"/>
      <c r="D111" s="142"/>
      <c r="E111" s="142"/>
    </row>
    <row r="112" spans="2:6" ht="18" customHeight="1">
      <c r="B112" s="19" t="s">
        <v>566</v>
      </c>
      <c r="C112" s="142"/>
      <c r="D112" s="142"/>
      <c r="E112" s="142"/>
    </row>
    <row r="113" spans="2:5" ht="18" customHeight="1">
      <c r="B113" s="570" t="s">
        <v>567</v>
      </c>
      <c r="C113" s="142"/>
      <c r="D113" s="142"/>
      <c r="E113" s="142"/>
    </row>
    <row r="114" spans="2:5" ht="18" customHeight="1">
      <c r="B114" s="19" t="s">
        <v>568</v>
      </c>
      <c r="C114" s="142"/>
      <c r="D114" s="142"/>
      <c r="E114" s="142"/>
    </row>
    <row r="115" spans="2:5" ht="18" customHeight="1">
      <c r="B115" s="19" t="s">
        <v>569</v>
      </c>
      <c r="C115" s="142"/>
      <c r="D115" s="142"/>
      <c r="E115" s="142"/>
    </row>
    <row r="116" spans="2:5" ht="18" customHeight="1">
      <c r="C116" s="142"/>
      <c r="D116" s="142"/>
      <c r="E116" s="142"/>
    </row>
    <row r="117" spans="2:5" ht="18" customHeight="1">
      <c r="C117" s="142"/>
      <c r="D117" s="142"/>
      <c r="E117" s="142"/>
    </row>
    <row r="118" spans="2:5" ht="18" customHeight="1">
      <c r="C118" s="142"/>
      <c r="D118" s="142"/>
      <c r="E118" s="142"/>
    </row>
    <row r="119" spans="2:5" ht="18" customHeight="1">
      <c r="C119" s="142"/>
      <c r="D119" s="142"/>
      <c r="E119" s="142"/>
    </row>
  </sheetData>
  <mergeCells count="3">
    <mergeCell ref="B3:E3"/>
    <mergeCell ref="B64:F64"/>
    <mergeCell ref="B84:F84"/>
  </mergeCells>
  <phoneticPr fontId="60"/>
  <pageMargins left="0.7" right="0.7" top="0.75" bottom="0.75" header="0.511811023622047" footer="0.511811023622047"/>
  <pageSetup paperSize="9" orientation="portrait" horizontalDpi="300" verticalDpi="300"/>
  <legacy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F0"/>
  </sheetPr>
  <dimension ref="B2:E19"/>
  <sheetViews>
    <sheetView showGridLines="0" zoomScaleNormal="100" workbookViewId="0">
      <selection activeCell="E12" sqref="E12"/>
    </sheetView>
  </sheetViews>
  <sheetFormatPr defaultColWidth="8.5" defaultRowHeight="18"/>
  <cols>
    <col min="2" max="2" width="36.6640625" style="23" customWidth="1"/>
    <col min="3" max="3" width="18.6640625" style="23" customWidth="1"/>
    <col min="4" max="4" width="55.1640625" style="23" customWidth="1"/>
    <col min="5" max="5" width="18.6640625" style="23" customWidth="1"/>
  </cols>
  <sheetData>
    <row r="2" spans="2:5" ht="18.75" customHeight="1">
      <c r="E2" s="39" t="s">
        <v>43</v>
      </c>
    </row>
    <row r="3" spans="2:5" ht="21.75" customHeight="1">
      <c r="B3" s="3" t="s">
        <v>256</v>
      </c>
      <c r="C3" s="174" t="s">
        <v>257</v>
      </c>
      <c r="D3" s="174" t="s">
        <v>258</v>
      </c>
      <c r="E3" s="228" t="s">
        <v>259</v>
      </c>
    </row>
    <row r="4" spans="2:5" ht="31.5" customHeight="1">
      <c r="B4" s="145" t="s">
        <v>260</v>
      </c>
      <c r="C4" s="229" t="s">
        <v>261</v>
      </c>
      <c r="D4" s="229" t="s">
        <v>262</v>
      </c>
      <c r="E4" s="230"/>
    </row>
    <row r="5" spans="2:5" ht="31.5" customHeight="1">
      <c r="B5" s="115" t="s">
        <v>263</v>
      </c>
      <c r="C5" s="231" t="s">
        <v>264</v>
      </c>
      <c r="D5" s="231" t="s">
        <v>265</v>
      </c>
      <c r="E5" s="232"/>
    </row>
    <row r="6" spans="2:5" ht="31.5" customHeight="1">
      <c r="B6" s="115" t="s">
        <v>266</v>
      </c>
      <c r="C6" s="231" t="s">
        <v>267</v>
      </c>
      <c r="D6" s="231" t="s">
        <v>268</v>
      </c>
      <c r="E6" s="232"/>
    </row>
    <row r="7" spans="2:5" ht="31.5" customHeight="1">
      <c r="B7" s="115" t="s">
        <v>269</v>
      </c>
      <c r="C7" s="231" t="s">
        <v>270</v>
      </c>
      <c r="D7" s="231" t="s">
        <v>271</v>
      </c>
      <c r="E7" s="232"/>
    </row>
    <row r="8" spans="2:5" ht="31.5" customHeight="1">
      <c r="B8" s="115" t="s">
        <v>272</v>
      </c>
      <c r="C8" s="231" t="s">
        <v>273</v>
      </c>
      <c r="D8" s="233" t="s">
        <v>274</v>
      </c>
      <c r="E8" s="232"/>
    </row>
    <row r="9" spans="2:5" ht="31.5" customHeight="1">
      <c r="B9" s="115" t="s">
        <v>275</v>
      </c>
      <c r="C9" s="231" t="s">
        <v>276</v>
      </c>
      <c r="D9" s="231" t="s">
        <v>277</v>
      </c>
      <c r="E9" s="232"/>
    </row>
    <row r="10" spans="2:5" ht="31.5" customHeight="1">
      <c r="B10" s="115" t="s">
        <v>278</v>
      </c>
      <c r="C10" s="231" t="s">
        <v>273</v>
      </c>
      <c r="D10" s="231" t="s">
        <v>279</v>
      </c>
      <c r="E10" s="232"/>
    </row>
    <row r="11" spans="2:5" ht="31.5" customHeight="1">
      <c r="B11" s="115" t="s">
        <v>280</v>
      </c>
      <c r="C11" s="231" t="s">
        <v>281</v>
      </c>
      <c r="D11" s="231" t="s">
        <v>282</v>
      </c>
      <c r="E11" s="232"/>
    </row>
    <row r="12" spans="2:5" ht="31.5" customHeight="1">
      <c r="B12" s="115" t="s">
        <v>283</v>
      </c>
      <c r="C12" s="231" t="s">
        <v>270</v>
      </c>
      <c r="D12" s="231" t="s">
        <v>284</v>
      </c>
      <c r="E12" s="232"/>
    </row>
    <row r="13" spans="2:5" ht="31.5" customHeight="1">
      <c r="B13" s="124" t="s">
        <v>285</v>
      </c>
      <c r="C13" s="234" t="s">
        <v>261</v>
      </c>
      <c r="D13" s="234" t="s">
        <v>286</v>
      </c>
      <c r="E13" s="235"/>
    </row>
    <row r="14" spans="2:5" ht="31.5" customHeight="1">
      <c r="B14" s="236"/>
      <c r="C14" s="236"/>
      <c r="D14" s="237" t="s">
        <v>287</v>
      </c>
      <c r="E14" s="238" t="str">
        <f>IFERROR(AVERAGE(E4:E13),"-")</f>
        <v>-</v>
      </c>
    </row>
    <row r="15" spans="2:5" ht="31.5" customHeight="1">
      <c r="B15" s="239"/>
      <c r="C15" s="239"/>
      <c r="D15" s="240" t="s">
        <v>288</v>
      </c>
      <c r="E15" s="241" t="str">
        <f>IFERROR(MEDIAN(E4:E13),"-")</f>
        <v>-</v>
      </c>
    </row>
    <row r="16" spans="2:5" ht="31.5" customHeight="1"/>
    <row r="17" spans="2:2" ht="31.5" customHeight="1">
      <c r="B17" s="201" t="s">
        <v>289</v>
      </c>
    </row>
    <row r="18" spans="2:2" ht="15" customHeight="1">
      <c r="B18" s="201" t="s">
        <v>290</v>
      </c>
    </row>
    <row r="19" spans="2:2" ht="31.5" customHeight="1"/>
  </sheetData>
  <phoneticPr fontId="60"/>
  <pageMargins left="0.7" right="0.7" top="0.75" bottom="0.75"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44464"/>
  </sheetPr>
  <dimension ref="A1"/>
  <sheetViews>
    <sheetView showGridLines="0" topLeftCell="M1" zoomScaleNormal="100" workbookViewId="0">
      <selection activeCell="C22" sqref="C22"/>
    </sheetView>
  </sheetViews>
  <sheetFormatPr defaultColWidth="8.5" defaultRowHeight="18"/>
  <sheetData/>
  <phoneticPr fontId="60"/>
  <pageMargins left="0.7" right="0.7" top="0.75" bottom="0.75"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2:C16"/>
  <sheetViews>
    <sheetView showGridLines="0" topLeftCell="A9" zoomScaleNormal="100" workbookViewId="0">
      <selection activeCell="C16" sqref="C16"/>
    </sheetView>
  </sheetViews>
  <sheetFormatPr defaultColWidth="8.75" defaultRowHeight="18"/>
  <cols>
    <col min="1" max="1" width="8.75" style="242"/>
    <col min="2" max="2" width="17.1640625" style="242" customWidth="1"/>
    <col min="3" max="3" width="58.75" style="242" customWidth="1"/>
    <col min="4" max="16384" width="8.75" style="242"/>
  </cols>
  <sheetData>
    <row r="2" spans="2:3" ht="19.5" customHeight="1">
      <c r="B2" s="204" t="s">
        <v>291</v>
      </c>
      <c r="C2" s="228" t="s">
        <v>292</v>
      </c>
    </row>
    <row r="3" spans="2:3" ht="22.5" customHeight="1">
      <c r="B3" s="227" t="s">
        <v>293</v>
      </c>
      <c r="C3" s="550" t="s">
        <v>294</v>
      </c>
    </row>
    <row r="4" spans="2:3" ht="22.5" customHeight="1">
      <c r="B4" s="526" t="s">
        <v>295</v>
      </c>
      <c r="C4" s="246" t="s">
        <v>296</v>
      </c>
    </row>
    <row r="5" spans="2:3" ht="22.5" customHeight="1">
      <c r="B5" s="526" t="s">
        <v>581</v>
      </c>
      <c r="C5" s="246" t="s">
        <v>582</v>
      </c>
    </row>
    <row r="6" spans="2:3" ht="22.5" customHeight="1">
      <c r="B6" s="526" t="s">
        <v>58</v>
      </c>
      <c r="C6" s="246" t="s">
        <v>580</v>
      </c>
    </row>
    <row r="7" spans="2:3" ht="22.5" customHeight="1">
      <c r="B7" s="526" t="s">
        <v>297</v>
      </c>
      <c r="C7" s="246" t="s">
        <v>583</v>
      </c>
    </row>
    <row r="8" spans="2:3" ht="20">
      <c r="B8" s="526" t="s">
        <v>585</v>
      </c>
      <c r="C8" s="583" t="s">
        <v>584</v>
      </c>
    </row>
    <row r="9" spans="2:3" ht="60">
      <c r="B9" s="526" t="s">
        <v>258</v>
      </c>
      <c r="C9" s="583" t="s">
        <v>587</v>
      </c>
    </row>
    <row r="10" spans="2:3" ht="22.5" customHeight="1">
      <c r="B10" s="526" t="s">
        <v>298</v>
      </c>
      <c r="C10" s="246" t="s">
        <v>588</v>
      </c>
    </row>
    <row r="11" spans="2:3" ht="40">
      <c r="B11" s="526" t="s">
        <v>68</v>
      </c>
      <c r="C11" s="583" t="s">
        <v>589</v>
      </c>
    </row>
    <row r="12" spans="2:3" ht="40">
      <c r="B12" s="526" t="s">
        <v>299</v>
      </c>
      <c r="C12" s="583" t="s">
        <v>590</v>
      </c>
    </row>
    <row r="13" spans="2:3" ht="22.5" customHeight="1">
      <c r="B13" s="526" t="s">
        <v>300</v>
      </c>
      <c r="C13" s="246" t="s">
        <v>591</v>
      </c>
    </row>
    <row r="16" spans="2:3" ht="144">
      <c r="C16" s="584" t="s">
        <v>586</v>
      </c>
    </row>
  </sheetData>
  <phoneticPr fontId="60"/>
  <pageMargins left="0.7" right="0.7" top="0.75" bottom="0.75" header="0.511811023622047" footer="0.511811023622047"/>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2:I47"/>
  <sheetViews>
    <sheetView showGridLines="0" topLeftCell="A5" zoomScale="107" zoomScaleNormal="107" workbookViewId="0">
      <selection activeCell="D21" sqref="D21"/>
    </sheetView>
  </sheetViews>
  <sheetFormatPr defaultColWidth="8.75" defaultRowHeight="18"/>
  <cols>
    <col min="1" max="1" width="8.75" style="242"/>
    <col min="2" max="2" width="24" style="242" customWidth="1"/>
    <col min="3" max="7" width="19.75" style="242" customWidth="1"/>
    <col min="8" max="16384" width="8.75" style="242"/>
  </cols>
  <sheetData>
    <row r="2" spans="2:9" ht="18.75" customHeight="1">
      <c r="E2" s="39" t="s">
        <v>527</v>
      </c>
    </row>
    <row r="3" spans="2:9" ht="19.5" customHeight="1">
      <c r="B3" s="247"/>
      <c r="C3" s="248" t="s">
        <v>595</v>
      </c>
      <c r="D3" s="248" t="s">
        <v>596</v>
      </c>
      <c r="E3" s="248" t="s">
        <v>597</v>
      </c>
      <c r="F3" s="248" t="s">
        <v>594</v>
      </c>
      <c r="G3" s="586" t="s">
        <v>304</v>
      </c>
    </row>
    <row r="4" spans="2:9" ht="22.5" customHeight="1">
      <c r="B4" s="524" t="s">
        <v>68</v>
      </c>
      <c r="C4" s="499">
        <f>PL!C11</f>
        <v>316755490</v>
      </c>
      <c r="D4" s="499">
        <f>PL!E11</f>
        <v>443868051</v>
      </c>
      <c r="E4" s="499">
        <f>PL!G11</f>
        <v>422474507</v>
      </c>
      <c r="F4" s="499">
        <f>PL!I11</f>
        <v>0</v>
      </c>
      <c r="G4" s="499">
        <f>PL!K11</f>
        <v>0</v>
      </c>
      <c r="I4" s="249"/>
    </row>
    <row r="5" spans="2:9" s="250" customFormat="1" ht="22.5" customHeight="1">
      <c r="B5" s="587" t="s">
        <v>305</v>
      </c>
      <c r="C5" s="588" t="s">
        <v>106</v>
      </c>
      <c r="D5" s="588">
        <f>IFERROR(D4/C4,"")</f>
        <v>1.4012955260854358</v>
      </c>
      <c r="E5" s="588">
        <f>IFERROR(E4/D4,"")</f>
        <v>0.95180201874903581</v>
      </c>
      <c r="F5" s="588">
        <f>IFERROR(F4/E4,"")</f>
        <v>0</v>
      </c>
      <c r="G5" s="588" t="s">
        <v>106</v>
      </c>
    </row>
    <row r="6" spans="2:9" ht="22.5" customHeight="1">
      <c r="B6" s="189" t="s">
        <v>80</v>
      </c>
      <c r="C6" s="402">
        <f>PL!C22</f>
        <v>103555273</v>
      </c>
      <c r="D6" s="402">
        <f>PL!E22</f>
        <v>178926351</v>
      </c>
      <c r="E6" s="402">
        <f>PL!G22</f>
        <v>150803272</v>
      </c>
      <c r="F6" s="402">
        <f>PL!I22</f>
        <v>0</v>
      </c>
      <c r="G6" s="402">
        <f>PL!K22</f>
        <v>0</v>
      </c>
    </row>
    <row r="7" spans="2:9" s="250" customFormat="1" ht="22.5" customHeight="1">
      <c r="B7" s="587" t="s">
        <v>306</v>
      </c>
      <c r="C7" s="588">
        <f>IFERROR(C6/C4,"")</f>
        <v>0.32692495085089135</v>
      </c>
      <c r="D7" s="588">
        <f>IFERROR(D6/D4,"")</f>
        <v>0.40310707336762114</v>
      </c>
      <c r="E7" s="588">
        <f>IFERROR(E6/E4,"")</f>
        <v>0.3569523592579753</v>
      </c>
      <c r="F7" s="588" t="str">
        <f>IFERROR(F6/F4,"")</f>
        <v/>
      </c>
      <c r="G7" s="588" t="str">
        <f>IFERROR(G6/G4,"")</f>
        <v/>
      </c>
    </row>
    <row r="8" spans="2:9" ht="22.5" customHeight="1">
      <c r="B8" s="189" t="s">
        <v>82</v>
      </c>
      <c r="C8" s="402">
        <f>PL!C24</f>
        <v>6159294</v>
      </c>
      <c r="D8" s="402">
        <f>PL!E24</f>
        <v>78190765</v>
      </c>
      <c r="E8" s="402">
        <f>PL!G24</f>
        <v>58513810</v>
      </c>
      <c r="F8" s="402">
        <f>PL!I24</f>
        <v>0</v>
      </c>
      <c r="G8" s="460">
        <f>PL!K24</f>
        <v>0</v>
      </c>
    </row>
    <row r="9" spans="2:9" s="250" customFormat="1" ht="22.5" customHeight="1">
      <c r="B9" s="587" t="s">
        <v>306</v>
      </c>
      <c r="C9" s="588">
        <f>IFERROR(C8/C4,"")</f>
        <v>1.9444947899719119E-2</v>
      </c>
      <c r="D9" s="588">
        <f>IFERROR(D8/D4,"")</f>
        <v>0.17615767754368067</v>
      </c>
      <c r="E9" s="588">
        <f>IFERROR(E8/E4,"")</f>
        <v>0.13850258188478104</v>
      </c>
      <c r="F9" s="588" t="str">
        <f>IFERROR(F8/F4,"")</f>
        <v/>
      </c>
      <c r="G9" s="588" t="str">
        <f>IFERROR(G8/G4,"")</f>
        <v/>
      </c>
    </row>
    <row r="10" spans="2:9" ht="22.5" customHeight="1">
      <c r="B10" s="189" t="s">
        <v>93</v>
      </c>
      <c r="C10" s="402">
        <f>PL!C41</f>
        <v>6665569</v>
      </c>
      <c r="D10" s="402">
        <f>PL!E41</f>
        <v>89928661</v>
      </c>
      <c r="E10" s="402">
        <f>PL!G41</f>
        <v>64943069</v>
      </c>
      <c r="F10" s="402">
        <f>PL!I41</f>
        <v>0</v>
      </c>
      <c r="G10" s="460">
        <f>PL!K41</f>
        <v>0</v>
      </c>
    </row>
    <row r="11" spans="2:9" s="250" customFormat="1" ht="22.5" customHeight="1">
      <c r="B11" s="587" t="s">
        <v>306</v>
      </c>
      <c r="C11" s="588">
        <f>IFERROR(C10/C4,"")</f>
        <v>2.1043262738713701E-2</v>
      </c>
      <c r="D11" s="588">
        <f>IFERROR(D10/D4,"")</f>
        <v>0.20260223910551292</v>
      </c>
      <c r="E11" s="588">
        <f>IFERROR(E10/E4,"")</f>
        <v>0.1537206811865692</v>
      </c>
      <c r="F11" s="588" t="str">
        <f>IFERROR(F10/F4,"")</f>
        <v/>
      </c>
      <c r="G11" s="588" t="str">
        <f>IFERROR(G10/G4,"")</f>
        <v/>
      </c>
    </row>
    <row r="12" spans="2:9" ht="22.5" customHeight="1">
      <c r="B12" s="189" t="s">
        <v>103</v>
      </c>
      <c r="C12" s="402">
        <f>PL!C61</f>
        <v>-5170180</v>
      </c>
      <c r="D12" s="402">
        <f>PL!E61</f>
        <v>40557756</v>
      </c>
      <c r="E12" s="402">
        <f>PL!G61</f>
        <v>37630176</v>
      </c>
      <c r="F12" s="402">
        <f>PL!I61</f>
        <v>0</v>
      </c>
      <c r="G12" s="460">
        <f>PL!K61</f>
        <v>0</v>
      </c>
    </row>
    <row r="13" spans="2:9" s="250" customFormat="1" ht="22.5" customHeight="1">
      <c r="B13" s="587" t="s">
        <v>306</v>
      </c>
      <c r="C13" s="588">
        <f>IFERROR(C12/C4,"")</f>
        <v>-1.6322305889631149E-2</v>
      </c>
      <c r="D13" s="588">
        <f>IFERROR(D12/D4,"")</f>
        <v>9.1373451881987339E-2</v>
      </c>
      <c r="E13" s="588">
        <f>IFERROR(E12/E4,"")</f>
        <v>8.9070879725294289E-2</v>
      </c>
      <c r="F13" s="588" t="str">
        <f>IFERROR(F12/F4,"")</f>
        <v/>
      </c>
      <c r="G13" s="588" t="str">
        <f>IFERROR(G12/G4,"")</f>
        <v/>
      </c>
    </row>
    <row r="14" spans="2:9" ht="14.25" customHeight="1">
      <c r="C14" s="409"/>
      <c r="D14" s="409"/>
      <c r="E14" s="409"/>
      <c r="F14" s="409"/>
      <c r="G14" s="409"/>
    </row>
    <row r="15" spans="2:9" ht="22.5" customHeight="1">
      <c r="B15" s="526" t="s">
        <v>144</v>
      </c>
      <c r="C15" s="589">
        <v>881300</v>
      </c>
      <c r="D15" s="589">
        <v>644524</v>
      </c>
      <c r="E15" s="589">
        <v>1182673</v>
      </c>
      <c r="F15" s="589">
        <v>0</v>
      </c>
      <c r="G15" s="589">
        <v>0</v>
      </c>
    </row>
    <row r="16" spans="2:9" ht="15" customHeight="1">
      <c r="C16" s="415"/>
      <c r="D16" s="415"/>
      <c r="E16" s="415"/>
      <c r="F16" s="415"/>
      <c r="G16" s="415"/>
    </row>
    <row r="17" spans="2:7" ht="19.5" customHeight="1">
      <c r="B17" s="451" t="s">
        <v>307</v>
      </c>
      <c r="C17" s="590">
        <f>SUM(C18:C26)</f>
        <v>-1510092</v>
      </c>
      <c r="D17" s="590">
        <f>SUM(D18:D26)</f>
        <v>-11594608</v>
      </c>
      <c r="E17" s="590">
        <f>SUM(E18:E26)</f>
        <v>-13819002</v>
      </c>
      <c r="F17" s="590">
        <f>SUM(F18:F26)</f>
        <v>0</v>
      </c>
      <c r="G17" s="590">
        <f>SUM(G18:G26)</f>
        <v>0</v>
      </c>
    </row>
    <row r="18" spans="2:7" ht="22.5" customHeight="1">
      <c r="B18" s="591" t="s">
        <v>598</v>
      </c>
      <c r="C18" s="592">
        <f>-修正SGA!D8</f>
        <v>2538750</v>
      </c>
      <c r="D18" s="592">
        <f>-修正SGA!G8</f>
        <v>2990000</v>
      </c>
      <c r="E18" s="592">
        <f>-修正SGA!J5</f>
        <v>2990000</v>
      </c>
      <c r="F18" s="592"/>
      <c r="G18" s="592"/>
    </row>
    <row r="19" spans="2:7" ht="22.5" customHeight="1">
      <c r="B19" s="593" t="s">
        <v>308</v>
      </c>
      <c r="C19" s="594">
        <f>-修正SGA!D10</f>
        <v>380812</v>
      </c>
      <c r="D19" s="594">
        <f>-修正SGA!G10</f>
        <v>448500</v>
      </c>
      <c r="E19" s="594">
        <f>-修正SGA!J10</f>
        <v>448500</v>
      </c>
    </row>
    <row r="20" spans="2:7" ht="22.5" customHeight="1">
      <c r="B20" s="593" t="s">
        <v>145</v>
      </c>
      <c r="C20" s="594">
        <f>SGA!C35</f>
        <v>803000</v>
      </c>
      <c r="D20" s="594">
        <f>SGA!E35</f>
        <v>246000</v>
      </c>
      <c r="E20" s="594">
        <f>SGA!G35</f>
        <v>201000</v>
      </c>
      <c r="F20" s="594"/>
      <c r="G20" s="594"/>
    </row>
    <row r="21" spans="2:7" ht="22.5" customHeight="1">
      <c r="B21" s="593" t="s">
        <v>142</v>
      </c>
      <c r="C21" s="594">
        <f>SGA!C32</f>
        <v>50000</v>
      </c>
      <c r="D21" s="594">
        <f>SGA!E32</f>
        <v>200000</v>
      </c>
      <c r="E21" s="594">
        <f>SGA!G32</f>
        <v>50000</v>
      </c>
      <c r="F21" s="594"/>
      <c r="G21" s="594"/>
    </row>
    <row r="22" spans="2:7" ht="40">
      <c r="B22" s="607" t="s">
        <v>599</v>
      </c>
      <c r="C22" s="594">
        <f>PL!C19</f>
        <v>-6722798</v>
      </c>
      <c r="D22" s="594">
        <f>PL!E19</f>
        <v>-17217311</v>
      </c>
      <c r="E22" s="594">
        <f>PL!G19</f>
        <v>-19844732</v>
      </c>
      <c r="F22" s="594"/>
      <c r="G22" s="594"/>
    </row>
    <row r="23" spans="2:7" ht="22.5" customHeight="1">
      <c r="B23" s="593" t="s">
        <v>126</v>
      </c>
      <c r="C23" s="594">
        <f>-修正SGA!D15</f>
        <v>1440144</v>
      </c>
      <c r="D23" s="594">
        <f>-修正SGA!G15</f>
        <v>1738203</v>
      </c>
      <c r="E23" s="594">
        <f>-修正SGA!J15</f>
        <v>2336230</v>
      </c>
      <c r="F23" s="594"/>
      <c r="G23" s="594"/>
    </row>
    <row r="24" spans="2:7" ht="22.5" hidden="1" customHeight="1">
      <c r="B24" s="593"/>
      <c r="C24" s="594"/>
      <c r="D24" s="594"/>
      <c r="E24" s="594"/>
      <c r="F24" s="594"/>
      <c r="G24" s="594"/>
    </row>
    <row r="25" spans="2:7" ht="22.5" hidden="1" customHeight="1">
      <c r="B25" s="593"/>
      <c r="C25" s="594"/>
      <c r="D25" s="594"/>
      <c r="E25" s="594"/>
      <c r="F25" s="594"/>
      <c r="G25" s="594"/>
    </row>
    <row r="26" spans="2:7" ht="22.5" hidden="1" customHeight="1">
      <c r="B26" s="251"/>
      <c r="C26" s="595"/>
      <c r="D26" s="595"/>
      <c r="E26" s="595"/>
      <c r="F26" s="595"/>
      <c r="G26" s="595"/>
    </row>
    <row r="27" spans="2:7" ht="22.5" hidden="1" customHeight="1">
      <c r="B27" s="252"/>
      <c r="C27" s="402"/>
      <c r="D27" s="402"/>
      <c r="E27" s="402"/>
      <c r="F27" s="402"/>
      <c r="G27" s="402"/>
    </row>
    <row r="28" spans="2:7" ht="22.5" hidden="1" customHeight="1">
      <c r="B28" s="252"/>
      <c r="C28" s="402"/>
      <c r="D28" s="402"/>
      <c r="E28" s="402"/>
      <c r="F28" s="402"/>
      <c r="G28" s="402"/>
    </row>
    <row r="29" spans="2:7" ht="22.5" hidden="1" customHeight="1">
      <c r="B29" s="252"/>
      <c r="C29" s="402"/>
      <c r="D29" s="402"/>
      <c r="E29" s="402"/>
      <c r="F29" s="402"/>
      <c r="G29" s="402"/>
    </row>
    <row r="30" spans="2:7" ht="22.5" hidden="1" customHeight="1">
      <c r="B30" s="252"/>
      <c r="C30" s="402"/>
      <c r="D30" s="402"/>
      <c r="E30" s="449"/>
      <c r="F30" s="449"/>
      <c r="G30" s="449"/>
    </row>
    <row r="31" spans="2:7" ht="22.5" hidden="1" customHeight="1">
      <c r="B31" s="252"/>
      <c r="C31" s="402"/>
      <c r="D31" s="402"/>
      <c r="E31" s="449"/>
      <c r="F31" s="449"/>
      <c r="G31" s="449"/>
    </row>
    <row r="32" spans="2:7" ht="22.5" hidden="1" customHeight="1">
      <c r="B32" s="252"/>
      <c r="C32" s="402"/>
      <c r="D32" s="402"/>
      <c r="E32" s="449"/>
      <c r="F32" s="449"/>
      <c r="G32" s="449"/>
    </row>
    <row r="33" spans="2:7" ht="22.5" hidden="1" customHeight="1">
      <c r="B33" s="252"/>
      <c r="C33" s="402"/>
      <c r="D33" s="402"/>
      <c r="E33" s="449"/>
      <c r="F33" s="449"/>
      <c r="G33" s="449"/>
    </row>
    <row r="34" spans="2:7" ht="22.5" hidden="1" customHeight="1">
      <c r="B34" s="252"/>
      <c r="C34" s="402"/>
      <c r="D34" s="402"/>
      <c r="E34" s="449"/>
      <c r="F34" s="449"/>
      <c r="G34" s="449"/>
    </row>
    <row r="35" spans="2:7" ht="15" customHeight="1">
      <c r="C35" s="409"/>
      <c r="D35" s="409"/>
      <c r="E35" s="409"/>
      <c r="F35" s="409"/>
      <c r="G35" s="409"/>
    </row>
    <row r="36" spans="2:7" s="253" customFormat="1" ht="21" customHeight="1">
      <c r="B36" s="596" t="s">
        <v>299</v>
      </c>
      <c r="C36" s="597">
        <f>C8+C15+C17</f>
        <v>5530502</v>
      </c>
      <c r="D36" s="597">
        <f>D8+D15+D17</f>
        <v>67240681</v>
      </c>
      <c r="E36" s="597">
        <f>E8+E15+E17</f>
        <v>45877481</v>
      </c>
      <c r="F36" s="597">
        <f>F8+F15+F17</f>
        <v>0</v>
      </c>
      <c r="G36" s="597">
        <f>G8+G15+G17</f>
        <v>0</v>
      </c>
    </row>
    <row r="37" spans="2:7" ht="19.5" customHeight="1">
      <c r="B37" s="254"/>
      <c r="C37" s="598"/>
      <c r="D37" s="598"/>
      <c r="E37" s="598"/>
      <c r="F37" s="598"/>
      <c r="G37" s="598"/>
    </row>
    <row r="38" spans="2:7" ht="18.75" customHeight="1">
      <c r="C38" s="409"/>
      <c r="D38" s="409"/>
      <c r="E38" s="409"/>
      <c r="F38" s="409"/>
      <c r="G38" s="409"/>
    </row>
    <row r="39" spans="2:7" ht="18.75" customHeight="1">
      <c r="B39" s="255"/>
      <c r="C39" s="256"/>
      <c r="D39" s="257"/>
      <c r="E39" s="257"/>
      <c r="F39" s="257"/>
      <c r="G39" s="257"/>
    </row>
    <row r="40" spans="2:7" ht="18.75" customHeight="1">
      <c r="B40" s="255"/>
      <c r="C40" s="256"/>
      <c r="D40" s="257"/>
      <c r="E40" s="257"/>
      <c r="F40" s="257"/>
      <c r="G40" s="257"/>
    </row>
    <row r="41" spans="2:7" ht="18.75" customHeight="1">
      <c r="B41" s="255"/>
      <c r="C41" s="256"/>
      <c r="D41" s="257"/>
      <c r="E41" s="257"/>
      <c r="F41" s="257"/>
      <c r="G41" s="257"/>
    </row>
    <row r="42" spans="2:7" ht="18.75" customHeight="1">
      <c r="B42" s="255"/>
      <c r="C42" s="256"/>
      <c r="D42" s="257"/>
      <c r="E42" s="257"/>
      <c r="F42" s="257"/>
      <c r="G42" s="257"/>
    </row>
    <row r="43" spans="2:7" ht="18.75" customHeight="1">
      <c r="B43" s="255"/>
      <c r="C43" s="256"/>
      <c r="D43" s="257"/>
      <c r="E43" s="257"/>
      <c r="F43" s="257"/>
      <c r="G43" s="257"/>
    </row>
    <row r="44" spans="2:7" ht="18.75" customHeight="1">
      <c r="B44" s="255"/>
      <c r="C44" s="256"/>
      <c r="D44" s="257"/>
      <c r="E44" s="257"/>
      <c r="F44" s="257"/>
      <c r="G44" s="257"/>
    </row>
    <row r="45" spans="2:7" ht="18.75" customHeight="1">
      <c r="B45" s="255"/>
      <c r="C45" s="256"/>
      <c r="D45" s="257"/>
      <c r="E45" s="257"/>
      <c r="F45" s="257"/>
      <c r="G45" s="257"/>
    </row>
    <row r="46" spans="2:7" ht="18.75" customHeight="1">
      <c r="B46" s="255"/>
      <c r="C46" s="258"/>
      <c r="D46" s="255"/>
      <c r="E46" s="255"/>
      <c r="F46" s="255"/>
      <c r="G46" s="255"/>
    </row>
    <row r="47" spans="2:7" ht="18.75" customHeight="1">
      <c r="B47" s="255"/>
      <c r="C47" s="258"/>
      <c r="D47" s="255"/>
      <c r="E47" s="255"/>
      <c r="F47" s="255"/>
      <c r="G47" s="255"/>
    </row>
  </sheetData>
  <phoneticPr fontId="60"/>
  <pageMargins left="0.7" right="0.7" top="0.75" bottom="0.75" header="0.511811023622047" footer="0.511811023622047"/>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2:F45"/>
  <sheetViews>
    <sheetView showGridLines="0" topLeftCell="A2" zoomScaleNormal="100" workbookViewId="0">
      <selection activeCell="B2" sqref="B2:F21"/>
    </sheetView>
  </sheetViews>
  <sheetFormatPr defaultColWidth="8.75" defaultRowHeight="18"/>
  <cols>
    <col min="1" max="1" width="8.75" style="242"/>
    <col min="2" max="3" width="16.1640625" style="242" customWidth="1"/>
    <col min="4" max="4" width="1.1640625" style="242" customWidth="1"/>
    <col min="5" max="6" width="16.1640625" style="242" customWidth="1"/>
    <col min="7" max="16384" width="8.75" style="242"/>
  </cols>
  <sheetData>
    <row r="2" spans="2:6" ht="18.75" customHeight="1">
      <c r="F2" s="39" t="s">
        <v>527</v>
      </c>
    </row>
    <row r="3" spans="2:6" ht="19.5" customHeight="1">
      <c r="B3" s="643" t="s">
        <v>597</v>
      </c>
      <c r="C3" s="643"/>
      <c r="D3" s="643"/>
      <c r="E3" s="643"/>
      <c r="F3" s="643"/>
    </row>
    <row r="4" spans="2:6" ht="22.5" customHeight="1">
      <c r="B4" s="599" t="s">
        <v>309</v>
      </c>
      <c r="C4" s="608">
        <v>226144406</v>
      </c>
      <c r="D4" s="259"/>
      <c r="E4" s="600" t="s">
        <v>310</v>
      </c>
      <c r="F4" s="613">
        <f>SUM(F5:F10)</f>
        <v>70491633</v>
      </c>
    </row>
    <row r="5" spans="2:6" ht="22.5" customHeight="1">
      <c r="B5" s="601" t="s">
        <v>10</v>
      </c>
      <c r="C5" s="609">
        <v>193226490</v>
      </c>
      <c r="D5" s="260"/>
      <c r="E5" s="602" t="s">
        <v>602</v>
      </c>
      <c r="F5" s="614">
        <v>41828000</v>
      </c>
    </row>
    <row r="6" spans="2:6" ht="22.5" customHeight="1">
      <c r="B6" s="603" t="s">
        <v>16</v>
      </c>
      <c r="C6" s="610">
        <v>20153150</v>
      </c>
      <c r="D6" s="261"/>
      <c r="E6" s="604" t="s">
        <v>46</v>
      </c>
      <c r="F6" s="615">
        <v>9644516</v>
      </c>
    </row>
    <row r="7" spans="2:6" ht="22.5" customHeight="1">
      <c r="B7" s="603" t="s">
        <v>17</v>
      </c>
      <c r="C7" s="610">
        <v>-201000</v>
      </c>
      <c r="D7" s="261"/>
      <c r="E7" s="604" t="s">
        <v>47</v>
      </c>
      <c r="F7" s="615">
        <v>3947278</v>
      </c>
    </row>
    <row r="8" spans="2:6" ht="22.5" customHeight="1">
      <c r="B8" s="603" t="s">
        <v>18</v>
      </c>
      <c r="C8" s="610">
        <v>204834</v>
      </c>
      <c r="D8" s="261"/>
      <c r="E8" s="604" t="s">
        <v>48</v>
      </c>
      <c r="F8" s="615">
        <v>2929500</v>
      </c>
    </row>
    <row r="9" spans="2:6" ht="22.5" customHeight="1">
      <c r="B9" s="603" t="s">
        <v>20</v>
      </c>
      <c r="C9" s="610">
        <v>12055237</v>
      </c>
      <c r="D9" s="261"/>
      <c r="E9" s="604" t="s">
        <v>49</v>
      </c>
      <c r="F9" s="615">
        <v>12017600</v>
      </c>
    </row>
    <row r="10" spans="2:6" ht="22.5" customHeight="1">
      <c r="B10" s="601" t="s">
        <v>311</v>
      </c>
      <c r="C10" s="609">
        <f>C4-SUM(C5:C9)</f>
        <v>705695</v>
      </c>
      <c r="D10" s="260"/>
      <c r="E10" s="602" t="s">
        <v>50</v>
      </c>
      <c r="F10" s="614">
        <v>124739</v>
      </c>
    </row>
    <row r="11" spans="2:6" ht="22.5" customHeight="1">
      <c r="B11" s="600" t="s">
        <v>312</v>
      </c>
      <c r="C11" s="611">
        <v>323863136</v>
      </c>
      <c r="D11" s="260"/>
      <c r="E11" s="600" t="s">
        <v>313</v>
      </c>
      <c r="F11" s="616">
        <f>SUM(F12)</f>
        <v>145980000</v>
      </c>
    </row>
    <row r="12" spans="2:6" ht="22.5" customHeight="1">
      <c r="B12" s="603" t="s">
        <v>27</v>
      </c>
      <c r="C12" s="610">
        <v>700993</v>
      </c>
      <c r="D12" s="261"/>
      <c r="E12" s="604" t="s">
        <v>54</v>
      </c>
      <c r="F12" s="615">
        <v>145980000</v>
      </c>
    </row>
    <row r="13" spans="2:6" ht="22.5" customHeight="1">
      <c r="B13" s="603" t="s">
        <v>28</v>
      </c>
      <c r="C13" s="610">
        <v>264868</v>
      </c>
      <c r="D13" s="261"/>
    </row>
    <row r="14" spans="2:6" ht="22.5" customHeight="1">
      <c r="B14" s="603" t="s">
        <v>29</v>
      </c>
      <c r="C14" s="610">
        <v>91059</v>
      </c>
      <c r="D14" s="261"/>
      <c r="E14" s="605" t="s">
        <v>55</v>
      </c>
      <c r="F14" s="617">
        <f>F4+F11</f>
        <v>216471633</v>
      </c>
    </row>
    <row r="15" spans="2:6" ht="22.5" customHeight="1">
      <c r="B15" s="603" t="s">
        <v>31</v>
      </c>
      <c r="C15" s="610">
        <v>2112001</v>
      </c>
      <c r="D15" s="261"/>
      <c r="E15" s="604" t="s">
        <v>58</v>
      </c>
      <c r="F15" s="615">
        <v>10000000</v>
      </c>
    </row>
    <row r="16" spans="2:6" ht="22.5" customHeight="1">
      <c r="B16" s="603" t="s">
        <v>33</v>
      </c>
      <c r="C16" s="610">
        <v>275896334</v>
      </c>
      <c r="D16" s="261"/>
      <c r="E16" s="604" t="s">
        <v>61</v>
      </c>
      <c r="F16" s="615">
        <v>323535909</v>
      </c>
    </row>
    <row r="17" spans="2:6" ht="22.5" customHeight="1">
      <c r="B17" s="603" t="s">
        <v>38</v>
      </c>
      <c r="C17" s="610">
        <v>43326766</v>
      </c>
      <c r="D17" s="261"/>
    </row>
    <row r="18" spans="2:6" ht="22.5" customHeight="1">
      <c r="B18" s="603" t="s">
        <v>36</v>
      </c>
      <c r="C18" s="610">
        <v>1263500</v>
      </c>
      <c r="D18" s="261"/>
    </row>
    <row r="19" spans="2:6" ht="22.5" customHeight="1">
      <c r="B19" s="603" t="s">
        <v>601</v>
      </c>
      <c r="C19" s="610">
        <f>C11-SUM(C12:C18)</f>
        <v>207615</v>
      </c>
      <c r="D19" s="261"/>
      <c r="E19" s="604"/>
      <c r="F19" s="615"/>
    </row>
    <row r="20" spans="2:6" ht="22.5" customHeight="1">
      <c r="B20" s="603"/>
      <c r="C20" s="610"/>
      <c r="D20" s="261"/>
      <c r="E20" s="606" t="s">
        <v>63</v>
      </c>
      <c r="F20" s="618">
        <f>SUM(F15:F19)</f>
        <v>333535909</v>
      </c>
    </row>
    <row r="21" spans="2:6" ht="22.5" customHeight="1">
      <c r="B21" s="606" t="s">
        <v>41</v>
      </c>
      <c r="C21" s="612">
        <f>C4+C11</f>
        <v>550007542</v>
      </c>
      <c r="D21" s="261"/>
      <c r="E21" s="606" t="s">
        <v>64</v>
      </c>
      <c r="F21" s="618">
        <f>F14+F20</f>
        <v>550007542</v>
      </c>
    </row>
    <row r="22" spans="2:6" ht="18.75" customHeight="1">
      <c r="C22" s="262"/>
      <c r="F22" s="262"/>
    </row>
    <row r="23" spans="2:6" ht="18.75" customHeight="1">
      <c r="C23" s="262"/>
      <c r="F23" s="262"/>
    </row>
    <row r="24" spans="2:6" ht="18.75" customHeight="1">
      <c r="C24" s="262"/>
      <c r="F24" s="262"/>
    </row>
    <row r="25" spans="2:6" ht="18.75" customHeight="1">
      <c r="C25" s="262"/>
      <c r="F25" s="262"/>
    </row>
    <row r="26" spans="2:6" ht="18.75" customHeight="1">
      <c r="C26" s="262"/>
      <c r="F26" s="262"/>
    </row>
    <row r="27" spans="2:6" ht="18.75" customHeight="1">
      <c r="C27" s="262"/>
      <c r="F27" s="262"/>
    </row>
    <row r="28" spans="2:6" ht="18.75" customHeight="1">
      <c r="C28" s="262"/>
      <c r="F28" s="262"/>
    </row>
    <row r="29" spans="2:6" ht="18.75" customHeight="1">
      <c r="C29" s="262"/>
      <c r="F29" s="262"/>
    </row>
    <row r="30" spans="2:6" ht="18.75" customHeight="1">
      <c r="C30" s="262"/>
      <c r="F30" s="262"/>
    </row>
    <row r="31" spans="2:6" ht="18.75" customHeight="1">
      <c r="C31" s="262"/>
      <c r="F31" s="262"/>
    </row>
    <row r="32" spans="2:6" ht="18.75" customHeight="1">
      <c r="C32" s="262"/>
      <c r="F32" s="262"/>
    </row>
    <row r="33" spans="3:6" ht="18.75" customHeight="1">
      <c r="C33" s="262"/>
      <c r="F33" s="262"/>
    </row>
    <row r="34" spans="3:6" ht="18.75" customHeight="1">
      <c r="C34" s="262"/>
      <c r="F34" s="262"/>
    </row>
    <row r="35" spans="3:6" ht="18.75" customHeight="1">
      <c r="C35" s="262"/>
      <c r="F35" s="262"/>
    </row>
    <row r="36" spans="3:6" ht="18.75" customHeight="1">
      <c r="C36" s="262"/>
      <c r="F36" s="262"/>
    </row>
    <row r="37" spans="3:6" ht="18.75" customHeight="1">
      <c r="C37" s="262"/>
      <c r="F37" s="262"/>
    </row>
    <row r="38" spans="3:6" ht="18.75" customHeight="1">
      <c r="C38" s="262"/>
      <c r="F38" s="262"/>
    </row>
    <row r="39" spans="3:6" ht="18.75" customHeight="1">
      <c r="F39" s="262"/>
    </row>
    <row r="40" spans="3:6" ht="18.75" customHeight="1">
      <c r="F40" s="262"/>
    </row>
    <row r="41" spans="3:6" ht="18.75" customHeight="1">
      <c r="F41" s="262"/>
    </row>
    <row r="42" spans="3:6" ht="18.75" customHeight="1">
      <c r="F42" s="262"/>
    </row>
    <row r="43" spans="3:6" ht="18.75" customHeight="1">
      <c r="F43" s="262"/>
    </row>
    <row r="44" spans="3:6" ht="18.75" customHeight="1">
      <c r="F44" s="262"/>
    </row>
    <row r="45" spans="3:6" ht="18.75" customHeight="1">
      <c r="F45" s="262"/>
    </row>
  </sheetData>
  <mergeCells count="1">
    <mergeCell ref="B3:F3"/>
  </mergeCells>
  <phoneticPr fontId="60"/>
  <pageMargins left="0.7" right="0.7" top="0.75" bottom="0.75" header="0.511811023622047" footer="0.511811023622047"/>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B2:M16"/>
  <sheetViews>
    <sheetView showGridLines="0" zoomScaleNormal="100" workbookViewId="0">
      <selection activeCell="B5" sqref="B5"/>
    </sheetView>
  </sheetViews>
  <sheetFormatPr defaultColWidth="8.75" defaultRowHeight="18"/>
  <cols>
    <col min="1" max="1" width="3.75" style="242" customWidth="1"/>
    <col min="2" max="2" width="4.4140625" style="242" customWidth="1"/>
    <col min="3" max="4" width="30.4140625" style="242" customWidth="1"/>
    <col min="5" max="5" width="16.1640625" style="242" customWidth="1"/>
    <col min="6" max="6" width="19.1640625" style="242" customWidth="1"/>
    <col min="7" max="7" width="11.5" style="242" customWidth="1"/>
    <col min="8" max="8" width="8.5" style="242" customWidth="1"/>
    <col min="9" max="9" width="11.5" style="242" customWidth="1"/>
    <col min="10" max="10" width="8.5" style="242" customWidth="1"/>
    <col min="11" max="11" width="11.5" style="242" customWidth="1"/>
    <col min="12" max="12" width="8.5" style="242" customWidth="1"/>
    <col min="13" max="13" width="31.5" style="242" customWidth="1"/>
    <col min="14" max="16384" width="8.75" style="242"/>
  </cols>
  <sheetData>
    <row r="2" spans="2:13" ht="18.75" customHeight="1">
      <c r="L2" s="39" t="s">
        <v>43</v>
      </c>
    </row>
    <row r="3" spans="2:13" ht="18.75" customHeight="1">
      <c r="B3" s="621" t="s">
        <v>197</v>
      </c>
      <c r="C3" s="645" t="s">
        <v>314</v>
      </c>
      <c r="D3" s="645" t="s">
        <v>315</v>
      </c>
      <c r="E3" s="645" t="s">
        <v>295</v>
      </c>
      <c r="F3" s="645" t="s">
        <v>316</v>
      </c>
      <c r="G3" s="645" t="s">
        <v>301</v>
      </c>
      <c r="H3" s="645"/>
      <c r="I3" s="645" t="s">
        <v>302</v>
      </c>
      <c r="J3" s="645"/>
      <c r="K3" s="645" t="s">
        <v>303</v>
      </c>
      <c r="L3" s="645"/>
      <c r="M3" s="630" t="s">
        <v>210</v>
      </c>
    </row>
    <row r="4" spans="2:13" ht="18.75" customHeight="1">
      <c r="B4" s="621"/>
      <c r="C4" s="621"/>
      <c r="D4" s="621"/>
      <c r="E4" s="621"/>
      <c r="F4" s="621"/>
      <c r="G4" s="83" t="s">
        <v>68</v>
      </c>
      <c r="H4" s="83" t="s">
        <v>317</v>
      </c>
      <c r="I4" s="83" t="s">
        <v>68</v>
      </c>
      <c r="J4" s="83" t="s">
        <v>317</v>
      </c>
      <c r="K4" s="83" t="s">
        <v>68</v>
      </c>
      <c r="L4" s="83" t="s">
        <v>317</v>
      </c>
      <c r="M4" s="630"/>
    </row>
    <row r="5" spans="2:13" ht="23.25" customHeight="1">
      <c r="B5" s="263">
        <v>1</v>
      </c>
      <c r="C5" s="244" t="s">
        <v>318</v>
      </c>
      <c r="D5" s="244" t="s">
        <v>319</v>
      </c>
      <c r="E5" s="244" t="s">
        <v>320</v>
      </c>
      <c r="F5" s="244" t="s">
        <v>321</v>
      </c>
      <c r="G5" s="264">
        <v>33801606</v>
      </c>
      <c r="H5" s="73">
        <f t="shared" ref="H5:H15" si="0">IFERROR(G5/G$16,"-")</f>
        <v>0.10671198153503196</v>
      </c>
      <c r="I5" s="264">
        <v>109941383</v>
      </c>
      <c r="J5" s="73">
        <f t="shared" ref="J5:J15" si="1">IFERROR(I5/I$16,"-")</f>
        <v>0.24768933639695551</v>
      </c>
      <c r="K5" s="264">
        <v>202068680</v>
      </c>
      <c r="L5" s="73">
        <f t="shared" ref="L5:L15" si="2">IFERROR(K5/K$16,"-")</f>
        <v>0.47829792484969985</v>
      </c>
      <c r="M5" s="32"/>
    </row>
    <row r="6" spans="2:13" ht="23.25" customHeight="1">
      <c r="B6" s="265">
        <v>2</v>
      </c>
      <c r="C6" s="244" t="s">
        <v>322</v>
      </c>
      <c r="D6" s="244" t="s">
        <v>319</v>
      </c>
      <c r="E6" s="244" t="s">
        <v>320</v>
      </c>
      <c r="F6" s="244" t="s">
        <v>321</v>
      </c>
      <c r="G6" s="264">
        <v>84036762</v>
      </c>
      <c r="H6" s="73">
        <f t="shared" si="0"/>
        <v>0.26530483181207054</v>
      </c>
      <c r="I6" s="264">
        <v>69227005</v>
      </c>
      <c r="J6" s="73">
        <f t="shared" si="1"/>
        <v>0.15596302739978013</v>
      </c>
      <c r="K6" s="264">
        <v>60264237</v>
      </c>
      <c r="L6" s="73">
        <f t="shared" si="2"/>
        <v>0.14264585436867555</v>
      </c>
      <c r="M6" s="266"/>
    </row>
    <row r="7" spans="2:13" ht="23.25" customHeight="1">
      <c r="B7" s="267">
        <v>3</v>
      </c>
      <c r="C7" s="244" t="s">
        <v>323</v>
      </c>
      <c r="D7" s="244" t="s">
        <v>319</v>
      </c>
      <c r="E7" s="244" t="s">
        <v>320</v>
      </c>
      <c r="F7" s="244" t="s">
        <v>321</v>
      </c>
      <c r="G7" s="264">
        <v>28015124</v>
      </c>
      <c r="H7" s="73">
        <f t="shared" si="0"/>
        <v>8.8444004553796363E-2</v>
      </c>
      <c r="I7" s="264">
        <v>36032647</v>
      </c>
      <c r="J7" s="73">
        <f t="shared" si="1"/>
        <v>8.1178735254365045E-2</v>
      </c>
      <c r="K7" s="264">
        <v>43807641</v>
      </c>
      <c r="L7" s="73">
        <f t="shared" si="2"/>
        <v>0.103692980935297</v>
      </c>
      <c r="M7" s="266"/>
    </row>
    <row r="8" spans="2:13" ht="23.25" customHeight="1">
      <c r="B8" s="265">
        <v>4</v>
      </c>
      <c r="C8" s="244" t="s">
        <v>324</v>
      </c>
      <c r="D8" s="244" t="s">
        <v>319</v>
      </c>
      <c r="E8" s="244" t="s">
        <v>320</v>
      </c>
      <c r="F8" s="244" t="s">
        <v>321</v>
      </c>
      <c r="G8" s="264" t="s">
        <v>106</v>
      </c>
      <c r="H8" s="73" t="str">
        <f t="shared" si="0"/>
        <v>-</v>
      </c>
      <c r="I8" s="264" t="s">
        <v>106</v>
      </c>
      <c r="J8" s="73" t="str">
        <f t="shared" si="1"/>
        <v>-</v>
      </c>
      <c r="K8" s="264">
        <v>42545792</v>
      </c>
      <c r="L8" s="73">
        <f t="shared" si="2"/>
        <v>0.10070617586400309</v>
      </c>
      <c r="M8" s="266"/>
    </row>
    <row r="9" spans="2:13" ht="23.25" customHeight="1">
      <c r="B9" s="267">
        <v>5</v>
      </c>
      <c r="C9" s="244" t="s">
        <v>325</v>
      </c>
      <c r="D9" s="244" t="s">
        <v>326</v>
      </c>
      <c r="E9" s="244" t="s">
        <v>320</v>
      </c>
      <c r="F9" s="244" t="s">
        <v>321</v>
      </c>
      <c r="G9" s="264">
        <v>15179525</v>
      </c>
      <c r="H9" s="73">
        <f t="shared" si="0"/>
        <v>4.7921900264459506E-2</v>
      </c>
      <c r="I9" s="264">
        <v>69086138</v>
      </c>
      <c r="J9" s="73">
        <f t="shared" si="1"/>
        <v>0.15564566506725216</v>
      </c>
      <c r="K9" s="264">
        <v>33677325</v>
      </c>
      <c r="L9" s="73">
        <f t="shared" si="2"/>
        <v>7.9714454817980299E-2</v>
      </c>
      <c r="M9" s="266"/>
    </row>
    <row r="10" spans="2:13" ht="23.25" customHeight="1">
      <c r="B10" s="265">
        <v>6</v>
      </c>
      <c r="C10" s="244" t="s">
        <v>327</v>
      </c>
      <c r="D10" s="244" t="s">
        <v>319</v>
      </c>
      <c r="E10" s="244" t="s">
        <v>320</v>
      </c>
      <c r="F10" s="244" t="s">
        <v>321</v>
      </c>
      <c r="G10" s="264">
        <v>34096085</v>
      </c>
      <c r="H10" s="73">
        <f t="shared" si="0"/>
        <v>0.1076416544508826</v>
      </c>
      <c r="I10" s="264">
        <v>24321530</v>
      </c>
      <c r="J10" s="73">
        <f t="shared" si="1"/>
        <v>5.479450468490691E-2</v>
      </c>
      <c r="K10" s="264">
        <v>19081708</v>
      </c>
      <c r="L10" s="73">
        <f t="shared" si="2"/>
        <v>4.516653119616517E-2</v>
      </c>
      <c r="M10" s="266"/>
    </row>
    <row r="11" spans="2:13" ht="23.25" customHeight="1">
      <c r="B11" s="267">
        <v>7</v>
      </c>
      <c r="C11" s="244" t="s">
        <v>328</v>
      </c>
      <c r="D11" s="244" t="s">
        <v>319</v>
      </c>
      <c r="E11" s="244" t="s">
        <v>320</v>
      </c>
      <c r="F11" s="244" t="s">
        <v>321</v>
      </c>
      <c r="G11" s="264">
        <v>54354381</v>
      </c>
      <c r="H11" s="73">
        <f t="shared" si="0"/>
        <v>0.17159728154987938</v>
      </c>
      <c r="I11" s="264">
        <v>16120455</v>
      </c>
      <c r="J11" s="73">
        <f t="shared" si="1"/>
        <v>3.6318124189569118E-2</v>
      </c>
      <c r="K11" s="264">
        <v>12358967</v>
      </c>
      <c r="L11" s="73">
        <f t="shared" si="2"/>
        <v>2.92537580261618E-2</v>
      </c>
      <c r="M11" s="266"/>
    </row>
    <row r="12" spans="2:13" ht="23.25" customHeight="1">
      <c r="B12" s="265">
        <v>8</v>
      </c>
      <c r="C12" s="244" t="s">
        <v>329</v>
      </c>
      <c r="D12" s="244" t="s">
        <v>319</v>
      </c>
      <c r="E12" s="244" t="s">
        <v>320</v>
      </c>
      <c r="F12" s="244" t="s">
        <v>321</v>
      </c>
      <c r="G12" s="264">
        <v>3877760</v>
      </c>
      <c r="H12" s="73">
        <f t="shared" si="0"/>
        <v>1.2242124043374908E-2</v>
      </c>
      <c r="I12" s="264" t="s">
        <v>106</v>
      </c>
      <c r="J12" s="73" t="str">
        <f t="shared" si="1"/>
        <v>-</v>
      </c>
      <c r="K12" s="264">
        <v>2050323</v>
      </c>
      <c r="L12" s="73">
        <f t="shared" si="2"/>
        <v>4.8531283332558569E-3</v>
      </c>
      <c r="M12" s="266"/>
    </row>
    <row r="13" spans="2:13" ht="23.25" customHeight="1">
      <c r="B13" s="267">
        <v>9</v>
      </c>
      <c r="C13" s="244" t="s">
        <v>330</v>
      </c>
      <c r="D13" s="244" t="s">
        <v>319</v>
      </c>
      <c r="E13" s="244" t="s">
        <v>320</v>
      </c>
      <c r="F13" s="244" t="s">
        <v>321</v>
      </c>
      <c r="G13" s="264" t="s">
        <v>106</v>
      </c>
      <c r="H13" s="73" t="str">
        <f t="shared" si="0"/>
        <v>-</v>
      </c>
      <c r="I13" s="264">
        <v>10179051</v>
      </c>
      <c r="J13" s="73">
        <f t="shared" si="1"/>
        <v>2.2932605708086883E-2</v>
      </c>
      <c r="K13" s="264">
        <v>1636230</v>
      </c>
      <c r="L13" s="73">
        <f t="shared" si="2"/>
        <v>3.8729674167061637E-3</v>
      </c>
      <c r="M13" s="266"/>
    </row>
    <row r="14" spans="2:13" ht="23.25" customHeight="1">
      <c r="B14" s="265">
        <v>10</v>
      </c>
      <c r="C14" s="244" t="s">
        <v>331</v>
      </c>
      <c r="D14" s="244" t="s">
        <v>319</v>
      </c>
      <c r="E14" s="244" t="s">
        <v>320</v>
      </c>
      <c r="F14" s="244" t="s">
        <v>321</v>
      </c>
      <c r="G14" s="264" t="s">
        <v>106</v>
      </c>
      <c r="H14" s="73" t="str">
        <f t="shared" si="0"/>
        <v>-</v>
      </c>
      <c r="I14" s="264" t="s">
        <v>106</v>
      </c>
      <c r="J14" s="73" t="str">
        <f t="shared" si="1"/>
        <v>-</v>
      </c>
      <c r="K14" s="264">
        <v>1525462</v>
      </c>
      <c r="L14" s="73">
        <f t="shared" si="2"/>
        <v>3.6107788155842501E-3</v>
      </c>
      <c r="M14" s="266"/>
    </row>
    <row r="15" spans="2:13" ht="23.25" customHeight="1">
      <c r="B15" s="268"/>
      <c r="C15" s="646" t="s">
        <v>332</v>
      </c>
      <c r="D15" s="646"/>
      <c r="E15" s="646"/>
      <c r="F15" s="646"/>
      <c r="G15" s="264">
        <v>63394247</v>
      </c>
      <c r="H15" s="73">
        <f t="shared" si="0"/>
        <v>0.20013622179050472</v>
      </c>
      <c r="I15" s="264">
        <v>108959842</v>
      </c>
      <c r="J15" s="73">
        <f t="shared" si="1"/>
        <v>0.24547800129908426</v>
      </c>
      <c r="K15" s="264">
        <v>3458142</v>
      </c>
      <c r="L15" s="73">
        <f t="shared" si="2"/>
        <v>8.185445376470965E-3</v>
      </c>
      <c r="M15" s="269" t="s">
        <v>333</v>
      </c>
    </row>
    <row r="16" spans="2:13" ht="23.25" customHeight="1">
      <c r="B16" s="270"/>
      <c r="C16" s="644" t="s">
        <v>113</v>
      </c>
      <c r="D16" s="644"/>
      <c r="E16" s="644"/>
      <c r="F16" s="644"/>
      <c r="G16" s="271">
        <f>SUM(G5:G15)</f>
        <v>316755490</v>
      </c>
      <c r="H16" s="272" t="s">
        <v>106</v>
      </c>
      <c r="I16" s="271">
        <f>SUM(I5:I15)</f>
        <v>443868051</v>
      </c>
      <c r="J16" s="272" t="s">
        <v>106</v>
      </c>
      <c r="K16" s="271">
        <f>SUM(K5:K15)</f>
        <v>422474507</v>
      </c>
      <c r="L16" s="272" t="s">
        <v>106</v>
      </c>
      <c r="M16" s="41"/>
    </row>
  </sheetData>
  <mergeCells count="11">
    <mergeCell ref="B3:B4"/>
    <mergeCell ref="C3:C4"/>
    <mergeCell ref="D3:D4"/>
    <mergeCell ref="E3:E4"/>
    <mergeCell ref="F3:F4"/>
    <mergeCell ref="C16:F16"/>
    <mergeCell ref="G3:H3"/>
    <mergeCell ref="I3:J3"/>
    <mergeCell ref="K3:L3"/>
    <mergeCell ref="M3:M4"/>
    <mergeCell ref="C15:F15"/>
  </mergeCells>
  <phoneticPr fontId="60"/>
  <pageMargins left="0.7" right="0.7" top="0.75" bottom="0.75" header="0.511811023622047" footer="0.511811023622047"/>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B2:L16"/>
  <sheetViews>
    <sheetView showGridLines="0" zoomScaleNormal="100" workbookViewId="0">
      <selection activeCell="B5" sqref="B5"/>
    </sheetView>
  </sheetViews>
  <sheetFormatPr defaultColWidth="8.75" defaultRowHeight="18"/>
  <cols>
    <col min="1" max="1" width="3.75" style="242" customWidth="1"/>
    <col min="2" max="2" width="4.4140625" style="242" customWidth="1"/>
    <col min="3" max="4" width="30.4140625" style="242" customWidth="1"/>
    <col min="5" max="5" width="16.1640625" style="242" customWidth="1"/>
    <col min="6" max="6" width="11.5" style="242" customWidth="1"/>
    <col min="7" max="7" width="8.5" style="242" customWidth="1"/>
    <col min="8" max="8" width="11.5" style="242" customWidth="1"/>
    <col min="9" max="9" width="8.5" style="242" customWidth="1"/>
    <col min="10" max="10" width="11.5" style="242" customWidth="1"/>
    <col min="11" max="11" width="8.5" style="242" customWidth="1"/>
    <col min="12" max="12" width="31.5" style="242" customWidth="1"/>
    <col min="13" max="16384" width="8.75" style="242"/>
  </cols>
  <sheetData>
    <row r="2" spans="2:12" ht="18.75" customHeight="1">
      <c r="K2" s="39" t="s">
        <v>43</v>
      </c>
    </row>
    <row r="3" spans="2:12" ht="18.75" customHeight="1">
      <c r="B3" s="621" t="s">
        <v>197</v>
      </c>
      <c r="C3" s="645" t="s">
        <v>334</v>
      </c>
      <c r="D3" s="645" t="s">
        <v>335</v>
      </c>
      <c r="E3" s="645" t="s">
        <v>295</v>
      </c>
      <c r="F3" s="645" t="s">
        <v>301</v>
      </c>
      <c r="G3" s="645"/>
      <c r="H3" s="645" t="s">
        <v>302</v>
      </c>
      <c r="I3" s="645"/>
      <c r="J3" s="645" t="s">
        <v>303</v>
      </c>
      <c r="K3" s="645"/>
      <c r="L3" s="630" t="s">
        <v>210</v>
      </c>
    </row>
    <row r="4" spans="2:12" ht="18.75" customHeight="1">
      <c r="B4" s="621"/>
      <c r="C4" s="621"/>
      <c r="D4" s="621"/>
      <c r="E4" s="621"/>
      <c r="F4" s="83" t="s">
        <v>336</v>
      </c>
      <c r="G4" s="83" t="s">
        <v>317</v>
      </c>
      <c r="H4" s="83" t="s">
        <v>336</v>
      </c>
      <c r="I4" s="83" t="s">
        <v>317</v>
      </c>
      <c r="J4" s="83" t="s">
        <v>336</v>
      </c>
      <c r="K4" s="83" t="s">
        <v>317</v>
      </c>
      <c r="L4" s="630"/>
    </row>
    <row r="5" spans="2:12" ht="23.25" customHeight="1">
      <c r="B5" s="263">
        <v>1</v>
      </c>
      <c r="C5" s="244" t="s">
        <v>337</v>
      </c>
      <c r="D5" s="244" t="s">
        <v>338</v>
      </c>
      <c r="E5" s="244"/>
      <c r="F5" s="264">
        <v>96294830</v>
      </c>
      <c r="G5" s="73">
        <f t="shared" ref="G5:G15" si="0">IFERROR(F5/F$16,"-")</f>
        <v>0.46903721776343693</v>
      </c>
      <c r="H5" s="264">
        <v>172075524</v>
      </c>
      <c r="I5" s="73">
        <f t="shared" ref="I5:I15" si="1">IFERROR(H5/H$16,"-")</f>
        <v>0.54538263840645651</v>
      </c>
      <c r="J5" s="264">
        <v>122908613</v>
      </c>
      <c r="K5" s="73">
        <f t="shared" ref="K5:K15" si="2">IFERROR(J5/J$16,"-")</f>
        <v>0.41147403077103878</v>
      </c>
      <c r="L5" s="32"/>
    </row>
    <row r="6" spans="2:12" ht="23.25" customHeight="1">
      <c r="B6" s="265">
        <v>2</v>
      </c>
      <c r="C6" s="244" t="s">
        <v>337</v>
      </c>
      <c r="D6" s="244" t="s">
        <v>339</v>
      </c>
      <c r="E6" s="244"/>
      <c r="F6" s="264" t="s">
        <v>106</v>
      </c>
      <c r="G6" s="73" t="str">
        <f t="shared" si="0"/>
        <v>-</v>
      </c>
      <c r="H6" s="264" t="s">
        <v>106</v>
      </c>
      <c r="I6" s="73" t="str">
        <f t="shared" si="1"/>
        <v>-</v>
      </c>
      <c r="J6" s="264">
        <v>33755639</v>
      </c>
      <c r="K6" s="73">
        <f t="shared" si="2"/>
        <v>0.11300728648351176</v>
      </c>
      <c r="L6" s="269"/>
    </row>
    <row r="7" spans="2:12" ht="23.25" customHeight="1">
      <c r="B7" s="267">
        <v>3</v>
      </c>
      <c r="C7" s="244" t="s">
        <v>337</v>
      </c>
      <c r="D7" s="244" t="s">
        <v>340</v>
      </c>
      <c r="E7" s="244"/>
      <c r="F7" s="264" t="s">
        <v>106</v>
      </c>
      <c r="G7" s="73" t="str">
        <f t="shared" si="0"/>
        <v>-</v>
      </c>
      <c r="H7" s="264" t="s">
        <v>106</v>
      </c>
      <c r="I7" s="73" t="str">
        <f t="shared" si="1"/>
        <v>-</v>
      </c>
      <c r="J7" s="264">
        <v>30943171</v>
      </c>
      <c r="K7" s="73">
        <f t="shared" si="2"/>
        <v>0.10359169292885533</v>
      </c>
      <c r="L7" s="269"/>
    </row>
    <row r="8" spans="2:12" ht="23.25" customHeight="1">
      <c r="B8" s="265">
        <v>4</v>
      </c>
      <c r="C8" s="244" t="s">
        <v>337</v>
      </c>
      <c r="D8" s="244" t="s">
        <v>341</v>
      </c>
      <c r="E8" s="244"/>
      <c r="F8" s="264">
        <v>40487005</v>
      </c>
      <c r="G8" s="73">
        <f t="shared" si="0"/>
        <v>0.19720593702459788</v>
      </c>
      <c r="H8" s="264">
        <v>24487628</v>
      </c>
      <c r="I8" s="73">
        <f t="shared" si="1"/>
        <v>7.7612009288176381E-2</v>
      </c>
      <c r="J8" s="264">
        <v>27083161</v>
      </c>
      <c r="K8" s="73">
        <f t="shared" si="2"/>
        <v>9.0669133355943066E-2</v>
      </c>
      <c r="L8" s="269"/>
    </row>
    <row r="9" spans="2:12" ht="23.25" customHeight="1">
      <c r="B9" s="267">
        <v>5</v>
      </c>
      <c r="C9" s="244" t="s">
        <v>337</v>
      </c>
      <c r="D9" s="244" t="s">
        <v>342</v>
      </c>
      <c r="E9" s="244"/>
      <c r="F9" s="264">
        <v>11236641</v>
      </c>
      <c r="G9" s="73">
        <f t="shared" si="0"/>
        <v>5.4731939727673477E-2</v>
      </c>
      <c r="H9" s="264">
        <v>19689920</v>
      </c>
      <c r="I9" s="73">
        <f t="shared" si="1"/>
        <v>6.2405973086631747E-2</v>
      </c>
      <c r="J9" s="264">
        <v>24773941</v>
      </c>
      <c r="K9" s="73">
        <f t="shared" si="2"/>
        <v>8.2938315814807054E-2</v>
      </c>
      <c r="L9" s="269"/>
    </row>
    <row r="10" spans="2:12" ht="23.25" customHeight="1">
      <c r="B10" s="265">
        <v>6</v>
      </c>
      <c r="C10" s="244" t="s">
        <v>337</v>
      </c>
      <c r="D10" s="244" t="s">
        <v>343</v>
      </c>
      <c r="E10" s="244"/>
      <c r="F10" s="264" t="s">
        <v>106</v>
      </c>
      <c r="G10" s="73" t="str">
        <f t="shared" si="0"/>
        <v>-</v>
      </c>
      <c r="H10" s="264">
        <v>17563377</v>
      </c>
      <c r="I10" s="73">
        <f t="shared" si="1"/>
        <v>5.5666027712269375E-2</v>
      </c>
      <c r="J10" s="264">
        <v>10979527</v>
      </c>
      <c r="K10" s="73">
        <f t="shared" si="2"/>
        <v>3.6757311960305426E-2</v>
      </c>
      <c r="L10" s="269"/>
    </row>
    <row r="11" spans="2:12" ht="23.25" customHeight="1">
      <c r="B11" s="267">
        <v>7</v>
      </c>
      <c r="C11" s="244" t="s">
        <v>337</v>
      </c>
      <c r="D11" s="244" t="s">
        <v>344</v>
      </c>
      <c r="E11" s="244"/>
      <c r="F11" s="264" t="s">
        <v>106</v>
      </c>
      <c r="G11" s="73" t="str">
        <f t="shared" si="0"/>
        <v>-</v>
      </c>
      <c r="H11" s="264" t="s">
        <v>106</v>
      </c>
      <c r="I11" s="73" t="str">
        <f t="shared" si="1"/>
        <v>-</v>
      </c>
      <c r="J11" s="264">
        <v>7582630</v>
      </c>
      <c r="K11" s="73">
        <f t="shared" si="2"/>
        <v>2.5385164259769184E-2</v>
      </c>
      <c r="L11" s="269"/>
    </row>
    <row r="12" spans="2:12" ht="23.25" customHeight="1">
      <c r="B12" s="265">
        <v>8</v>
      </c>
      <c r="C12" s="244" t="s">
        <v>337</v>
      </c>
      <c r="D12" s="244" t="s">
        <v>345</v>
      </c>
      <c r="E12" s="244"/>
      <c r="F12" s="264" t="s">
        <v>106</v>
      </c>
      <c r="G12" s="73" t="str">
        <f t="shared" si="0"/>
        <v>-</v>
      </c>
      <c r="H12" s="264" t="s">
        <v>106</v>
      </c>
      <c r="I12" s="73" t="str">
        <f t="shared" si="1"/>
        <v>-</v>
      </c>
      <c r="J12" s="264">
        <v>5271200</v>
      </c>
      <c r="K12" s="73">
        <f t="shared" si="2"/>
        <v>1.7646948070273151E-2</v>
      </c>
      <c r="L12" s="269"/>
    </row>
    <row r="13" spans="2:12" ht="23.25" customHeight="1">
      <c r="B13" s="267">
        <v>9</v>
      </c>
      <c r="C13" s="244" t="s">
        <v>337</v>
      </c>
      <c r="D13" s="244" t="s">
        <v>346</v>
      </c>
      <c r="E13" s="244"/>
      <c r="F13" s="264">
        <v>678755</v>
      </c>
      <c r="G13" s="73">
        <f t="shared" si="0"/>
        <v>3.3061105849921707E-3</v>
      </c>
      <c r="H13" s="264">
        <v>2689881</v>
      </c>
      <c r="I13" s="73">
        <f t="shared" si="1"/>
        <v>8.5254100215867868E-3</v>
      </c>
      <c r="J13" s="264">
        <v>5225159</v>
      </c>
      <c r="K13" s="73">
        <f t="shared" si="2"/>
        <v>1.7492811794642661E-2</v>
      </c>
      <c r="L13" s="269"/>
    </row>
    <row r="14" spans="2:12" ht="23.25" customHeight="1">
      <c r="B14" s="265">
        <v>10</v>
      </c>
      <c r="C14" s="244" t="s">
        <v>337</v>
      </c>
      <c r="D14" s="244" t="s">
        <v>347</v>
      </c>
      <c r="E14" s="244"/>
      <c r="F14" s="264">
        <v>14347622</v>
      </c>
      <c r="G14" s="73">
        <f t="shared" si="0"/>
        <v>6.9885046833786185E-2</v>
      </c>
      <c r="H14" s="264">
        <v>23586066</v>
      </c>
      <c r="I14" s="73">
        <f t="shared" si="1"/>
        <v>7.4754564773016854E-2</v>
      </c>
      <c r="J14" s="264">
        <v>4906753</v>
      </c>
      <c r="K14" s="73">
        <f t="shared" si="2"/>
        <v>1.6426850695222529E-2</v>
      </c>
      <c r="L14" s="269"/>
    </row>
    <row r="15" spans="2:12" ht="23.25" customHeight="1">
      <c r="B15" s="226"/>
      <c r="C15" s="646" t="s">
        <v>348</v>
      </c>
      <c r="D15" s="646"/>
      <c r="E15" s="646"/>
      <c r="F15" s="264">
        <v>42258322</v>
      </c>
      <c r="G15" s="73">
        <f t="shared" si="0"/>
        <v>0.20583374806551336</v>
      </c>
      <c r="H15" s="264">
        <v>55420992</v>
      </c>
      <c r="I15" s="73">
        <f t="shared" si="1"/>
        <v>0.17565337671186237</v>
      </c>
      <c r="J15" s="264">
        <v>25273414</v>
      </c>
      <c r="K15" s="73">
        <f t="shared" si="2"/>
        <v>8.4610453865631069E-2</v>
      </c>
      <c r="L15" s="269" t="s">
        <v>349</v>
      </c>
    </row>
    <row r="16" spans="2:12" ht="23.25" customHeight="1">
      <c r="B16" s="270"/>
      <c r="C16" s="644" t="s">
        <v>113</v>
      </c>
      <c r="D16" s="644"/>
      <c r="E16" s="644"/>
      <c r="F16" s="271">
        <f>SUM(F5:F15)</f>
        <v>205303175</v>
      </c>
      <c r="G16" s="272" t="s">
        <v>106</v>
      </c>
      <c r="H16" s="271">
        <f>SUM(H5:H15)</f>
        <v>315513388</v>
      </c>
      <c r="I16" s="272" t="s">
        <v>106</v>
      </c>
      <c r="J16" s="271">
        <f>SUM(J5:J15)</f>
        <v>298703208</v>
      </c>
      <c r="K16" s="272" t="s">
        <v>106</v>
      </c>
      <c r="L16" s="41"/>
    </row>
  </sheetData>
  <mergeCells count="10">
    <mergeCell ref="B3:B4"/>
    <mergeCell ref="C3:C4"/>
    <mergeCell ref="D3:D4"/>
    <mergeCell ref="E3:E4"/>
    <mergeCell ref="F3:G3"/>
    <mergeCell ref="H3:I3"/>
    <mergeCell ref="J3:K3"/>
    <mergeCell ref="L3:L4"/>
    <mergeCell ref="C15:E15"/>
    <mergeCell ref="C16:E16"/>
  </mergeCells>
  <phoneticPr fontId="60"/>
  <pageMargins left="0.7" right="0.7" top="0.75" bottom="0.75" header="0.511811023622047" footer="0.511811023622047"/>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B2:M16"/>
  <sheetViews>
    <sheetView showGridLines="0" zoomScaleNormal="100" workbookViewId="0">
      <selection activeCell="B5" sqref="B5"/>
    </sheetView>
  </sheetViews>
  <sheetFormatPr defaultColWidth="8.75" defaultRowHeight="18"/>
  <cols>
    <col min="1" max="1" width="3.75" style="242" customWidth="1"/>
    <col min="2" max="2" width="4.4140625" style="242" customWidth="1"/>
    <col min="3" max="4" width="30.4140625" style="242" customWidth="1"/>
    <col min="5" max="5" width="16.1640625" style="242" customWidth="1"/>
    <col min="6" max="6" width="19.1640625" style="242" customWidth="1"/>
    <col min="7" max="7" width="11.5" style="242" customWidth="1"/>
    <col min="8" max="8" width="8.5" style="242" customWidth="1"/>
    <col min="9" max="9" width="11.5" style="242" customWidth="1"/>
    <col min="10" max="10" width="8.5" style="242" customWidth="1"/>
    <col min="11" max="11" width="11.5" style="242" customWidth="1"/>
    <col min="12" max="12" width="8.5" style="242" customWidth="1"/>
    <col min="13" max="13" width="31.5" style="242" customWidth="1"/>
    <col min="14" max="16384" width="8.75" style="242"/>
  </cols>
  <sheetData>
    <row r="2" spans="2:13" ht="18.75" customHeight="1">
      <c r="L2" s="39" t="s">
        <v>43</v>
      </c>
    </row>
    <row r="3" spans="2:13" ht="18.75" customHeight="1">
      <c r="B3" s="621" t="s">
        <v>197</v>
      </c>
      <c r="C3" s="645" t="s">
        <v>350</v>
      </c>
      <c r="D3" s="645" t="s">
        <v>351</v>
      </c>
      <c r="E3" s="645" t="s">
        <v>295</v>
      </c>
      <c r="F3" s="645" t="s">
        <v>316</v>
      </c>
      <c r="G3" s="645" t="s">
        <v>301</v>
      </c>
      <c r="H3" s="645"/>
      <c r="I3" s="645" t="s">
        <v>302</v>
      </c>
      <c r="J3" s="645"/>
      <c r="K3" s="645" t="s">
        <v>303</v>
      </c>
      <c r="L3" s="645"/>
      <c r="M3" s="630" t="s">
        <v>210</v>
      </c>
    </row>
    <row r="4" spans="2:13" ht="18.75" customHeight="1">
      <c r="B4" s="621"/>
      <c r="C4" s="621"/>
      <c r="D4" s="621"/>
      <c r="E4" s="621"/>
      <c r="F4" s="621"/>
      <c r="G4" s="83" t="s">
        <v>352</v>
      </c>
      <c r="H4" s="83" t="s">
        <v>317</v>
      </c>
      <c r="I4" s="83" t="s">
        <v>352</v>
      </c>
      <c r="J4" s="83" t="s">
        <v>317</v>
      </c>
      <c r="K4" s="83" t="s">
        <v>352</v>
      </c>
      <c r="L4" s="83" t="s">
        <v>317</v>
      </c>
      <c r="M4" s="630"/>
    </row>
    <row r="5" spans="2:13" ht="23.25" customHeight="1">
      <c r="B5" s="263"/>
      <c r="C5" s="244" t="s">
        <v>353</v>
      </c>
      <c r="D5" s="244"/>
      <c r="E5" s="244"/>
      <c r="F5" s="244"/>
      <c r="G5" s="264"/>
      <c r="H5" s="73" t="str">
        <f t="shared" ref="H5:H15" si="0">IFERROR(G5/G$16,"-")</f>
        <v>-</v>
      </c>
      <c r="I5" s="264"/>
      <c r="J5" s="73" t="str">
        <f t="shared" ref="J5:J15" si="1">IFERROR(I5/I$16,"-")</f>
        <v>-</v>
      </c>
      <c r="K5" s="264"/>
      <c r="L5" s="73" t="str">
        <f t="shared" ref="L5:L15" si="2">IFERROR(K5/K$16,"-")</f>
        <v>-</v>
      </c>
      <c r="M5" s="32"/>
    </row>
    <row r="6" spans="2:13" ht="23.25" customHeight="1">
      <c r="B6" s="265"/>
      <c r="C6" s="244"/>
      <c r="D6" s="244"/>
      <c r="E6" s="244"/>
      <c r="F6" s="244"/>
      <c r="G6" s="264"/>
      <c r="H6" s="73" t="str">
        <f t="shared" si="0"/>
        <v>-</v>
      </c>
      <c r="I6" s="264"/>
      <c r="J6" s="73" t="str">
        <f t="shared" si="1"/>
        <v>-</v>
      </c>
      <c r="K6" s="264"/>
      <c r="L6" s="73" t="str">
        <f t="shared" si="2"/>
        <v>-</v>
      </c>
      <c r="M6" s="269"/>
    </row>
    <row r="7" spans="2:13" ht="23.25" customHeight="1">
      <c r="B7" s="267"/>
      <c r="C7" s="244"/>
      <c r="D7" s="244"/>
      <c r="E7" s="244"/>
      <c r="F7" s="244"/>
      <c r="G7" s="264"/>
      <c r="H7" s="73" t="str">
        <f t="shared" si="0"/>
        <v>-</v>
      </c>
      <c r="I7" s="264"/>
      <c r="J7" s="73" t="str">
        <f t="shared" si="1"/>
        <v>-</v>
      </c>
      <c r="K7" s="264"/>
      <c r="L7" s="73" t="str">
        <f t="shared" si="2"/>
        <v>-</v>
      </c>
      <c r="M7" s="269"/>
    </row>
    <row r="8" spans="2:13" ht="23.25" customHeight="1">
      <c r="B8" s="265"/>
      <c r="C8" s="244"/>
      <c r="D8" s="244"/>
      <c r="E8" s="244"/>
      <c r="F8" s="244"/>
      <c r="G8" s="264"/>
      <c r="H8" s="73" t="str">
        <f t="shared" si="0"/>
        <v>-</v>
      </c>
      <c r="I8" s="264"/>
      <c r="J8" s="73" t="str">
        <f t="shared" si="1"/>
        <v>-</v>
      </c>
      <c r="K8" s="264"/>
      <c r="L8" s="73" t="str">
        <f t="shared" si="2"/>
        <v>-</v>
      </c>
      <c r="M8" s="269"/>
    </row>
    <row r="9" spans="2:13" ht="23.25" customHeight="1">
      <c r="B9" s="267"/>
      <c r="C9" s="244"/>
      <c r="D9" s="244"/>
      <c r="E9" s="244"/>
      <c r="F9" s="244"/>
      <c r="G9" s="264"/>
      <c r="H9" s="73" t="str">
        <f t="shared" si="0"/>
        <v>-</v>
      </c>
      <c r="I9" s="264"/>
      <c r="J9" s="73" t="str">
        <f t="shared" si="1"/>
        <v>-</v>
      </c>
      <c r="K9" s="264"/>
      <c r="L9" s="73" t="str">
        <f t="shared" si="2"/>
        <v>-</v>
      </c>
      <c r="M9" s="269"/>
    </row>
    <row r="10" spans="2:13" ht="23.25" customHeight="1">
      <c r="B10" s="265"/>
      <c r="C10" s="244"/>
      <c r="D10" s="244"/>
      <c r="E10" s="244"/>
      <c r="F10" s="244"/>
      <c r="G10" s="264"/>
      <c r="H10" s="73" t="str">
        <f t="shared" si="0"/>
        <v>-</v>
      </c>
      <c r="I10" s="264"/>
      <c r="J10" s="73" t="str">
        <f t="shared" si="1"/>
        <v>-</v>
      </c>
      <c r="K10" s="264"/>
      <c r="L10" s="73" t="str">
        <f t="shared" si="2"/>
        <v>-</v>
      </c>
      <c r="M10" s="269"/>
    </row>
    <row r="11" spans="2:13" ht="23.25" customHeight="1">
      <c r="B11" s="267"/>
      <c r="C11" s="244"/>
      <c r="D11" s="244"/>
      <c r="E11" s="244"/>
      <c r="F11" s="244"/>
      <c r="G11" s="264"/>
      <c r="H11" s="73" t="str">
        <f t="shared" si="0"/>
        <v>-</v>
      </c>
      <c r="I11" s="264"/>
      <c r="J11" s="73" t="str">
        <f t="shared" si="1"/>
        <v>-</v>
      </c>
      <c r="K11" s="264"/>
      <c r="L11" s="73" t="str">
        <f t="shared" si="2"/>
        <v>-</v>
      </c>
      <c r="M11" s="269"/>
    </row>
    <row r="12" spans="2:13" ht="23.25" customHeight="1">
      <c r="B12" s="265"/>
      <c r="C12" s="244"/>
      <c r="D12" s="244"/>
      <c r="E12" s="244"/>
      <c r="F12" s="244"/>
      <c r="G12" s="264"/>
      <c r="H12" s="73" t="str">
        <f t="shared" si="0"/>
        <v>-</v>
      </c>
      <c r="I12" s="264"/>
      <c r="J12" s="73" t="str">
        <f t="shared" si="1"/>
        <v>-</v>
      </c>
      <c r="K12" s="264"/>
      <c r="L12" s="73" t="str">
        <f t="shared" si="2"/>
        <v>-</v>
      </c>
      <c r="M12" s="269"/>
    </row>
    <row r="13" spans="2:13" ht="23.25" customHeight="1">
      <c r="B13" s="267"/>
      <c r="C13" s="244"/>
      <c r="D13" s="244"/>
      <c r="E13" s="244"/>
      <c r="F13" s="244"/>
      <c r="G13" s="264"/>
      <c r="H13" s="73" t="str">
        <f t="shared" si="0"/>
        <v>-</v>
      </c>
      <c r="I13" s="264"/>
      <c r="J13" s="73" t="str">
        <f t="shared" si="1"/>
        <v>-</v>
      </c>
      <c r="K13" s="264"/>
      <c r="L13" s="73" t="str">
        <f t="shared" si="2"/>
        <v>-</v>
      </c>
      <c r="M13" s="269"/>
    </row>
    <row r="14" spans="2:13" ht="23.25" customHeight="1">
      <c r="B14" s="265"/>
      <c r="C14" s="244"/>
      <c r="D14" s="244"/>
      <c r="E14" s="244"/>
      <c r="F14" s="244"/>
      <c r="G14" s="264"/>
      <c r="H14" s="73" t="str">
        <f t="shared" si="0"/>
        <v>-</v>
      </c>
      <c r="I14" s="264"/>
      <c r="J14" s="73" t="str">
        <f t="shared" si="1"/>
        <v>-</v>
      </c>
      <c r="K14" s="264"/>
      <c r="L14" s="73" t="str">
        <f t="shared" si="2"/>
        <v>-</v>
      </c>
      <c r="M14" s="269"/>
    </row>
    <row r="15" spans="2:13" ht="23.25" customHeight="1">
      <c r="B15" s="268"/>
      <c r="C15" s="273"/>
      <c r="D15" s="273"/>
      <c r="E15" s="273"/>
      <c r="F15" s="273"/>
      <c r="G15" s="264"/>
      <c r="H15" s="73" t="str">
        <f t="shared" si="0"/>
        <v>-</v>
      </c>
      <c r="I15" s="264"/>
      <c r="J15" s="73" t="str">
        <f t="shared" si="1"/>
        <v>-</v>
      </c>
      <c r="K15" s="264"/>
      <c r="L15" s="73" t="str">
        <f t="shared" si="2"/>
        <v>-</v>
      </c>
      <c r="M15" s="269"/>
    </row>
    <row r="16" spans="2:13" ht="23.25" customHeight="1">
      <c r="B16" s="270"/>
      <c r="C16" s="644" t="s">
        <v>113</v>
      </c>
      <c r="D16" s="644"/>
      <c r="E16" s="644"/>
      <c r="F16" s="644"/>
      <c r="G16" s="271"/>
      <c r="H16" s="272" t="s">
        <v>106</v>
      </c>
      <c r="I16" s="271"/>
      <c r="J16" s="272" t="s">
        <v>106</v>
      </c>
      <c r="K16" s="271"/>
      <c r="L16" s="272" t="s">
        <v>106</v>
      </c>
      <c r="M16" s="41"/>
    </row>
  </sheetData>
  <mergeCells count="10">
    <mergeCell ref="B3:B4"/>
    <mergeCell ref="C3:C4"/>
    <mergeCell ref="D3:D4"/>
    <mergeCell ref="E3:E4"/>
    <mergeCell ref="F3:F4"/>
    <mergeCell ref="G3:H3"/>
    <mergeCell ref="I3:J3"/>
    <mergeCell ref="K3:L3"/>
    <mergeCell ref="M3:M4"/>
    <mergeCell ref="C16:F16"/>
  </mergeCells>
  <phoneticPr fontId="60"/>
  <pageMargins left="0.7" right="0.7" top="0.75" bottom="0.75" header="0.511811023622047" footer="0.511811023622047"/>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B2:H15"/>
  <sheetViews>
    <sheetView showGridLines="0" zoomScaleNormal="100" workbookViewId="0">
      <selection activeCell="D18" sqref="D18"/>
    </sheetView>
  </sheetViews>
  <sheetFormatPr defaultColWidth="8.75" defaultRowHeight="18"/>
  <cols>
    <col min="1" max="1" width="3.75" style="242" customWidth="1"/>
    <col min="2" max="2" width="4.4140625" style="242" customWidth="1"/>
    <col min="3" max="3" width="21.75" style="242" customWidth="1"/>
    <col min="4" max="7" width="19" style="242" customWidth="1"/>
    <col min="8" max="8" width="31.5" style="242" customWidth="1"/>
    <col min="9" max="16384" width="8.75" style="242"/>
  </cols>
  <sheetData>
    <row r="2" spans="2:8" ht="18.75" customHeight="1">
      <c r="E2" s="39" t="s">
        <v>43</v>
      </c>
    </row>
    <row r="3" spans="2:8" ht="18.75" customHeight="1">
      <c r="B3" s="621" t="s">
        <v>197</v>
      </c>
      <c r="C3" s="645" t="s">
        <v>198</v>
      </c>
      <c r="D3" s="645" t="s">
        <v>354</v>
      </c>
      <c r="E3" s="648" t="s">
        <v>533</v>
      </c>
      <c r="F3" s="645" t="s">
        <v>355</v>
      </c>
      <c r="G3" s="645" t="s">
        <v>356</v>
      </c>
      <c r="H3" s="630" t="s">
        <v>210</v>
      </c>
    </row>
    <row r="4" spans="2:8" ht="18.75" customHeight="1">
      <c r="B4" s="621"/>
      <c r="C4" s="621"/>
      <c r="D4" s="621"/>
      <c r="E4" s="621"/>
      <c r="F4" s="621"/>
      <c r="G4" s="621"/>
      <c r="H4" s="630"/>
    </row>
    <row r="5" spans="2:8" ht="23.25" customHeight="1">
      <c r="B5" s="263">
        <v>1</v>
      </c>
      <c r="C5" s="244" t="s">
        <v>531</v>
      </c>
      <c r="D5" s="244" t="s">
        <v>532</v>
      </c>
      <c r="E5" s="27">
        <v>21104000</v>
      </c>
      <c r="F5" s="274">
        <v>1000</v>
      </c>
      <c r="G5" s="73">
        <f t="shared" ref="G5:G15" si="0">IFERROR(F5/$F$15,"-")</f>
        <v>1</v>
      </c>
      <c r="H5" s="32" t="s">
        <v>534</v>
      </c>
    </row>
    <row r="6" spans="2:8" ht="23.25" hidden="1" customHeight="1">
      <c r="B6" s="265"/>
      <c r="C6" s="244"/>
      <c r="D6" s="244"/>
      <c r="E6" s="27"/>
      <c r="F6" s="274"/>
      <c r="G6" s="73">
        <f t="shared" si="0"/>
        <v>0</v>
      </c>
      <c r="H6" s="269"/>
    </row>
    <row r="7" spans="2:8" ht="23.25" hidden="1" customHeight="1">
      <c r="B7" s="267"/>
      <c r="C7" s="244"/>
      <c r="D7" s="244"/>
      <c r="E7" s="27"/>
      <c r="F7" s="274"/>
      <c r="G7" s="73">
        <f t="shared" si="0"/>
        <v>0</v>
      </c>
      <c r="H7" s="269"/>
    </row>
    <row r="8" spans="2:8" ht="23.25" hidden="1" customHeight="1">
      <c r="B8" s="265"/>
      <c r="C8" s="244"/>
      <c r="D8" s="244"/>
      <c r="E8" s="27"/>
      <c r="F8" s="274"/>
      <c r="G8" s="73">
        <f t="shared" si="0"/>
        <v>0</v>
      </c>
      <c r="H8" s="269"/>
    </row>
    <row r="9" spans="2:8" ht="23.25" hidden="1" customHeight="1">
      <c r="B9" s="267"/>
      <c r="C9" s="244"/>
      <c r="D9" s="244"/>
      <c r="E9" s="27"/>
      <c r="F9" s="274"/>
      <c r="G9" s="73">
        <f t="shared" si="0"/>
        <v>0</v>
      </c>
      <c r="H9" s="269"/>
    </row>
    <row r="10" spans="2:8" ht="23.25" hidden="1" customHeight="1">
      <c r="B10" s="265"/>
      <c r="C10" s="244"/>
      <c r="D10" s="244"/>
      <c r="E10" s="27"/>
      <c r="F10" s="274"/>
      <c r="G10" s="73">
        <f t="shared" si="0"/>
        <v>0</v>
      </c>
      <c r="H10" s="269"/>
    </row>
    <row r="11" spans="2:8" ht="23.25" hidden="1" customHeight="1">
      <c r="B11" s="267"/>
      <c r="C11" s="244"/>
      <c r="D11" s="244"/>
      <c r="E11" s="27"/>
      <c r="F11" s="274"/>
      <c r="G11" s="73">
        <f t="shared" si="0"/>
        <v>0</v>
      </c>
      <c r="H11" s="269"/>
    </row>
    <row r="12" spans="2:8" ht="23.25" hidden="1" customHeight="1">
      <c r="B12" s="265"/>
      <c r="C12" s="244"/>
      <c r="D12" s="244"/>
      <c r="E12" s="27"/>
      <c r="F12" s="274"/>
      <c r="G12" s="73">
        <f t="shared" si="0"/>
        <v>0</v>
      </c>
      <c r="H12" s="269"/>
    </row>
    <row r="13" spans="2:8" ht="23.25" hidden="1" customHeight="1">
      <c r="B13" s="267"/>
      <c r="C13" s="244"/>
      <c r="D13" s="244"/>
      <c r="E13" s="27"/>
      <c r="F13" s="274"/>
      <c r="G13" s="73">
        <f t="shared" si="0"/>
        <v>0</v>
      </c>
      <c r="H13" s="269"/>
    </row>
    <row r="14" spans="2:8" ht="23.25" hidden="1" customHeight="1">
      <c r="B14" s="265"/>
      <c r="C14" s="244"/>
      <c r="D14" s="244"/>
      <c r="E14" s="27"/>
      <c r="F14" s="274"/>
      <c r="G14" s="73">
        <f t="shared" si="0"/>
        <v>0</v>
      </c>
      <c r="H14" s="269"/>
    </row>
    <row r="15" spans="2:8" ht="23.25" customHeight="1">
      <c r="B15" s="275"/>
      <c r="C15" s="647" t="s">
        <v>113</v>
      </c>
      <c r="D15" s="647"/>
      <c r="E15" s="276">
        <f>SUM(E5:E14)</f>
        <v>21104000</v>
      </c>
      <c r="F15" s="277">
        <f>SUM(F5:F14)</f>
        <v>1000</v>
      </c>
      <c r="G15" s="76">
        <f t="shared" si="0"/>
        <v>1</v>
      </c>
      <c r="H15" s="41"/>
    </row>
  </sheetData>
  <mergeCells count="8">
    <mergeCell ref="G3:G4"/>
    <mergeCell ref="H3:H4"/>
    <mergeCell ref="C15:D15"/>
    <mergeCell ref="B3:B4"/>
    <mergeCell ref="C3:C4"/>
    <mergeCell ref="D3:D4"/>
    <mergeCell ref="E3:E4"/>
    <mergeCell ref="F3:F4"/>
  </mergeCells>
  <phoneticPr fontId="60"/>
  <pageMargins left="0.7" right="0.7" top="0.75" bottom="0.75" header="0.511811023622047" footer="0.511811023622047"/>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B2:H15"/>
  <sheetViews>
    <sheetView showGridLines="0" zoomScale="85" zoomScaleNormal="85" workbookViewId="0">
      <selection activeCell="B2" sqref="B2:H15"/>
    </sheetView>
  </sheetViews>
  <sheetFormatPr defaultColWidth="8.75" defaultRowHeight="18"/>
  <cols>
    <col min="1" max="1" width="3.75" style="242" customWidth="1"/>
    <col min="2" max="2" width="4.4140625" style="242" customWidth="1"/>
    <col min="3" max="3" width="21.75" style="242" customWidth="1"/>
    <col min="4" max="5" width="16.4140625" style="242" customWidth="1"/>
    <col min="6" max="6" width="19.58203125" style="242" customWidth="1"/>
    <col min="7" max="8" width="36.75" style="242" customWidth="1"/>
    <col min="9" max="16384" width="8.75" style="242"/>
  </cols>
  <sheetData>
    <row r="2" spans="2:8" ht="18.75" customHeight="1">
      <c r="F2" s="351" t="s">
        <v>527</v>
      </c>
      <c r="G2" s="39"/>
    </row>
    <row r="3" spans="2:8" ht="18.75" customHeight="1">
      <c r="B3" s="621" t="s">
        <v>197</v>
      </c>
      <c r="C3" s="621" t="s">
        <v>198</v>
      </c>
      <c r="D3" s="621" t="s">
        <v>354</v>
      </c>
      <c r="E3" s="621" t="s">
        <v>357</v>
      </c>
      <c r="F3" s="649" t="s">
        <v>533</v>
      </c>
      <c r="G3" s="649" t="s">
        <v>358</v>
      </c>
      <c r="H3" s="650" t="s">
        <v>210</v>
      </c>
    </row>
    <row r="4" spans="2:8" ht="18.75" customHeight="1">
      <c r="B4" s="621"/>
      <c r="C4" s="621"/>
      <c r="D4" s="621"/>
      <c r="E4" s="621"/>
      <c r="F4" s="621"/>
      <c r="G4" s="621"/>
      <c r="H4" s="650"/>
    </row>
    <row r="5" spans="2:8" ht="23.25" customHeight="1">
      <c r="B5" s="263">
        <v>1</v>
      </c>
      <c r="C5" s="246" t="s">
        <v>359</v>
      </c>
      <c r="D5" s="246" t="s">
        <v>360</v>
      </c>
      <c r="E5" s="246" t="s">
        <v>361</v>
      </c>
      <c r="F5" s="398">
        <v>21104000</v>
      </c>
      <c r="G5" s="558" t="s">
        <v>538</v>
      </c>
      <c r="H5" s="404"/>
    </row>
    <row r="6" spans="2:8" ht="23.25" customHeight="1">
      <c r="B6" s="265">
        <v>2</v>
      </c>
      <c r="C6" s="246" t="s">
        <v>362</v>
      </c>
      <c r="D6" s="246" t="s">
        <v>363</v>
      </c>
      <c r="E6" s="246" t="s">
        <v>536</v>
      </c>
      <c r="F6" s="398">
        <v>1788000</v>
      </c>
      <c r="G6" s="559" t="s">
        <v>537</v>
      </c>
      <c r="H6" s="266" t="s">
        <v>539</v>
      </c>
    </row>
    <row r="7" spans="2:8" ht="23.25" customHeight="1">
      <c r="B7" s="267">
        <v>3</v>
      </c>
      <c r="C7" s="246" t="s">
        <v>364</v>
      </c>
      <c r="D7" s="246" t="s">
        <v>363</v>
      </c>
      <c r="E7" s="246" t="s">
        <v>535</v>
      </c>
      <c r="F7" s="398">
        <v>1800000</v>
      </c>
      <c r="G7" s="559" t="s">
        <v>537</v>
      </c>
      <c r="H7" s="266" t="s">
        <v>539</v>
      </c>
    </row>
    <row r="8" spans="2:8" ht="23.25" hidden="1" customHeight="1">
      <c r="B8" s="265"/>
      <c r="C8" s="246"/>
      <c r="D8" s="246"/>
      <c r="E8" s="246"/>
      <c r="F8" s="398"/>
      <c r="G8" s="559"/>
      <c r="H8" s="266"/>
    </row>
    <row r="9" spans="2:8" ht="23.25" hidden="1" customHeight="1">
      <c r="B9" s="279"/>
      <c r="C9" s="246"/>
      <c r="D9" s="246"/>
      <c r="E9" s="246"/>
      <c r="F9" s="398"/>
      <c r="G9" s="559"/>
      <c r="H9" s="266"/>
    </row>
    <row r="10" spans="2:8" ht="23.25" hidden="1" customHeight="1">
      <c r="B10" s="280"/>
      <c r="C10" s="246"/>
      <c r="D10" s="246"/>
      <c r="E10" s="246"/>
      <c r="F10" s="398"/>
      <c r="G10" s="559"/>
      <c r="H10" s="266"/>
    </row>
    <row r="11" spans="2:8" ht="23.25" hidden="1" customHeight="1">
      <c r="B11" s="279"/>
      <c r="C11" s="246"/>
      <c r="D11" s="246"/>
      <c r="E11" s="246"/>
      <c r="F11" s="398"/>
      <c r="G11" s="559"/>
      <c r="H11" s="266"/>
    </row>
    <row r="12" spans="2:8" ht="23.25" hidden="1" customHeight="1">
      <c r="B12" s="280"/>
      <c r="C12" s="246"/>
      <c r="D12" s="246"/>
      <c r="E12" s="246"/>
      <c r="F12" s="398"/>
      <c r="G12" s="559"/>
      <c r="H12" s="266"/>
    </row>
    <row r="13" spans="2:8" ht="23.25" hidden="1" customHeight="1">
      <c r="B13" s="279"/>
      <c r="C13" s="246"/>
      <c r="D13" s="246"/>
      <c r="E13" s="246"/>
      <c r="F13" s="398"/>
      <c r="G13" s="559"/>
      <c r="H13" s="266"/>
    </row>
    <row r="14" spans="2:8" ht="23.25" hidden="1" customHeight="1">
      <c r="B14" s="280"/>
      <c r="C14" s="246"/>
      <c r="D14" s="246"/>
      <c r="E14" s="246"/>
      <c r="F14" s="398"/>
      <c r="G14" s="559"/>
      <c r="H14" s="266"/>
    </row>
    <row r="15" spans="2:8" ht="23.25" customHeight="1">
      <c r="B15" s="275"/>
      <c r="C15" s="651" t="s">
        <v>113</v>
      </c>
      <c r="D15" s="651"/>
      <c r="E15" s="651"/>
      <c r="F15" s="560">
        <f>SUM(F5:F14)</f>
        <v>24692000</v>
      </c>
      <c r="G15" s="281"/>
      <c r="H15" s="561"/>
    </row>
  </sheetData>
  <mergeCells count="8">
    <mergeCell ref="G3:G4"/>
    <mergeCell ref="H3:H4"/>
    <mergeCell ref="C15:E15"/>
    <mergeCell ref="B3:B4"/>
    <mergeCell ref="C3:C4"/>
    <mergeCell ref="D3:D4"/>
    <mergeCell ref="E3:E4"/>
    <mergeCell ref="F3:F4"/>
  </mergeCells>
  <phoneticPr fontId="60"/>
  <pageMargins left="0.7" right="0.7" top="0.75" bottom="0.75" header="0.511811023622047" footer="0.511811023622047"/>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B1:U34"/>
  <sheetViews>
    <sheetView showGridLines="0" zoomScale="74" zoomScaleNormal="100" workbookViewId="0">
      <selection activeCell="U5" sqref="U5:U6"/>
    </sheetView>
  </sheetViews>
  <sheetFormatPr defaultColWidth="8.5" defaultRowHeight="18"/>
  <cols>
    <col min="1" max="1" width="8.5" style="242"/>
    <col min="2" max="2" width="6" style="351" customWidth="1"/>
    <col min="3" max="4" width="13.5" style="253" hidden="1" customWidth="1"/>
    <col min="5" max="5" width="13.5" style="253" customWidth="1"/>
    <col min="6" max="6" width="6.6640625" style="253" customWidth="1"/>
    <col min="7" max="7" width="20.75" style="540" hidden="1" customWidth="1"/>
    <col min="8" max="8" width="14.4140625" style="540" customWidth="1"/>
    <col min="9" max="9" width="13.5" style="39" hidden="1" customWidth="1"/>
    <col min="10" max="10" width="14.4140625" style="39" customWidth="1"/>
    <col min="11" max="12" width="13.5" style="313" customWidth="1"/>
    <col min="13" max="13" width="16.1640625" style="391" customWidth="1"/>
    <col min="14" max="16" width="16.1640625" style="391" hidden="1" customWidth="1"/>
    <col min="17" max="17" width="55.5" style="391" customWidth="1"/>
    <col min="18" max="16384" width="8.5" style="242"/>
  </cols>
  <sheetData>
    <row r="1" spans="2:21" ht="18" customHeight="1">
      <c r="K1" s="242"/>
      <c r="L1" s="242"/>
    </row>
    <row r="2" spans="2:21" ht="18" customHeight="1">
      <c r="F2" s="541" t="s">
        <v>365</v>
      </c>
      <c r="G2" s="542">
        <f ca="1">TODAY()</f>
        <v>46237</v>
      </c>
      <c r="K2" s="242"/>
      <c r="L2" s="242"/>
    </row>
    <row r="3" spans="2:21" ht="18" customHeight="1">
      <c r="G3" s="540" t="s">
        <v>366</v>
      </c>
      <c r="I3" s="540" t="s">
        <v>366</v>
      </c>
      <c r="K3" s="242"/>
      <c r="L3" s="242"/>
      <c r="M3" s="562" t="s">
        <v>546</v>
      </c>
    </row>
    <row r="4" spans="2:21" ht="39" customHeight="1">
      <c r="B4" s="204" t="s">
        <v>197</v>
      </c>
      <c r="C4" s="543" t="s">
        <v>198</v>
      </c>
      <c r="D4" s="544" t="s">
        <v>367</v>
      </c>
      <c r="E4" s="544" t="s">
        <v>368</v>
      </c>
      <c r="F4" s="544" t="s">
        <v>369</v>
      </c>
      <c r="G4" s="543" t="s">
        <v>370</v>
      </c>
      <c r="H4" s="545" t="s">
        <v>371</v>
      </c>
      <c r="I4" s="546" t="s">
        <v>372</v>
      </c>
      <c r="J4" s="547" t="s">
        <v>373</v>
      </c>
      <c r="K4" s="228" t="s">
        <v>374</v>
      </c>
      <c r="L4" s="228" t="s">
        <v>354</v>
      </c>
      <c r="M4" s="547" t="s">
        <v>543</v>
      </c>
      <c r="N4" s="228" t="s">
        <v>375</v>
      </c>
      <c r="O4" s="228" t="s">
        <v>376</v>
      </c>
      <c r="P4" s="228" t="s">
        <v>377</v>
      </c>
      <c r="Q4" s="1" t="s">
        <v>210</v>
      </c>
    </row>
    <row r="5" spans="2:21" ht="22.5" customHeight="1">
      <c r="B5" s="267">
        <v>1</v>
      </c>
      <c r="C5" s="283"/>
      <c r="D5" s="283" t="s">
        <v>378</v>
      </c>
      <c r="E5" s="283" t="s">
        <v>379</v>
      </c>
      <c r="F5" s="283" t="s">
        <v>380</v>
      </c>
      <c r="G5" s="548">
        <v>30897</v>
      </c>
      <c r="H5" s="549">
        <f t="shared" ref="H5:H34" ca="1" si="0">ROUNDDOWN(($G$2-G5)/365,0)</f>
        <v>42</v>
      </c>
      <c r="I5" s="548">
        <v>41730</v>
      </c>
      <c r="J5" s="549">
        <f t="shared" ref="J5:J34" ca="1" si="1">ROUNDDOWN(($G$2-I5)/365,0)</f>
        <v>12</v>
      </c>
      <c r="K5" s="550" t="s">
        <v>381</v>
      </c>
      <c r="L5" s="550" t="s">
        <v>540</v>
      </c>
      <c r="M5" s="551">
        <v>464600</v>
      </c>
      <c r="N5" s="551">
        <v>0</v>
      </c>
      <c r="O5" s="551">
        <v>1691608</v>
      </c>
      <c r="P5" s="552">
        <v>6820808</v>
      </c>
      <c r="Q5" s="308"/>
      <c r="T5" s="242" t="s">
        <v>592</v>
      </c>
      <c r="U5" s="585">
        <f ca="1">AVERAGE(H5:H11)</f>
        <v>30.571428571428573</v>
      </c>
    </row>
    <row r="6" spans="2:21" ht="22.5" customHeight="1">
      <c r="B6" s="553">
        <v>2</v>
      </c>
      <c r="C6" s="285"/>
      <c r="D6" s="285" t="s">
        <v>382</v>
      </c>
      <c r="E6" s="285" t="s">
        <v>379</v>
      </c>
      <c r="F6" s="285" t="s">
        <v>383</v>
      </c>
      <c r="G6" s="554">
        <v>31097</v>
      </c>
      <c r="H6" s="549">
        <f t="shared" ca="1" si="0"/>
        <v>41</v>
      </c>
      <c r="I6" s="555">
        <v>42217</v>
      </c>
      <c r="J6" s="549">
        <f t="shared" ca="1" si="1"/>
        <v>11</v>
      </c>
      <c r="K6" s="246" t="s">
        <v>381</v>
      </c>
      <c r="L6" s="246" t="s">
        <v>541</v>
      </c>
      <c r="M6" s="556">
        <v>413400</v>
      </c>
      <c r="N6" s="556">
        <v>0</v>
      </c>
      <c r="O6" s="556">
        <v>772645</v>
      </c>
      <c r="P6" s="301">
        <v>5349445</v>
      </c>
      <c r="Q6" s="557"/>
      <c r="T6" s="242" t="s">
        <v>593</v>
      </c>
      <c r="U6" s="585">
        <f ca="1">AVERAGE(J5:J11)</f>
        <v>5.4285714285714288</v>
      </c>
    </row>
    <row r="7" spans="2:21" ht="22.5" customHeight="1">
      <c r="B7" s="267">
        <v>3</v>
      </c>
      <c r="C7" s="285"/>
      <c r="D7" s="285" t="s">
        <v>384</v>
      </c>
      <c r="E7" s="285" t="s">
        <v>379</v>
      </c>
      <c r="F7" s="285" t="s">
        <v>383</v>
      </c>
      <c r="G7" s="554">
        <v>34789</v>
      </c>
      <c r="H7" s="549">
        <f t="shared" ca="1" si="0"/>
        <v>31</v>
      </c>
      <c r="I7" s="555">
        <v>42828</v>
      </c>
      <c r="J7" s="549">
        <f t="shared" ca="1" si="1"/>
        <v>9</v>
      </c>
      <c r="K7" s="246" t="s">
        <v>381</v>
      </c>
      <c r="L7" s="246"/>
      <c r="M7" s="556">
        <v>229500</v>
      </c>
      <c r="N7" s="556">
        <v>0</v>
      </c>
      <c r="O7" s="556">
        <v>0</v>
      </c>
      <c r="P7" s="301">
        <v>316929</v>
      </c>
      <c r="Q7" s="557" t="s">
        <v>544</v>
      </c>
    </row>
    <row r="8" spans="2:21" ht="22.5" customHeight="1">
      <c r="B8" s="553">
        <v>4</v>
      </c>
      <c r="C8" s="285"/>
      <c r="D8" s="285" t="s">
        <v>385</v>
      </c>
      <c r="E8" s="285" t="s">
        <v>379</v>
      </c>
      <c r="F8" s="285" t="s">
        <v>383</v>
      </c>
      <c r="G8" s="554">
        <v>36308</v>
      </c>
      <c r="H8" s="549">
        <f t="shared" ca="1" si="0"/>
        <v>27</v>
      </c>
      <c r="I8" s="555">
        <v>44531</v>
      </c>
      <c r="J8" s="549">
        <f t="shared" ca="1" si="1"/>
        <v>4</v>
      </c>
      <c r="K8" s="246" t="s">
        <v>381</v>
      </c>
      <c r="L8" s="246" t="s">
        <v>542</v>
      </c>
      <c r="M8" s="556">
        <v>347800</v>
      </c>
      <c r="N8" s="556">
        <v>0</v>
      </c>
      <c r="O8" s="556">
        <v>1610718</v>
      </c>
      <c r="P8" s="301">
        <v>5506318</v>
      </c>
      <c r="Q8" s="557"/>
    </row>
    <row r="9" spans="2:21" ht="22.5" customHeight="1">
      <c r="B9" s="267">
        <v>5</v>
      </c>
      <c r="C9" s="285"/>
      <c r="D9" s="285" t="s">
        <v>386</v>
      </c>
      <c r="E9" s="285" t="s">
        <v>379</v>
      </c>
      <c r="F9" s="285" t="s">
        <v>383</v>
      </c>
      <c r="G9" s="554">
        <v>38389</v>
      </c>
      <c r="H9" s="549">
        <f t="shared" ca="1" si="0"/>
        <v>21</v>
      </c>
      <c r="I9" s="555">
        <v>45748</v>
      </c>
      <c r="J9" s="549">
        <f t="shared" ca="1" si="1"/>
        <v>1</v>
      </c>
      <c r="K9" s="246" t="s">
        <v>381</v>
      </c>
      <c r="L9" s="246"/>
      <c r="M9" s="556">
        <v>262480</v>
      </c>
      <c r="N9" s="556">
        <v>0</v>
      </c>
      <c r="O9" s="556">
        <v>305343</v>
      </c>
      <c r="P9" s="301">
        <v>3230303</v>
      </c>
      <c r="Q9" s="557"/>
    </row>
    <row r="10" spans="2:21" ht="22.5" customHeight="1">
      <c r="B10" s="553">
        <v>6</v>
      </c>
      <c r="C10" s="285"/>
      <c r="D10" s="285" t="s">
        <v>387</v>
      </c>
      <c r="E10" s="285" t="s">
        <v>379</v>
      </c>
      <c r="F10" s="285" t="s">
        <v>383</v>
      </c>
      <c r="G10" s="554">
        <v>36793</v>
      </c>
      <c r="H10" s="549">
        <f t="shared" ca="1" si="0"/>
        <v>25</v>
      </c>
      <c r="I10" s="555">
        <v>45809</v>
      </c>
      <c r="J10" s="549">
        <f t="shared" ca="1" si="1"/>
        <v>1</v>
      </c>
      <c r="K10" s="246" t="s">
        <v>388</v>
      </c>
      <c r="L10" s="246"/>
      <c r="M10" s="556">
        <v>275600</v>
      </c>
      <c r="N10" s="556">
        <v>0</v>
      </c>
      <c r="O10" s="556">
        <v>305343</v>
      </c>
      <c r="P10" s="301">
        <v>3312345</v>
      </c>
      <c r="Q10" s="557"/>
    </row>
    <row r="11" spans="2:21" ht="22.5" customHeight="1">
      <c r="B11" s="267">
        <v>7</v>
      </c>
      <c r="C11" s="285"/>
      <c r="D11" s="285" t="s">
        <v>389</v>
      </c>
      <c r="E11" s="285" t="s">
        <v>379</v>
      </c>
      <c r="F11" s="285" t="s">
        <v>383</v>
      </c>
      <c r="G11" s="554">
        <v>36257</v>
      </c>
      <c r="H11" s="549">
        <f t="shared" ca="1" si="0"/>
        <v>27</v>
      </c>
      <c r="I11" s="555">
        <v>46113</v>
      </c>
      <c r="J11" s="549">
        <f t="shared" ca="1" si="1"/>
        <v>0</v>
      </c>
      <c r="K11" s="246" t="s">
        <v>388</v>
      </c>
      <c r="L11" s="246"/>
      <c r="M11" s="556">
        <v>315000</v>
      </c>
      <c r="N11" s="556">
        <v>0</v>
      </c>
      <c r="O11" s="556">
        <v>0</v>
      </c>
      <c r="P11" s="301">
        <v>630000</v>
      </c>
      <c r="Q11" s="557" t="s">
        <v>545</v>
      </c>
    </row>
    <row r="12" spans="2:21" ht="22.5" customHeight="1">
      <c r="B12" s="553"/>
      <c r="C12" s="285"/>
      <c r="D12" s="285"/>
      <c r="E12" s="285"/>
      <c r="F12" s="285"/>
      <c r="G12" s="286"/>
      <c r="H12" s="549">
        <f t="shared" ca="1" si="0"/>
        <v>126</v>
      </c>
      <c r="I12" s="301"/>
      <c r="J12" s="549">
        <f t="shared" ca="1" si="1"/>
        <v>126</v>
      </c>
      <c r="K12" s="246"/>
      <c r="L12" s="246"/>
      <c r="M12" s="556"/>
      <c r="N12" s="556"/>
      <c r="O12" s="556"/>
      <c r="P12" s="301"/>
      <c r="Q12" s="557"/>
    </row>
    <row r="13" spans="2:21" ht="22.5" customHeight="1">
      <c r="B13" s="267"/>
      <c r="C13" s="285"/>
      <c r="D13" s="285"/>
      <c r="E13" s="285"/>
      <c r="F13" s="285"/>
      <c r="G13" s="286"/>
      <c r="H13" s="549">
        <f t="shared" ca="1" si="0"/>
        <v>126</v>
      </c>
      <c r="I13" s="301"/>
      <c r="J13" s="549">
        <f t="shared" ca="1" si="1"/>
        <v>126</v>
      </c>
      <c r="K13" s="246"/>
      <c r="L13" s="246"/>
      <c r="M13" s="556"/>
      <c r="N13" s="556"/>
      <c r="O13" s="556"/>
      <c r="P13" s="301"/>
      <c r="Q13" s="557"/>
    </row>
    <row r="14" spans="2:21" ht="22.5" customHeight="1">
      <c r="B14" s="553"/>
      <c r="C14" s="285"/>
      <c r="D14" s="285"/>
      <c r="E14" s="285"/>
      <c r="F14" s="285"/>
      <c r="G14" s="286"/>
      <c r="H14" s="549">
        <f t="shared" ca="1" si="0"/>
        <v>126</v>
      </c>
      <c r="I14" s="301"/>
      <c r="J14" s="549">
        <f t="shared" ca="1" si="1"/>
        <v>126</v>
      </c>
      <c r="K14" s="246"/>
      <c r="L14" s="246"/>
      <c r="M14" s="556"/>
      <c r="N14" s="556"/>
      <c r="O14" s="556"/>
      <c r="P14" s="301"/>
      <c r="Q14" s="557"/>
    </row>
    <row r="15" spans="2:21" ht="22.5" customHeight="1">
      <c r="B15" s="267"/>
      <c r="C15" s="285"/>
      <c r="D15" s="285"/>
      <c r="E15" s="285"/>
      <c r="F15" s="285"/>
      <c r="G15" s="286"/>
      <c r="H15" s="549">
        <f t="shared" ca="1" si="0"/>
        <v>126</v>
      </c>
      <c r="I15" s="301"/>
      <c r="J15" s="549">
        <f t="shared" ca="1" si="1"/>
        <v>126</v>
      </c>
      <c r="K15" s="246"/>
      <c r="L15" s="246"/>
      <c r="M15" s="556"/>
      <c r="N15" s="556"/>
      <c r="O15" s="556"/>
      <c r="P15" s="301"/>
      <c r="Q15" s="557"/>
    </row>
    <row r="16" spans="2:21" ht="22.5" customHeight="1">
      <c r="B16" s="553"/>
      <c r="C16" s="285"/>
      <c r="D16" s="285"/>
      <c r="E16" s="285"/>
      <c r="F16" s="285"/>
      <c r="G16" s="286"/>
      <c r="H16" s="549">
        <f t="shared" ca="1" si="0"/>
        <v>126</v>
      </c>
      <c r="I16" s="301"/>
      <c r="J16" s="549">
        <f t="shared" ca="1" si="1"/>
        <v>126</v>
      </c>
      <c r="K16" s="246"/>
      <c r="L16" s="246"/>
      <c r="M16" s="556"/>
      <c r="N16" s="556"/>
      <c r="O16" s="556"/>
      <c r="P16" s="301"/>
      <c r="Q16" s="557"/>
    </row>
    <row r="17" spans="2:17" ht="22.5" customHeight="1">
      <c r="B17" s="267"/>
      <c r="C17" s="285"/>
      <c r="D17" s="285"/>
      <c r="E17" s="285"/>
      <c r="F17" s="285"/>
      <c r="G17" s="286"/>
      <c r="H17" s="549">
        <f t="shared" ca="1" si="0"/>
        <v>126</v>
      </c>
      <c r="I17" s="301"/>
      <c r="J17" s="549">
        <f t="shared" ca="1" si="1"/>
        <v>126</v>
      </c>
      <c r="K17" s="246"/>
      <c r="L17" s="246"/>
      <c r="M17" s="556"/>
      <c r="N17" s="556"/>
      <c r="O17" s="556"/>
      <c r="P17" s="301"/>
      <c r="Q17" s="557"/>
    </row>
    <row r="18" spans="2:17" ht="22.5" customHeight="1">
      <c r="B18" s="553"/>
      <c r="C18" s="285"/>
      <c r="D18" s="285"/>
      <c r="E18" s="285"/>
      <c r="F18" s="285"/>
      <c r="G18" s="286"/>
      <c r="H18" s="549">
        <f t="shared" ca="1" si="0"/>
        <v>126</v>
      </c>
      <c r="I18" s="301"/>
      <c r="J18" s="549">
        <f t="shared" ca="1" si="1"/>
        <v>126</v>
      </c>
      <c r="K18" s="246"/>
      <c r="L18" s="246"/>
      <c r="M18" s="556"/>
      <c r="N18" s="556"/>
      <c r="O18" s="556"/>
      <c r="P18" s="301"/>
      <c r="Q18" s="557"/>
    </row>
    <row r="19" spans="2:17" ht="22.5" customHeight="1">
      <c r="B19" s="267"/>
      <c r="C19" s="285"/>
      <c r="D19" s="285"/>
      <c r="E19" s="285"/>
      <c r="F19" s="285"/>
      <c r="G19" s="286"/>
      <c r="H19" s="549">
        <f t="shared" ca="1" si="0"/>
        <v>126</v>
      </c>
      <c r="I19" s="301"/>
      <c r="J19" s="549">
        <f t="shared" ca="1" si="1"/>
        <v>126</v>
      </c>
      <c r="K19" s="246"/>
      <c r="L19" s="246"/>
      <c r="M19" s="556"/>
      <c r="N19" s="556"/>
      <c r="O19" s="556"/>
      <c r="P19" s="301"/>
      <c r="Q19" s="557"/>
    </row>
    <row r="20" spans="2:17" ht="22.5" customHeight="1">
      <c r="B20" s="553"/>
      <c r="C20" s="285"/>
      <c r="D20" s="285"/>
      <c r="E20" s="285"/>
      <c r="F20" s="285"/>
      <c r="G20" s="286"/>
      <c r="H20" s="549">
        <f t="shared" ca="1" si="0"/>
        <v>126</v>
      </c>
      <c r="I20" s="301"/>
      <c r="J20" s="549">
        <f t="shared" ca="1" si="1"/>
        <v>126</v>
      </c>
      <c r="K20" s="246"/>
      <c r="L20" s="246"/>
      <c r="M20" s="556"/>
      <c r="N20" s="556"/>
      <c r="O20" s="556"/>
      <c r="P20" s="301"/>
      <c r="Q20" s="557"/>
    </row>
    <row r="21" spans="2:17" ht="22.5" customHeight="1">
      <c r="B21" s="267"/>
      <c r="C21" s="285"/>
      <c r="D21" s="285"/>
      <c r="E21" s="285"/>
      <c r="F21" s="285"/>
      <c r="G21" s="286"/>
      <c r="H21" s="549">
        <f t="shared" ca="1" si="0"/>
        <v>126</v>
      </c>
      <c r="I21" s="301"/>
      <c r="J21" s="549">
        <f t="shared" ca="1" si="1"/>
        <v>126</v>
      </c>
      <c r="K21" s="246"/>
      <c r="L21" s="246"/>
      <c r="M21" s="556"/>
      <c r="N21" s="556"/>
      <c r="O21" s="556"/>
      <c r="P21" s="301"/>
      <c r="Q21" s="557"/>
    </row>
    <row r="22" spans="2:17" ht="22.5" customHeight="1">
      <c r="B22" s="553"/>
      <c r="C22" s="285"/>
      <c r="D22" s="285"/>
      <c r="E22" s="285"/>
      <c r="F22" s="285"/>
      <c r="G22" s="286"/>
      <c r="H22" s="549">
        <f t="shared" ca="1" si="0"/>
        <v>126</v>
      </c>
      <c r="I22" s="301"/>
      <c r="J22" s="549">
        <f t="shared" ca="1" si="1"/>
        <v>126</v>
      </c>
      <c r="K22" s="246"/>
      <c r="L22" s="246"/>
      <c r="M22" s="556"/>
      <c r="N22" s="556"/>
      <c r="O22" s="556"/>
      <c r="P22" s="301"/>
      <c r="Q22" s="557"/>
    </row>
    <row r="23" spans="2:17" ht="22.5" customHeight="1">
      <c r="B23" s="267"/>
      <c r="C23" s="285"/>
      <c r="D23" s="285"/>
      <c r="E23" s="285"/>
      <c r="F23" s="285"/>
      <c r="G23" s="286"/>
      <c r="H23" s="549">
        <f t="shared" ca="1" si="0"/>
        <v>126</v>
      </c>
      <c r="I23" s="301"/>
      <c r="J23" s="549">
        <f t="shared" ca="1" si="1"/>
        <v>126</v>
      </c>
      <c r="K23" s="246"/>
      <c r="L23" s="246"/>
      <c r="M23" s="556"/>
      <c r="N23" s="556"/>
      <c r="O23" s="556"/>
      <c r="P23" s="301"/>
      <c r="Q23" s="557"/>
    </row>
    <row r="24" spans="2:17" ht="22.5" customHeight="1">
      <c r="B24" s="553"/>
      <c r="C24" s="285"/>
      <c r="D24" s="285"/>
      <c r="E24" s="285"/>
      <c r="F24" s="285"/>
      <c r="G24" s="286"/>
      <c r="H24" s="549">
        <f t="shared" ca="1" si="0"/>
        <v>126</v>
      </c>
      <c r="I24" s="301"/>
      <c r="J24" s="549">
        <f t="shared" ca="1" si="1"/>
        <v>126</v>
      </c>
      <c r="K24" s="246"/>
      <c r="L24" s="246"/>
      <c r="M24" s="556"/>
      <c r="N24" s="556"/>
      <c r="O24" s="556"/>
      <c r="P24" s="301"/>
      <c r="Q24" s="557"/>
    </row>
    <row r="25" spans="2:17" ht="22.5" customHeight="1">
      <c r="B25" s="267"/>
      <c r="C25" s="285"/>
      <c r="D25" s="285"/>
      <c r="E25" s="285"/>
      <c r="F25" s="285"/>
      <c r="G25" s="286"/>
      <c r="H25" s="549">
        <f t="shared" ca="1" si="0"/>
        <v>126</v>
      </c>
      <c r="I25" s="301"/>
      <c r="J25" s="549">
        <f t="shared" ca="1" si="1"/>
        <v>126</v>
      </c>
      <c r="K25" s="246"/>
      <c r="L25" s="246"/>
      <c r="M25" s="556"/>
      <c r="N25" s="556"/>
      <c r="O25" s="556"/>
      <c r="P25" s="301"/>
      <c r="Q25" s="557"/>
    </row>
    <row r="26" spans="2:17" ht="22.5" customHeight="1">
      <c r="B26" s="553">
        <v>22</v>
      </c>
      <c r="C26" s="285"/>
      <c r="D26" s="285"/>
      <c r="E26" s="285"/>
      <c r="F26" s="285"/>
      <c r="G26" s="286"/>
      <c r="H26" s="549">
        <f t="shared" ca="1" si="0"/>
        <v>126</v>
      </c>
      <c r="I26" s="301"/>
      <c r="J26" s="549">
        <f t="shared" ca="1" si="1"/>
        <v>126</v>
      </c>
      <c r="K26" s="246"/>
      <c r="L26" s="246"/>
      <c r="M26" s="556"/>
      <c r="N26" s="556"/>
      <c r="O26" s="556"/>
      <c r="P26" s="301"/>
      <c r="Q26" s="557"/>
    </row>
    <row r="27" spans="2:17" ht="22.5" customHeight="1">
      <c r="B27" s="267">
        <v>23</v>
      </c>
      <c r="C27" s="285"/>
      <c r="D27" s="285"/>
      <c r="E27" s="285"/>
      <c r="F27" s="285"/>
      <c r="G27" s="286"/>
      <c r="H27" s="549">
        <f t="shared" ca="1" si="0"/>
        <v>126</v>
      </c>
      <c r="I27" s="301"/>
      <c r="J27" s="549">
        <f t="shared" ca="1" si="1"/>
        <v>126</v>
      </c>
      <c r="K27" s="246"/>
      <c r="L27" s="246"/>
      <c r="M27" s="556"/>
      <c r="N27" s="556"/>
      <c r="O27" s="556"/>
      <c r="P27" s="301"/>
      <c r="Q27" s="557"/>
    </row>
    <row r="28" spans="2:17" ht="22.5" customHeight="1">
      <c r="B28" s="553">
        <v>24</v>
      </c>
      <c r="C28" s="285"/>
      <c r="D28" s="285"/>
      <c r="E28" s="285"/>
      <c r="F28" s="285"/>
      <c r="G28" s="286"/>
      <c r="H28" s="549">
        <f t="shared" ca="1" si="0"/>
        <v>126</v>
      </c>
      <c r="I28" s="301"/>
      <c r="J28" s="549">
        <f t="shared" ca="1" si="1"/>
        <v>126</v>
      </c>
      <c r="K28" s="246"/>
      <c r="L28" s="246"/>
      <c r="M28" s="556"/>
      <c r="N28" s="556"/>
      <c r="O28" s="556"/>
      <c r="P28" s="301"/>
      <c r="Q28" s="557"/>
    </row>
    <row r="29" spans="2:17" ht="22.5" customHeight="1">
      <c r="B29" s="267">
        <v>25</v>
      </c>
      <c r="C29" s="285"/>
      <c r="D29" s="285"/>
      <c r="E29" s="285"/>
      <c r="F29" s="285"/>
      <c r="G29" s="286"/>
      <c r="H29" s="549">
        <f t="shared" ca="1" si="0"/>
        <v>126</v>
      </c>
      <c r="I29" s="301"/>
      <c r="J29" s="549">
        <f t="shared" ca="1" si="1"/>
        <v>126</v>
      </c>
      <c r="K29" s="246"/>
      <c r="L29" s="246"/>
      <c r="M29" s="556"/>
      <c r="N29" s="556"/>
      <c r="O29" s="556"/>
      <c r="P29" s="301"/>
      <c r="Q29" s="557"/>
    </row>
    <row r="30" spans="2:17" ht="22.5" customHeight="1">
      <c r="B30" s="553">
        <v>26</v>
      </c>
      <c r="C30" s="285"/>
      <c r="D30" s="285"/>
      <c r="E30" s="285"/>
      <c r="F30" s="285"/>
      <c r="G30" s="286"/>
      <c r="H30" s="549">
        <f t="shared" ca="1" si="0"/>
        <v>126</v>
      </c>
      <c r="I30" s="301"/>
      <c r="J30" s="549">
        <f t="shared" ca="1" si="1"/>
        <v>126</v>
      </c>
      <c r="K30" s="246"/>
      <c r="L30" s="246"/>
      <c r="M30" s="556"/>
      <c r="N30" s="556"/>
      <c r="O30" s="556"/>
      <c r="P30" s="301"/>
      <c r="Q30" s="557"/>
    </row>
    <row r="31" spans="2:17" ht="22.5" customHeight="1">
      <c r="B31" s="267">
        <v>27</v>
      </c>
      <c r="C31" s="285"/>
      <c r="D31" s="285"/>
      <c r="E31" s="285"/>
      <c r="F31" s="285"/>
      <c r="G31" s="286"/>
      <c r="H31" s="549">
        <f t="shared" ca="1" si="0"/>
        <v>126</v>
      </c>
      <c r="I31" s="301"/>
      <c r="J31" s="549">
        <f t="shared" ca="1" si="1"/>
        <v>126</v>
      </c>
      <c r="K31" s="246"/>
      <c r="L31" s="246"/>
      <c r="M31" s="556"/>
      <c r="N31" s="556"/>
      <c r="O31" s="556"/>
      <c r="P31" s="301"/>
      <c r="Q31" s="302"/>
    </row>
    <row r="32" spans="2:17" ht="22.5" customHeight="1">
      <c r="B32" s="553">
        <v>28</v>
      </c>
      <c r="C32" s="285"/>
      <c r="D32" s="285"/>
      <c r="E32" s="285"/>
      <c r="F32" s="285"/>
      <c r="G32" s="286"/>
      <c r="H32" s="549">
        <f t="shared" ca="1" si="0"/>
        <v>126</v>
      </c>
      <c r="I32" s="301"/>
      <c r="J32" s="549">
        <f t="shared" ca="1" si="1"/>
        <v>126</v>
      </c>
      <c r="K32" s="246"/>
      <c r="L32" s="246"/>
      <c r="M32" s="556"/>
      <c r="N32" s="556"/>
      <c r="O32" s="556"/>
      <c r="P32" s="301"/>
      <c r="Q32" s="302"/>
    </row>
    <row r="33" spans="2:17" ht="22.5" customHeight="1">
      <c r="B33" s="267">
        <v>29</v>
      </c>
      <c r="C33" s="285"/>
      <c r="D33" s="285"/>
      <c r="E33" s="285"/>
      <c r="F33" s="285"/>
      <c r="G33" s="286"/>
      <c r="H33" s="549">
        <f t="shared" ca="1" si="0"/>
        <v>126</v>
      </c>
      <c r="I33" s="301"/>
      <c r="J33" s="549">
        <f t="shared" ca="1" si="1"/>
        <v>126</v>
      </c>
      <c r="K33" s="246"/>
      <c r="L33" s="246"/>
      <c r="M33" s="556"/>
      <c r="N33" s="556"/>
      <c r="O33" s="556"/>
      <c r="P33" s="301"/>
      <c r="Q33" s="302"/>
    </row>
    <row r="34" spans="2:17" ht="22.5" customHeight="1">
      <c r="B34" s="553">
        <v>30</v>
      </c>
      <c r="C34" s="285"/>
      <c r="D34" s="285"/>
      <c r="E34" s="285"/>
      <c r="F34" s="285"/>
      <c r="G34" s="286"/>
      <c r="H34" s="549">
        <f t="shared" ca="1" si="0"/>
        <v>126</v>
      </c>
      <c r="I34" s="301"/>
      <c r="J34" s="549">
        <f t="shared" ca="1" si="1"/>
        <v>126</v>
      </c>
      <c r="K34" s="246"/>
      <c r="L34" s="246"/>
      <c r="M34" s="556"/>
      <c r="N34" s="556"/>
      <c r="O34" s="556"/>
      <c r="P34" s="301"/>
      <c r="Q34" s="302"/>
    </row>
  </sheetData>
  <phoneticPr fontId="60"/>
  <pageMargins left="0.7" right="0.7" top="0.75" bottom="0.75" header="0.511811023622047" footer="0.511811023622047"/>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B2:G3"/>
  <sheetViews>
    <sheetView showGridLines="0" zoomScale="85" zoomScaleNormal="85" workbookViewId="0">
      <selection activeCell="G7" sqref="G7"/>
    </sheetView>
  </sheetViews>
  <sheetFormatPr defaultColWidth="8.75" defaultRowHeight="18"/>
  <cols>
    <col min="1" max="1" width="8.75" style="242"/>
    <col min="2" max="2" width="40.75" style="242" bestFit="1" customWidth="1"/>
    <col min="3" max="3" width="16.1640625" style="242" customWidth="1"/>
    <col min="4" max="6" width="13.25" style="242" customWidth="1"/>
    <col min="7" max="7" width="55.5" style="242" customWidth="1"/>
    <col min="8" max="16384" width="8.75" style="242"/>
  </cols>
  <sheetData>
    <row r="2" spans="2:7" ht="39" customHeight="1">
      <c r="B2" s="204" t="s">
        <v>257</v>
      </c>
      <c r="C2" s="228" t="s">
        <v>390</v>
      </c>
      <c r="D2" s="547" t="s">
        <v>391</v>
      </c>
      <c r="E2" s="547" t="s">
        <v>392</v>
      </c>
      <c r="F2" s="547" t="s">
        <v>393</v>
      </c>
      <c r="G2" s="1" t="s">
        <v>394</v>
      </c>
    </row>
    <row r="3" spans="2:7" ht="39" customHeight="1">
      <c r="B3" s="563" t="s">
        <v>547</v>
      </c>
      <c r="C3" s="564" t="s">
        <v>548</v>
      </c>
      <c r="D3" s="565">
        <v>115.7</v>
      </c>
      <c r="E3" s="566">
        <v>435750</v>
      </c>
      <c r="F3" s="566">
        <v>1263500</v>
      </c>
      <c r="G3" s="567" t="s">
        <v>549</v>
      </c>
    </row>
  </sheetData>
  <phoneticPr fontId="60"/>
  <pageMargins left="0.7" right="0.7" top="0.75" bottom="0.75" header="0.511811023622047" footer="0.511811023622047"/>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K1021"/>
  <sheetViews>
    <sheetView showGridLines="0" zoomScale="70" zoomScaleNormal="70" workbookViewId="0">
      <selection activeCell="D4" sqref="D4"/>
    </sheetView>
  </sheetViews>
  <sheetFormatPr defaultColWidth="8.75" defaultRowHeight="18"/>
  <cols>
    <col min="1" max="1" width="8.75" style="242"/>
    <col min="2" max="2" width="10.25" style="242" customWidth="1"/>
    <col min="3" max="3" width="16.1640625" style="242" customWidth="1"/>
    <col min="4" max="4" width="21.1640625" style="242" customWidth="1"/>
    <col min="5" max="5" width="16.5" style="290" customWidth="1"/>
    <col min="6" max="6" width="11.25" style="242" customWidth="1"/>
    <col min="7" max="7" width="20.4140625" style="242" customWidth="1"/>
    <col min="8" max="9" width="13.4140625" style="141" customWidth="1"/>
    <col min="10" max="10" width="13.4140625" style="141" hidden="1" customWidth="1"/>
    <col min="11" max="11" width="34.1640625" style="242" customWidth="1"/>
    <col min="12" max="16384" width="8.75" style="242"/>
  </cols>
  <sheetData>
    <row r="1" spans="1:11" s="6" customFormat="1" ht="18.75" customHeight="1">
      <c r="A1" s="242"/>
      <c r="B1" s="242"/>
      <c r="C1" s="242"/>
      <c r="D1" s="242"/>
      <c r="E1" s="142"/>
      <c r="F1" s="242"/>
      <c r="G1" s="242"/>
      <c r="H1" s="242"/>
      <c r="I1" s="6" t="s">
        <v>395</v>
      </c>
    </row>
    <row r="2" spans="1:11" s="6" customFormat="1" ht="18.75" customHeight="1">
      <c r="B2" s="253"/>
      <c r="C2" s="253"/>
      <c r="E2" s="142"/>
    </row>
    <row r="3" spans="1:11" s="6" customFormat="1" ht="39" customHeight="1">
      <c r="B3" s="174" t="s">
        <v>396</v>
      </c>
      <c r="C3" s="174" t="s">
        <v>292</v>
      </c>
      <c r="D3" s="282" t="s">
        <v>397</v>
      </c>
      <c r="E3" s="282" t="s">
        <v>398</v>
      </c>
      <c r="F3" s="282" t="s">
        <v>399</v>
      </c>
      <c r="G3" s="282" t="s">
        <v>400</v>
      </c>
      <c r="H3" s="282" t="s">
        <v>401</v>
      </c>
      <c r="I3" s="282" t="s">
        <v>402</v>
      </c>
      <c r="J3" s="282" t="s">
        <v>403</v>
      </c>
      <c r="K3" s="144" t="s">
        <v>210</v>
      </c>
    </row>
    <row r="4" spans="1:11" s="6" customFormat="1" ht="22.5" customHeight="1">
      <c r="B4" s="291"/>
      <c r="C4" s="292" t="s">
        <v>404</v>
      </c>
      <c r="D4" s="292"/>
      <c r="E4" s="293"/>
      <c r="F4" s="292"/>
      <c r="G4" s="294"/>
      <c r="H4" s="295"/>
      <c r="I4" s="295"/>
      <c r="J4" s="295"/>
      <c r="K4" s="296"/>
    </row>
    <row r="5" spans="1:11" s="6" customFormat="1" ht="22.5" customHeight="1">
      <c r="C5" s="297"/>
      <c r="D5" s="297"/>
      <c r="E5" s="298"/>
      <c r="F5" s="297"/>
      <c r="G5" s="294"/>
      <c r="H5" s="299"/>
      <c r="I5" s="299"/>
      <c r="J5" s="299"/>
      <c r="K5" s="296"/>
    </row>
    <row r="6" spans="1:11" s="6" customFormat="1" ht="58.5" customHeight="1">
      <c r="C6" s="244"/>
      <c r="D6" s="244"/>
      <c r="E6" s="300"/>
      <c r="F6" s="245"/>
      <c r="G6" s="301"/>
      <c r="H6" s="27"/>
      <c r="I6" s="27"/>
      <c r="J6" s="278"/>
      <c r="K6" s="302"/>
    </row>
    <row r="7" spans="1:11" s="6" customFormat="1" ht="22.5" customHeight="1">
      <c r="B7" s="291"/>
      <c r="C7" s="292"/>
      <c r="D7" s="292"/>
      <c r="E7" s="293"/>
      <c r="F7" s="292"/>
      <c r="G7" s="294"/>
      <c r="H7" s="295"/>
      <c r="I7" s="295"/>
      <c r="J7" s="295"/>
      <c r="K7" s="296"/>
    </row>
    <row r="8" spans="1:11" s="6" customFormat="1" ht="48" customHeight="1">
      <c r="C8" s="244"/>
      <c r="D8" s="244"/>
      <c r="E8" s="300"/>
      <c r="F8" s="245"/>
      <c r="G8" s="301"/>
      <c r="H8" s="27"/>
      <c r="I8" s="27"/>
      <c r="J8" s="278"/>
      <c r="K8" s="302"/>
    </row>
    <row r="9" spans="1:11" s="6" customFormat="1" ht="22.5" customHeight="1">
      <c r="B9" s="303"/>
      <c r="C9" s="303"/>
      <c r="D9" s="244"/>
      <c r="E9" s="304"/>
      <c r="F9" s="244"/>
      <c r="G9" s="301"/>
      <c r="H9" s="27"/>
      <c r="I9" s="27"/>
      <c r="J9" s="27"/>
      <c r="K9" s="302"/>
    </row>
    <row r="10" spans="1:11" s="6" customFormat="1" ht="22.5" customHeight="1">
      <c r="B10" s="303"/>
      <c r="C10" s="303"/>
      <c r="D10" s="244"/>
      <c r="E10" s="304"/>
      <c r="F10" s="244"/>
      <c r="G10" s="301"/>
      <c r="H10" s="27"/>
      <c r="I10" s="27"/>
      <c r="J10" s="27"/>
      <c r="K10" s="302"/>
    </row>
    <row r="11" spans="1:11" s="6" customFormat="1" ht="22.5" customHeight="1">
      <c r="B11" s="303"/>
      <c r="C11" s="303"/>
      <c r="D11" s="244"/>
      <c r="E11" s="304"/>
      <c r="F11" s="244"/>
      <c r="G11" s="301"/>
      <c r="H11" s="27"/>
      <c r="I11" s="27"/>
      <c r="J11" s="27"/>
      <c r="K11" s="302"/>
    </row>
    <row r="12" spans="1:11" s="6" customFormat="1" ht="18.75" customHeight="1">
      <c r="E12" s="290"/>
      <c r="H12" s="141"/>
      <c r="I12" s="141"/>
      <c r="J12" s="141"/>
    </row>
    <row r="13" spans="1:11" s="6" customFormat="1" ht="18.75" customHeight="1">
      <c r="E13" s="290"/>
      <c r="H13" s="141"/>
      <c r="I13" s="141"/>
      <c r="J13" s="141"/>
    </row>
    <row r="14" spans="1:11" s="6" customFormat="1" ht="18.75" customHeight="1">
      <c r="B14" s="253"/>
      <c r="C14" s="253"/>
      <c r="E14" s="142"/>
    </row>
    <row r="15" spans="1:11" s="6" customFormat="1" ht="39" customHeight="1">
      <c r="B15" s="174"/>
      <c r="C15" s="174"/>
      <c r="D15" s="282"/>
      <c r="E15" s="305"/>
      <c r="F15" s="282"/>
      <c r="G15" s="282"/>
      <c r="H15" s="282"/>
      <c r="I15" s="282"/>
      <c r="J15" s="282"/>
      <c r="K15" s="144"/>
    </row>
    <row r="16" spans="1:11" s="6" customFormat="1" ht="22.5" customHeight="1">
      <c r="B16" s="306"/>
      <c r="C16" s="243"/>
      <c r="D16" s="243"/>
      <c r="E16" s="307"/>
      <c r="F16" s="243"/>
      <c r="G16" s="288"/>
      <c r="H16" s="289"/>
      <c r="I16" s="289"/>
      <c r="J16" s="289"/>
      <c r="K16" s="308"/>
    </row>
    <row r="17" spans="2:11" s="6" customFormat="1" ht="22.5" customHeight="1">
      <c r="C17" s="244"/>
      <c r="D17" s="244"/>
      <c r="E17" s="304"/>
      <c r="F17" s="244"/>
      <c r="G17" s="288"/>
      <c r="H17" s="27"/>
      <c r="I17" s="27"/>
      <c r="J17" s="27"/>
      <c r="K17" s="308"/>
    </row>
    <row r="18" spans="2:11" s="6" customFormat="1" ht="45" customHeight="1">
      <c r="C18" s="244"/>
      <c r="D18" s="244"/>
      <c r="E18" s="300"/>
      <c r="F18" s="245"/>
      <c r="G18" s="301"/>
      <c r="H18" s="27"/>
      <c r="I18" s="27"/>
      <c r="J18" s="278"/>
      <c r="K18" s="302"/>
    </row>
    <row r="19" spans="2:11" s="6" customFormat="1" ht="22.5" customHeight="1">
      <c r="B19" s="303"/>
      <c r="C19" s="303"/>
      <c r="D19" s="244"/>
      <c r="E19" s="304"/>
      <c r="F19" s="244"/>
      <c r="G19" s="301"/>
      <c r="H19" s="27"/>
      <c r="I19" s="27"/>
      <c r="J19" s="27"/>
      <c r="K19" s="302"/>
    </row>
    <row r="20" spans="2:11" s="6" customFormat="1" ht="22.5" customHeight="1">
      <c r="B20" s="303"/>
      <c r="C20" s="303"/>
      <c r="D20" s="244"/>
      <c r="E20" s="304"/>
      <c r="F20" s="244"/>
      <c r="G20" s="301"/>
      <c r="H20" s="27"/>
      <c r="I20" s="27"/>
      <c r="J20" s="27"/>
      <c r="K20" s="302"/>
    </row>
    <row r="21" spans="2:11" s="6" customFormat="1" ht="22.5" customHeight="1">
      <c r="B21" s="303"/>
      <c r="C21" s="303"/>
      <c r="D21" s="244"/>
      <c r="E21" s="304"/>
      <c r="F21" s="244"/>
      <c r="G21" s="301"/>
      <c r="H21" s="27"/>
      <c r="I21" s="27"/>
      <c r="J21" s="27"/>
      <c r="K21" s="302"/>
    </row>
    <row r="22" spans="2:11" s="6" customFormat="1" ht="18.75" customHeight="1">
      <c r="E22" s="290"/>
      <c r="H22" s="141"/>
      <c r="I22" s="141"/>
      <c r="J22" s="141"/>
    </row>
    <row r="23" spans="2:11" s="6" customFormat="1" ht="18.75" customHeight="1">
      <c r="E23" s="290"/>
      <c r="H23" s="141"/>
      <c r="I23" s="141"/>
      <c r="J23" s="141"/>
    </row>
    <row r="24" spans="2:11" s="6" customFormat="1" ht="18.75" customHeight="1">
      <c r="E24" s="290"/>
      <c r="H24" s="141"/>
      <c r="I24" s="141"/>
      <c r="J24" s="141"/>
    </row>
    <row r="25" spans="2:11" s="6" customFormat="1" ht="18.75" customHeight="1">
      <c r="E25" s="290"/>
      <c r="H25" s="141"/>
      <c r="I25" s="141"/>
      <c r="J25" s="141"/>
    </row>
    <row r="26" spans="2:11" s="6" customFormat="1" ht="18.75" customHeight="1">
      <c r="E26" s="290"/>
      <c r="H26" s="141"/>
      <c r="I26" s="141"/>
      <c r="J26" s="141"/>
    </row>
    <row r="27" spans="2:11" s="6" customFormat="1" ht="18.75" customHeight="1">
      <c r="E27" s="290"/>
      <c r="H27" s="141"/>
      <c r="I27" s="141"/>
      <c r="J27" s="141"/>
    </row>
    <row r="28" spans="2:11" s="6" customFormat="1" ht="18.75" customHeight="1">
      <c r="E28" s="290"/>
      <c r="H28" s="141"/>
      <c r="I28" s="141"/>
      <c r="J28" s="141"/>
    </row>
    <row r="29" spans="2:11" s="6" customFormat="1" ht="18.75" customHeight="1">
      <c r="E29" s="290"/>
      <c r="H29" s="141"/>
      <c r="I29" s="141"/>
      <c r="J29" s="141"/>
    </row>
    <row r="30" spans="2:11" s="6" customFormat="1" ht="18.75" customHeight="1">
      <c r="E30" s="290"/>
      <c r="H30" s="141"/>
      <c r="I30" s="141"/>
      <c r="J30" s="141"/>
    </row>
    <row r="31" spans="2:11" s="6" customFormat="1" ht="18.75" customHeight="1">
      <c r="E31" s="290"/>
      <c r="H31" s="141"/>
      <c r="I31" s="141"/>
      <c r="J31" s="141"/>
    </row>
    <row r="32" spans="2:11" s="6" customFormat="1" ht="18.75" customHeight="1">
      <c r="E32" s="290"/>
      <c r="H32" s="141"/>
      <c r="I32" s="141"/>
      <c r="J32" s="141"/>
    </row>
    <row r="33" spans="5:10" s="6" customFormat="1" ht="18.75" customHeight="1">
      <c r="E33" s="290"/>
      <c r="H33" s="141"/>
      <c r="I33" s="141"/>
      <c r="J33" s="141"/>
    </row>
    <row r="34" spans="5:10" s="6" customFormat="1" ht="18.75" customHeight="1">
      <c r="E34" s="290"/>
      <c r="H34" s="141"/>
      <c r="I34" s="141"/>
      <c r="J34" s="141"/>
    </row>
    <row r="35" spans="5:10" s="6" customFormat="1" ht="18.75" customHeight="1">
      <c r="E35" s="290"/>
      <c r="H35" s="141"/>
      <c r="I35" s="141"/>
      <c r="J35" s="141"/>
    </row>
    <row r="36" spans="5:10" s="6" customFormat="1" ht="18.75" customHeight="1">
      <c r="E36" s="290"/>
      <c r="H36" s="141"/>
      <c r="I36" s="141"/>
      <c r="J36" s="141"/>
    </row>
    <row r="37" spans="5:10" s="6" customFormat="1" ht="18.75" customHeight="1">
      <c r="E37" s="290"/>
      <c r="H37" s="141"/>
      <c r="I37" s="141"/>
      <c r="J37" s="141"/>
    </row>
    <row r="38" spans="5:10" s="6" customFormat="1" ht="18.75" customHeight="1">
      <c r="E38" s="290"/>
      <c r="H38" s="141"/>
      <c r="I38" s="141"/>
      <c r="J38" s="141"/>
    </row>
    <row r="39" spans="5:10" s="6" customFormat="1" ht="18.75" customHeight="1">
      <c r="E39" s="290"/>
      <c r="H39" s="141"/>
      <c r="I39" s="141"/>
      <c r="J39" s="141"/>
    </row>
    <row r="40" spans="5:10" s="6" customFormat="1" ht="18.75" customHeight="1">
      <c r="E40" s="290"/>
      <c r="H40" s="141"/>
      <c r="I40" s="141"/>
      <c r="J40" s="141"/>
    </row>
    <row r="41" spans="5:10" s="6" customFormat="1" ht="18.75" customHeight="1">
      <c r="E41" s="290"/>
      <c r="H41" s="141"/>
      <c r="I41" s="141"/>
      <c r="J41" s="141"/>
    </row>
    <row r="42" spans="5:10" s="6" customFormat="1" ht="18.75" customHeight="1">
      <c r="E42" s="290"/>
      <c r="H42" s="141"/>
      <c r="I42" s="141"/>
      <c r="J42" s="141"/>
    </row>
    <row r="43" spans="5:10" s="6" customFormat="1" ht="18.75" customHeight="1">
      <c r="E43" s="290"/>
      <c r="H43" s="141"/>
      <c r="I43" s="141"/>
      <c r="J43" s="141"/>
    </row>
    <row r="44" spans="5:10" s="6" customFormat="1" ht="18.75" customHeight="1">
      <c r="E44" s="290"/>
      <c r="H44" s="141"/>
      <c r="I44" s="141"/>
      <c r="J44" s="141"/>
    </row>
    <row r="45" spans="5:10" s="6" customFormat="1" ht="18.75" customHeight="1">
      <c r="E45" s="290"/>
      <c r="H45" s="141"/>
      <c r="I45" s="141"/>
      <c r="J45" s="141"/>
    </row>
    <row r="46" spans="5:10" s="6" customFormat="1" ht="18.75" customHeight="1">
      <c r="E46" s="290"/>
      <c r="H46" s="141"/>
      <c r="I46" s="141"/>
      <c r="J46" s="141"/>
    </row>
    <row r="47" spans="5:10" s="6" customFormat="1" ht="18.75" customHeight="1">
      <c r="E47" s="290"/>
      <c r="H47" s="141"/>
      <c r="I47" s="141"/>
      <c r="J47" s="141"/>
    </row>
    <row r="48" spans="5:10" s="6" customFormat="1" ht="18.75" customHeight="1">
      <c r="E48" s="290"/>
      <c r="H48" s="141"/>
      <c r="I48" s="141"/>
      <c r="J48" s="141"/>
    </row>
    <row r="49" spans="5:10" s="6" customFormat="1" ht="18.75" customHeight="1">
      <c r="E49" s="290"/>
      <c r="H49" s="141"/>
      <c r="I49" s="141"/>
      <c r="J49" s="141"/>
    </row>
    <row r="50" spans="5:10" s="6" customFormat="1" ht="18.75" customHeight="1">
      <c r="E50" s="290"/>
      <c r="H50" s="141"/>
      <c r="I50" s="141"/>
      <c r="J50" s="141"/>
    </row>
    <row r="51" spans="5:10" s="6" customFormat="1" ht="18.75" customHeight="1">
      <c r="E51" s="290"/>
      <c r="H51" s="141"/>
      <c r="I51" s="141"/>
      <c r="J51" s="141"/>
    </row>
    <row r="52" spans="5:10" s="6" customFormat="1" ht="18.75" customHeight="1">
      <c r="E52" s="290"/>
      <c r="H52" s="141"/>
      <c r="I52" s="141"/>
      <c r="J52" s="141"/>
    </row>
    <row r="53" spans="5:10" s="6" customFormat="1" ht="18.75" customHeight="1">
      <c r="E53" s="290"/>
      <c r="H53" s="141"/>
      <c r="I53" s="141"/>
      <c r="J53" s="141"/>
    </row>
    <row r="54" spans="5:10" s="6" customFormat="1" ht="18.75" customHeight="1">
      <c r="E54" s="290"/>
      <c r="H54" s="141"/>
      <c r="I54" s="141"/>
      <c r="J54" s="141"/>
    </row>
    <row r="55" spans="5:10" s="6" customFormat="1" ht="18.75" customHeight="1">
      <c r="E55" s="290"/>
      <c r="H55" s="141"/>
      <c r="I55" s="141"/>
      <c r="J55" s="141"/>
    </row>
    <row r="56" spans="5:10" s="6" customFormat="1" ht="18.75" customHeight="1">
      <c r="E56" s="290"/>
      <c r="H56" s="141"/>
      <c r="I56" s="141"/>
      <c r="J56" s="141"/>
    </row>
    <row r="57" spans="5:10" s="6" customFormat="1" ht="18.75" customHeight="1">
      <c r="E57" s="290"/>
      <c r="H57" s="141"/>
      <c r="I57" s="141"/>
      <c r="J57" s="141"/>
    </row>
    <row r="58" spans="5:10" s="6" customFormat="1" ht="18.75" customHeight="1">
      <c r="E58" s="290"/>
      <c r="H58" s="141"/>
      <c r="I58" s="141"/>
      <c r="J58" s="141"/>
    </row>
    <row r="59" spans="5:10" s="6" customFormat="1" ht="18.75" customHeight="1">
      <c r="E59" s="290"/>
      <c r="H59" s="141"/>
      <c r="I59" s="141"/>
      <c r="J59" s="141"/>
    </row>
    <row r="60" spans="5:10" s="6" customFormat="1" ht="18.75" customHeight="1">
      <c r="E60" s="290"/>
      <c r="H60" s="141"/>
      <c r="I60" s="141"/>
      <c r="J60" s="141"/>
    </row>
    <row r="61" spans="5:10" s="6" customFormat="1" ht="18.75" customHeight="1">
      <c r="E61" s="290"/>
      <c r="H61" s="141"/>
      <c r="I61" s="141"/>
      <c r="J61" s="141"/>
    </row>
    <row r="62" spans="5:10" s="6" customFormat="1" ht="18.75" customHeight="1">
      <c r="E62" s="290"/>
      <c r="H62" s="141"/>
      <c r="I62" s="141"/>
      <c r="J62" s="141"/>
    </row>
    <row r="63" spans="5:10" s="6" customFormat="1" ht="18.75" customHeight="1">
      <c r="E63" s="290"/>
      <c r="H63" s="141"/>
      <c r="I63" s="141"/>
      <c r="J63" s="141"/>
    </row>
    <row r="64" spans="5:10" s="6" customFormat="1" ht="18.75" customHeight="1">
      <c r="E64" s="290"/>
      <c r="H64" s="141"/>
      <c r="I64" s="141"/>
      <c r="J64" s="141"/>
    </row>
    <row r="65" spans="5:10" s="6" customFormat="1" ht="18.75" customHeight="1">
      <c r="E65" s="290"/>
      <c r="H65" s="141"/>
      <c r="I65" s="141"/>
      <c r="J65" s="141"/>
    </row>
    <row r="66" spans="5:10" s="6" customFormat="1" ht="18.75" customHeight="1">
      <c r="E66" s="290"/>
      <c r="H66" s="141"/>
      <c r="I66" s="141"/>
      <c r="J66" s="141"/>
    </row>
    <row r="67" spans="5:10" s="6" customFormat="1" ht="18.75" customHeight="1">
      <c r="E67" s="290"/>
      <c r="H67" s="141"/>
      <c r="I67" s="141"/>
      <c r="J67" s="141"/>
    </row>
    <row r="68" spans="5:10" s="6" customFormat="1" ht="18.75" customHeight="1">
      <c r="E68" s="290"/>
      <c r="H68" s="141"/>
      <c r="I68" s="141"/>
      <c r="J68" s="141"/>
    </row>
    <row r="69" spans="5:10" s="6" customFormat="1" ht="18.75" customHeight="1">
      <c r="E69" s="290"/>
      <c r="H69" s="141"/>
      <c r="I69" s="141"/>
      <c r="J69" s="141"/>
    </row>
    <row r="70" spans="5:10" s="6" customFormat="1" ht="18.75" customHeight="1">
      <c r="E70" s="290"/>
      <c r="H70" s="141"/>
      <c r="I70" s="141"/>
      <c r="J70" s="141"/>
    </row>
    <row r="71" spans="5:10" s="6" customFormat="1" ht="18.75" customHeight="1">
      <c r="E71" s="290"/>
      <c r="H71" s="141"/>
      <c r="I71" s="141"/>
      <c r="J71" s="141"/>
    </row>
    <row r="72" spans="5:10" s="6" customFormat="1" ht="18.75" customHeight="1">
      <c r="E72" s="290"/>
      <c r="H72" s="141"/>
      <c r="I72" s="141"/>
      <c r="J72" s="141"/>
    </row>
    <row r="73" spans="5:10" s="6" customFormat="1" ht="18.75" customHeight="1">
      <c r="E73" s="290"/>
      <c r="H73" s="141"/>
      <c r="I73" s="141"/>
      <c r="J73" s="141"/>
    </row>
    <row r="74" spans="5:10" s="6" customFormat="1" ht="18.75" customHeight="1">
      <c r="E74" s="290"/>
      <c r="H74" s="141"/>
      <c r="I74" s="141"/>
      <c r="J74" s="141"/>
    </row>
    <row r="75" spans="5:10" s="6" customFormat="1" ht="18.75" customHeight="1">
      <c r="E75" s="290"/>
      <c r="H75" s="141"/>
      <c r="I75" s="141"/>
      <c r="J75" s="141"/>
    </row>
    <row r="76" spans="5:10" s="6" customFormat="1" ht="18.75" customHeight="1">
      <c r="E76" s="290"/>
      <c r="H76" s="141"/>
      <c r="I76" s="141"/>
      <c r="J76" s="141"/>
    </row>
    <row r="77" spans="5:10" s="6" customFormat="1" ht="18.75" customHeight="1">
      <c r="E77" s="290"/>
      <c r="H77" s="141"/>
      <c r="I77" s="141"/>
      <c r="J77" s="141"/>
    </row>
    <row r="78" spans="5:10" s="6" customFormat="1" ht="18.75" customHeight="1">
      <c r="E78" s="290"/>
      <c r="H78" s="141"/>
      <c r="I78" s="141"/>
      <c r="J78" s="141"/>
    </row>
    <row r="79" spans="5:10" s="6" customFormat="1" ht="18.75" customHeight="1">
      <c r="E79" s="290"/>
      <c r="H79" s="141"/>
      <c r="I79" s="141"/>
      <c r="J79" s="141"/>
    </row>
    <row r="80" spans="5:10" s="6" customFormat="1" ht="18.75" customHeight="1">
      <c r="E80" s="290"/>
      <c r="H80" s="141"/>
      <c r="I80" s="141"/>
      <c r="J80" s="141"/>
    </row>
    <row r="81" spans="5:10" s="6" customFormat="1" ht="18.75" customHeight="1">
      <c r="E81" s="290"/>
      <c r="H81" s="141"/>
      <c r="I81" s="141"/>
      <c r="J81" s="141"/>
    </row>
    <row r="82" spans="5:10" s="6" customFormat="1" ht="18.75" customHeight="1">
      <c r="E82" s="290"/>
      <c r="H82" s="141"/>
      <c r="I82" s="141"/>
      <c r="J82" s="141"/>
    </row>
    <row r="83" spans="5:10" s="6" customFormat="1" ht="18.75" customHeight="1">
      <c r="E83" s="290"/>
      <c r="H83" s="141"/>
      <c r="I83" s="141"/>
      <c r="J83" s="141"/>
    </row>
    <row r="84" spans="5:10" s="6" customFormat="1" ht="18.75" customHeight="1">
      <c r="E84" s="290"/>
      <c r="H84" s="141"/>
      <c r="I84" s="141"/>
      <c r="J84" s="141"/>
    </row>
    <row r="85" spans="5:10" s="6" customFormat="1" ht="18.75" customHeight="1">
      <c r="E85" s="290"/>
      <c r="H85" s="141"/>
      <c r="I85" s="141"/>
      <c r="J85" s="141"/>
    </row>
    <row r="86" spans="5:10" s="6" customFormat="1" ht="18.75" customHeight="1">
      <c r="E86" s="290"/>
      <c r="H86" s="141"/>
      <c r="I86" s="141"/>
      <c r="J86" s="141"/>
    </row>
    <row r="87" spans="5:10" s="6" customFormat="1" ht="18.75" customHeight="1">
      <c r="E87" s="290"/>
      <c r="H87" s="141"/>
      <c r="I87" s="141"/>
      <c r="J87" s="141"/>
    </row>
    <row r="88" spans="5:10" s="6" customFormat="1" ht="18.75" customHeight="1">
      <c r="E88" s="290"/>
      <c r="H88" s="141"/>
      <c r="I88" s="141"/>
      <c r="J88" s="141"/>
    </row>
    <row r="89" spans="5:10" s="6" customFormat="1" ht="18.75" customHeight="1">
      <c r="E89" s="290"/>
      <c r="H89" s="141"/>
      <c r="I89" s="141"/>
      <c r="J89" s="141"/>
    </row>
    <row r="90" spans="5:10" s="6" customFormat="1" ht="18.75" customHeight="1">
      <c r="E90" s="290"/>
      <c r="H90" s="141"/>
      <c r="I90" s="141"/>
      <c r="J90" s="141"/>
    </row>
    <row r="91" spans="5:10" s="6" customFormat="1" ht="18.75" customHeight="1">
      <c r="E91" s="290"/>
      <c r="H91" s="141"/>
      <c r="I91" s="141"/>
      <c r="J91" s="141"/>
    </row>
    <row r="92" spans="5:10" s="6" customFormat="1" ht="18.75" customHeight="1">
      <c r="E92" s="290"/>
      <c r="H92" s="141"/>
      <c r="I92" s="141"/>
      <c r="J92" s="141"/>
    </row>
    <row r="93" spans="5:10" s="6" customFormat="1" ht="18.75" customHeight="1">
      <c r="E93" s="290"/>
      <c r="H93" s="141"/>
      <c r="I93" s="141"/>
      <c r="J93" s="141"/>
    </row>
    <row r="94" spans="5:10" s="6" customFormat="1" ht="18.75" customHeight="1">
      <c r="E94" s="290"/>
      <c r="H94" s="141"/>
      <c r="I94" s="141"/>
      <c r="J94" s="141"/>
    </row>
    <row r="95" spans="5:10" s="6" customFormat="1" ht="18.75" customHeight="1">
      <c r="E95" s="290"/>
      <c r="H95" s="141"/>
      <c r="I95" s="141"/>
      <c r="J95" s="141"/>
    </row>
    <row r="96" spans="5:10" s="6" customFormat="1" ht="18.75" customHeight="1">
      <c r="E96" s="290"/>
      <c r="H96" s="141"/>
      <c r="I96" s="141"/>
      <c r="J96" s="141"/>
    </row>
    <row r="97" spans="5:10" s="6" customFormat="1" ht="18.75" customHeight="1">
      <c r="E97" s="290"/>
      <c r="H97" s="141"/>
      <c r="I97" s="141"/>
      <c r="J97" s="141"/>
    </row>
    <row r="98" spans="5:10" s="6" customFormat="1" ht="18.75" customHeight="1">
      <c r="E98" s="290"/>
      <c r="H98" s="141"/>
      <c r="I98" s="141"/>
      <c r="J98" s="141"/>
    </row>
    <row r="99" spans="5:10" s="6" customFormat="1" ht="18.75" customHeight="1">
      <c r="E99" s="290"/>
      <c r="H99" s="141"/>
      <c r="I99" s="141"/>
      <c r="J99" s="141"/>
    </row>
    <row r="100" spans="5:10" s="6" customFormat="1" ht="18.75" customHeight="1">
      <c r="E100" s="290"/>
      <c r="H100" s="141"/>
      <c r="I100" s="141"/>
      <c r="J100" s="141"/>
    </row>
    <row r="101" spans="5:10" s="6" customFormat="1" ht="18.75" customHeight="1">
      <c r="E101" s="290"/>
      <c r="H101" s="141"/>
      <c r="I101" s="141"/>
      <c r="J101" s="141"/>
    </row>
    <row r="102" spans="5:10" s="6" customFormat="1" ht="18.75" customHeight="1">
      <c r="E102" s="290"/>
      <c r="H102" s="141"/>
      <c r="I102" s="141"/>
      <c r="J102" s="141"/>
    </row>
    <row r="103" spans="5:10" s="6" customFormat="1" ht="18.75" customHeight="1">
      <c r="E103" s="290"/>
      <c r="H103" s="141"/>
      <c r="I103" s="141"/>
      <c r="J103" s="141"/>
    </row>
    <row r="104" spans="5:10" s="6" customFormat="1" ht="18.75" customHeight="1">
      <c r="E104" s="290"/>
      <c r="H104" s="141"/>
      <c r="I104" s="141"/>
      <c r="J104" s="141"/>
    </row>
    <row r="105" spans="5:10" s="6" customFormat="1" ht="18.75" customHeight="1">
      <c r="E105" s="290"/>
      <c r="H105" s="141"/>
      <c r="I105" s="141"/>
      <c r="J105" s="141"/>
    </row>
    <row r="106" spans="5:10" s="6" customFormat="1" ht="18.75" customHeight="1">
      <c r="E106" s="290"/>
      <c r="H106" s="141"/>
      <c r="I106" s="141"/>
      <c r="J106" s="141"/>
    </row>
    <row r="107" spans="5:10" s="6" customFormat="1" ht="18.75" customHeight="1">
      <c r="E107" s="290"/>
      <c r="H107" s="141"/>
      <c r="I107" s="141"/>
      <c r="J107" s="141"/>
    </row>
    <row r="108" spans="5:10" s="6" customFormat="1" ht="18.75" customHeight="1">
      <c r="E108" s="290"/>
      <c r="H108" s="141"/>
      <c r="I108" s="141"/>
      <c r="J108" s="141"/>
    </row>
    <row r="109" spans="5:10" s="6" customFormat="1" ht="18.75" customHeight="1">
      <c r="E109" s="290"/>
      <c r="H109" s="141"/>
      <c r="I109" s="141"/>
      <c r="J109" s="141"/>
    </row>
    <row r="110" spans="5:10" s="6" customFormat="1" ht="18.75" customHeight="1">
      <c r="E110" s="290"/>
      <c r="H110" s="141"/>
      <c r="I110" s="141"/>
      <c r="J110" s="141"/>
    </row>
    <row r="111" spans="5:10" s="6" customFormat="1" ht="18.75" customHeight="1">
      <c r="E111" s="290"/>
      <c r="H111" s="141"/>
      <c r="I111" s="141"/>
      <c r="J111" s="141"/>
    </row>
    <row r="112" spans="5:10" s="6" customFormat="1" ht="18.75" customHeight="1">
      <c r="E112" s="290"/>
      <c r="H112" s="141"/>
      <c r="I112" s="141"/>
      <c r="J112" s="141"/>
    </row>
    <row r="113" spans="5:10" s="6" customFormat="1" ht="18.75" customHeight="1">
      <c r="E113" s="290"/>
      <c r="H113" s="141"/>
      <c r="I113" s="141"/>
      <c r="J113" s="141"/>
    </row>
    <row r="114" spans="5:10" s="6" customFormat="1" ht="18.75" customHeight="1">
      <c r="E114" s="290"/>
      <c r="H114" s="141"/>
      <c r="I114" s="141"/>
      <c r="J114" s="141"/>
    </row>
    <row r="115" spans="5:10" s="6" customFormat="1" ht="18.75" customHeight="1">
      <c r="E115" s="290"/>
      <c r="H115" s="141"/>
      <c r="I115" s="141"/>
      <c r="J115" s="141"/>
    </row>
    <row r="116" spans="5:10" s="6" customFormat="1" ht="18.75" customHeight="1">
      <c r="E116" s="290"/>
      <c r="H116" s="141"/>
      <c r="I116" s="141"/>
      <c r="J116" s="141"/>
    </row>
    <row r="117" spans="5:10" s="6" customFormat="1" ht="18.75" customHeight="1">
      <c r="E117" s="290"/>
      <c r="H117" s="141"/>
      <c r="I117" s="141"/>
      <c r="J117" s="141"/>
    </row>
    <row r="118" spans="5:10" s="6" customFormat="1" ht="18.75" customHeight="1">
      <c r="E118" s="290"/>
      <c r="H118" s="141"/>
      <c r="I118" s="141"/>
      <c r="J118" s="141"/>
    </row>
    <row r="119" spans="5:10" s="6" customFormat="1" ht="18.75" customHeight="1">
      <c r="E119" s="290"/>
      <c r="H119" s="141"/>
      <c r="I119" s="141"/>
      <c r="J119" s="141"/>
    </row>
    <row r="120" spans="5:10" s="6" customFormat="1" ht="18.75" customHeight="1">
      <c r="E120" s="290"/>
      <c r="H120" s="141"/>
      <c r="I120" s="141"/>
      <c r="J120" s="141"/>
    </row>
    <row r="121" spans="5:10" s="6" customFormat="1" ht="18.75" customHeight="1">
      <c r="E121" s="290"/>
      <c r="H121" s="141"/>
      <c r="I121" s="141"/>
      <c r="J121" s="141"/>
    </row>
    <row r="122" spans="5:10" s="6" customFormat="1" ht="18.75" customHeight="1">
      <c r="E122" s="290"/>
      <c r="H122" s="141"/>
      <c r="I122" s="141"/>
      <c r="J122" s="141"/>
    </row>
    <row r="123" spans="5:10" s="6" customFormat="1" ht="18.75" customHeight="1">
      <c r="E123" s="290"/>
      <c r="H123" s="141"/>
      <c r="I123" s="141"/>
      <c r="J123" s="141"/>
    </row>
    <row r="124" spans="5:10" s="6" customFormat="1" ht="18.75" customHeight="1">
      <c r="E124" s="290"/>
      <c r="H124" s="141"/>
      <c r="I124" s="141"/>
      <c r="J124" s="141"/>
    </row>
    <row r="125" spans="5:10" s="6" customFormat="1" ht="18.75" customHeight="1">
      <c r="E125" s="290"/>
      <c r="H125" s="141"/>
      <c r="I125" s="141"/>
      <c r="J125" s="141"/>
    </row>
    <row r="126" spans="5:10" s="6" customFormat="1" ht="18.75" customHeight="1">
      <c r="E126" s="290"/>
      <c r="H126" s="141"/>
      <c r="I126" s="141"/>
      <c r="J126" s="141"/>
    </row>
    <row r="127" spans="5:10" s="6" customFormat="1" ht="18.75" customHeight="1">
      <c r="E127" s="290"/>
      <c r="H127" s="141"/>
      <c r="I127" s="141"/>
      <c r="J127" s="141"/>
    </row>
    <row r="128" spans="5:10" s="6" customFormat="1" ht="18.75" customHeight="1">
      <c r="E128" s="290"/>
      <c r="H128" s="141"/>
      <c r="I128" s="141"/>
      <c r="J128" s="141"/>
    </row>
    <row r="129" spans="5:10" s="6" customFormat="1" ht="18.75" customHeight="1">
      <c r="E129" s="290"/>
      <c r="H129" s="141"/>
      <c r="I129" s="141"/>
      <c r="J129" s="141"/>
    </row>
    <row r="130" spans="5:10" s="6" customFormat="1" ht="18.75" customHeight="1">
      <c r="E130" s="290"/>
      <c r="H130" s="141"/>
      <c r="I130" s="141"/>
      <c r="J130" s="141"/>
    </row>
    <row r="131" spans="5:10" s="6" customFormat="1" ht="18.75" customHeight="1">
      <c r="E131" s="290"/>
      <c r="H131" s="141"/>
      <c r="I131" s="141"/>
      <c r="J131" s="141"/>
    </row>
    <row r="132" spans="5:10" s="6" customFormat="1" ht="18.75" customHeight="1">
      <c r="E132" s="290"/>
      <c r="H132" s="141"/>
      <c r="I132" s="141"/>
      <c r="J132" s="141"/>
    </row>
    <row r="133" spans="5:10" s="6" customFormat="1" ht="18.75" customHeight="1">
      <c r="E133" s="290"/>
      <c r="H133" s="141"/>
      <c r="I133" s="141"/>
      <c r="J133" s="141"/>
    </row>
    <row r="134" spans="5:10" s="6" customFormat="1" ht="18.75" customHeight="1">
      <c r="E134" s="290"/>
      <c r="H134" s="141"/>
      <c r="I134" s="141"/>
      <c r="J134" s="141"/>
    </row>
    <row r="135" spans="5:10" s="6" customFormat="1" ht="18.75" customHeight="1">
      <c r="E135" s="290"/>
      <c r="H135" s="141"/>
      <c r="I135" s="141"/>
      <c r="J135" s="141"/>
    </row>
    <row r="136" spans="5:10" s="6" customFormat="1" ht="18.75" customHeight="1">
      <c r="E136" s="290"/>
      <c r="H136" s="141"/>
      <c r="I136" s="141"/>
      <c r="J136" s="141"/>
    </row>
    <row r="137" spans="5:10" s="6" customFormat="1" ht="18.75" customHeight="1">
      <c r="E137" s="290"/>
      <c r="H137" s="141"/>
      <c r="I137" s="141"/>
      <c r="J137" s="141"/>
    </row>
    <row r="138" spans="5:10" s="6" customFormat="1" ht="18.75" customHeight="1">
      <c r="E138" s="290"/>
      <c r="H138" s="141"/>
      <c r="I138" s="141"/>
      <c r="J138" s="141"/>
    </row>
    <row r="139" spans="5:10" s="6" customFormat="1" ht="18.75" customHeight="1">
      <c r="E139" s="290"/>
      <c r="H139" s="141"/>
      <c r="I139" s="141"/>
      <c r="J139" s="141"/>
    </row>
    <row r="140" spans="5:10" s="6" customFormat="1" ht="18.75" customHeight="1">
      <c r="E140" s="290"/>
      <c r="H140" s="141"/>
      <c r="I140" s="141"/>
      <c r="J140" s="141"/>
    </row>
    <row r="141" spans="5:10" s="6" customFormat="1" ht="18.75" customHeight="1">
      <c r="E141" s="290"/>
      <c r="H141" s="141"/>
      <c r="I141" s="141"/>
      <c r="J141" s="141"/>
    </row>
    <row r="142" spans="5:10" s="6" customFormat="1" ht="18.75" customHeight="1">
      <c r="E142" s="290"/>
      <c r="H142" s="141"/>
      <c r="I142" s="141"/>
      <c r="J142" s="141"/>
    </row>
    <row r="143" spans="5:10" s="6" customFormat="1" ht="18.75" customHeight="1">
      <c r="E143" s="290"/>
      <c r="H143" s="141"/>
      <c r="I143" s="141"/>
      <c r="J143" s="141"/>
    </row>
    <row r="144" spans="5:10" s="6" customFormat="1" ht="18.75" customHeight="1">
      <c r="E144" s="290"/>
      <c r="H144" s="141"/>
      <c r="I144" s="141"/>
      <c r="J144" s="141"/>
    </row>
    <row r="145" spans="5:10" s="6" customFormat="1" ht="18.75" customHeight="1">
      <c r="E145" s="290"/>
      <c r="H145" s="141"/>
      <c r="I145" s="141"/>
      <c r="J145" s="141"/>
    </row>
    <row r="146" spans="5:10" s="6" customFormat="1" ht="18.75" customHeight="1">
      <c r="E146" s="290"/>
      <c r="H146" s="141"/>
      <c r="I146" s="141"/>
      <c r="J146" s="141"/>
    </row>
    <row r="147" spans="5:10" s="6" customFormat="1" ht="18.75" customHeight="1">
      <c r="E147" s="290"/>
      <c r="H147" s="141"/>
      <c r="I147" s="141"/>
      <c r="J147" s="141"/>
    </row>
    <row r="148" spans="5:10" s="6" customFormat="1" ht="18.75" customHeight="1">
      <c r="E148" s="290"/>
      <c r="H148" s="141"/>
      <c r="I148" s="141"/>
      <c r="J148" s="141"/>
    </row>
    <row r="149" spans="5:10" s="6" customFormat="1" ht="18.75" customHeight="1">
      <c r="E149" s="290"/>
      <c r="H149" s="141"/>
      <c r="I149" s="141"/>
      <c r="J149" s="141"/>
    </row>
    <row r="150" spans="5:10" s="6" customFormat="1" ht="18.75" customHeight="1">
      <c r="E150" s="290"/>
      <c r="H150" s="141"/>
      <c r="I150" s="141"/>
      <c r="J150" s="141"/>
    </row>
    <row r="151" spans="5:10" s="6" customFormat="1" ht="18.75" customHeight="1">
      <c r="E151" s="290"/>
      <c r="H151" s="141"/>
      <c r="I151" s="141"/>
      <c r="J151" s="141"/>
    </row>
    <row r="152" spans="5:10" s="6" customFormat="1" ht="18.75" customHeight="1">
      <c r="E152" s="290"/>
      <c r="H152" s="141"/>
      <c r="I152" s="141"/>
      <c r="J152" s="141"/>
    </row>
    <row r="153" spans="5:10" s="6" customFormat="1" ht="18.75" customHeight="1">
      <c r="E153" s="290"/>
      <c r="H153" s="141"/>
      <c r="I153" s="141"/>
      <c r="J153" s="141"/>
    </row>
    <row r="154" spans="5:10" s="6" customFormat="1" ht="18.75" customHeight="1">
      <c r="E154" s="290"/>
      <c r="H154" s="141"/>
      <c r="I154" s="141"/>
      <c r="J154" s="141"/>
    </row>
    <row r="155" spans="5:10" s="6" customFormat="1" ht="18.75" customHeight="1">
      <c r="E155" s="290"/>
      <c r="H155" s="141"/>
      <c r="I155" s="141"/>
      <c r="J155" s="141"/>
    </row>
    <row r="156" spans="5:10" s="6" customFormat="1" ht="18.75" customHeight="1">
      <c r="E156" s="290"/>
      <c r="H156" s="141"/>
      <c r="I156" s="141"/>
      <c r="J156" s="141"/>
    </row>
    <row r="157" spans="5:10" s="6" customFormat="1" ht="18.75" customHeight="1">
      <c r="E157" s="290"/>
      <c r="H157" s="141"/>
      <c r="I157" s="141"/>
      <c r="J157" s="141"/>
    </row>
    <row r="158" spans="5:10" s="6" customFormat="1" ht="18.75" customHeight="1">
      <c r="E158" s="290"/>
      <c r="H158" s="141"/>
      <c r="I158" s="141"/>
      <c r="J158" s="141"/>
    </row>
    <row r="159" spans="5:10" s="6" customFormat="1" ht="18.75" customHeight="1">
      <c r="E159" s="290"/>
      <c r="H159" s="141"/>
      <c r="I159" s="141"/>
      <c r="J159" s="141"/>
    </row>
    <row r="160" spans="5:10" s="6" customFormat="1" ht="18.75" customHeight="1">
      <c r="E160" s="290"/>
      <c r="H160" s="141"/>
      <c r="I160" s="141"/>
      <c r="J160" s="141"/>
    </row>
    <row r="161" spans="5:10" s="6" customFormat="1" ht="18.75" customHeight="1">
      <c r="E161" s="290"/>
      <c r="H161" s="141"/>
      <c r="I161" s="141"/>
      <c r="J161" s="141"/>
    </row>
    <row r="162" spans="5:10" s="6" customFormat="1" ht="18.75" customHeight="1">
      <c r="E162" s="290"/>
      <c r="H162" s="141"/>
      <c r="I162" s="141"/>
      <c r="J162" s="141"/>
    </row>
    <row r="163" spans="5:10" s="6" customFormat="1" ht="18.75" customHeight="1">
      <c r="E163" s="290"/>
      <c r="H163" s="141"/>
      <c r="I163" s="141"/>
      <c r="J163" s="141"/>
    </row>
    <row r="164" spans="5:10" s="6" customFormat="1" ht="18.75" customHeight="1">
      <c r="E164" s="290"/>
      <c r="H164" s="141"/>
      <c r="I164" s="141"/>
      <c r="J164" s="141"/>
    </row>
    <row r="165" spans="5:10" s="6" customFormat="1" ht="18.75" customHeight="1">
      <c r="E165" s="290"/>
      <c r="H165" s="141"/>
      <c r="I165" s="141"/>
      <c r="J165" s="141"/>
    </row>
    <row r="166" spans="5:10" s="6" customFormat="1" ht="18.75" customHeight="1">
      <c r="E166" s="290"/>
      <c r="H166" s="141"/>
      <c r="I166" s="141"/>
      <c r="J166" s="141"/>
    </row>
    <row r="167" spans="5:10" s="6" customFormat="1" ht="18.75" customHeight="1">
      <c r="E167" s="290"/>
      <c r="H167" s="141"/>
      <c r="I167" s="141"/>
      <c r="J167" s="141"/>
    </row>
    <row r="168" spans="5:10" s="6" customFormat="1" ht="18.75" customHeight="1">
      <c r="E168" s="290"/>
      <c r="H168" s="141"/>
      <c r="I168" s="141"/>
      <c r="J168" s="141"/>
    </row>
    <row r="169" spans="5:10" s="6" customFormat="1" ht="18.75" customHeight="1">
      <c r="E169" s="290"/>
      <c r="H169" s="141"/>
      <c r="I169" s="141"/>
      <c r="J169" s="141"/>
    </row>
    <row r="170" spans="5:10" s="6" customFormat="1" ht="18.75" customHeight="1">
      <c r="E170" s="290"/>
      <c r="H170" s="141"/>
      <c r="I170" s="141"/>
      <c r="J170" s="141"/>
    </row>
    <row r="171" spans="5:10" s="6" customFormat="1" ht="18.75" customHeight="1">
      <c r="E171" s="290"/>
      <c r="H171" s="141"/>
      <c r="I171" s="141"/>
      <c r="J171" s="141"/>
    </row>
    <row r="172" spans="5:10" s="6" customFormat="1" ht="18.75" customHeight="1">
      <c r="E172" s="290"/>
      <c r="H172" s="141"/>
      <c r="I172" s="141"/>
      <c r="J172" s="141"/>
    </row>
    <row r="173" spans="5:10" s="6" customFormat="1" ht="18.75" customHeight="1">
      <c r="E173" s="290"/>
      <c r="H173" s="141"/>
      <c r="I173" s="141"/>
      <c r="J173" s="141"/>
    </row>
    <row r="174" spans="5:10" s="6" customFormat="1" ht="18.75" customHeight="1">
      <c r="E174" s="290"/>
      <c r="H174" s="141"/>
      <c r="I174" s="141"/>
      <c r="J174" s="141"/>
    </row>
    <row r="175" spans="5:10" s="6" customFormat="1" ht="18.75" customHeight="1">
      <c r="E175" s="290"/>
      <c r="H175" s="141"/>
      <c r="I175" s="141"/>
      <c r="J175" s="141"/>
    </row>
    <row r="176" spans="5:10" s="6" customFormat="1" ht="18.75" customHeight="1">
      <c r="E176" s="290"/>
      <c r="H176" s="141"/>
      <c r="I176" s="141"/>
      <c r="J176" s="141"/>
    </row>
    <row r="177" spans="5:10" s="6" customFormat="1" ht="18.75" customHeight="1">
      <c r="E177" s="290"/>
      <c r="H177" s="141"/>
      <c r="I177" s="141"/>
      <c r="J177" s="141"/>
    </row>
    <row r="178" spans="5:10" s="6" customFormat="1" ht="18.75" customHeight="1">
      <c r="E178" s="290"/>
      <c r="H178" s="141"/>
      <c r="I178" s="141"/>
      <c r="J178" s="141"/>
    </row>
    <row r="179" spans="5:10" s="6" customFormat="1" ht="18.75" customHeight="1">
      <c r="E179" s="290"/>
      <c r="H179" s="141"/>
      <c r="I179" s="141"/>
      <c r="J179" s="141"/>
    </row>
    <row r="180" spans="5:10" s="6" customFormat="1" ht="18.75" customHeight="1">
      <c r="E180" s="290"/>
      <c r="H180" s="141"/>
      <c r="I180" s="141"/>
      <c r="J180" s="141"/>
    </row>
    <row r="181" spans="5:10" s="6" customFormat="1" ht="18.75" customHeight="1">
      <c r="E181" s="290"/>
      <c r="H181" s="141"/>
      <c r="I181" s="141"/>
      <c r="J181" s="141"/>
    </row>
    <row r="182" spans="5:10" s="6" customFormat="1" ht="18.75" customHeight="1">
      <c r="E182" s="290"/>
      <c r="H182" s="141"/>
      <c r="I182" s="141"/>
      <c r="J182" s="141"/>
    </row>
    <row r="183" spans="5:10" s="6" customFormat="1" ht="18.75" customHeight="1">
      <c r="E183" s="290"/>
      <c r="H183" s="141"/>
      <c r="I183" s="141"/>
      <c r="J183" s="141"/>
    </row>
    <row r="184" spans="5:10" s="6" customFormat="1" ht="18.75" customHeight="1">
      <c r="E184" s="290"/>
      <c r="H184" s="141"/>
      <c r="I184" s="141"/>
      <c r="J184" s="141"/>
    </row>
    <row r="185" spans="5:10" s="6" customFormat="1" ht="18.75" customHeight="1">
      <c r="E185" s="290"/>
      <c r="H185" s="141"/>
      <c r="I185" s="141"/>
      <c r="J185" s="141"/>
    </row>
    <row r="186" spans="5:10" s="6" customFormat="1" ht="18.75" customHeight="1">
      <c r="E186" s="290"/>
      <c r="H186" s="141"/>
      <c r="I186" s="141"/>
      <c r="J186" s="141"/>
    </row>
    <row r="187" spans="5:10" s="6" customFormat="1" ht="18.75" customHeight="1">
      <c r="E187" s="290"/>
      <c r="H187" s="141"/>
      <c r="I187" s="141"/>
      <c r="J187" s="141"/>
    </row>
    <row r="188" spans="5:10" s="6" customFormat="1" ht="18.75" customHeight="1">
      <c r="E188" s="290"/>
      <c r="H188" s="141"/>
      <c r="I188" s="141"/>
      <c r="J188" s="141"/>
    </row>
    <row r="189" spans="5:10" s="6" customFormat="1" ht="18.75" customHeight="1">
      <c r="E189" s="290"/>
      <c r="H189" s="141"/>
      <c r="I189" s="141"/>
      <c r="J189" s="141"/>
    </row>
    <row r="190" spans="5:10" s="6" customFormat="1" ht="18.75" customHeight="1">
      <c r="E190" s="290"/>
      <c r="H190" s="141"/>
      <c r="I190" s="141"/>
      <c r="J190" s="141"/>
    </row>
    <row r="191" spans="5:10" s="6" customFormat="1" ht="18.75" customHeight="1">
      <c r="E191" s="290"/>
      <c r="H191" s="141"/>
      <c r="I191" s="141"/>
      <c r="J191" s="141"/>
    </row>
    <row r="192" spans="5:10" s="6" customFormat="1" ht="18.75" customHeight="1">
      <c r="E192" s="290"/>
      <c r="H192" s="141"/>
      <c r="I192" s="141"/>
      <c r="J192" s="141"/>
    </row>
    <row r="193" spans="5:10" s="6" customFormat="1" ht="18.75" customHeight="1">
      <c r="E193" s="290"/>
      <c r="H193" s="141"/>
      <c r="I193" s="141"/>
      <c r="J193" s="141"/>
    </row>
    <row r="194" spans="5:10" s="6" customFormat="1" ht="18.75" customHeight="1">
      <c r="E194" s="290"/>
      <c r="H194" s="141"/>
      <c r="I194" s="141"/>
      <c r="J194" s="141"/>
    </row>
    <row r="195" spans="5:10" s="6" customFormat="1" ht="18.75" customHeight="1">
      <c r="E195" s="290"/>
      <c r="H195" s="141"/>
      <c r="I195" s="141"/>
      <c r="J195" s="141"/>
    </row>
    <row r="196" spans="5:10" s="6" customFormat="1" ht="18.75" customHeight="1">
      <c r="E196" s="290"/>
      <c r="H196" s="141"/>
      <c r="I196" s="141"/>
      <c r="J196" s="141"/>
    </row>
    <row r="197" spans="5:10" s="6" customFormat="1" ht="18.75" customHeight="1">
      <c r="E197" s="290"/>
      <c r="H197" s="141"/>
      <c r="I197" s="141"/>
      <c r="J197" s="141"/>
    </row>
    <row r="198" spans="5:10" s="6" customFormat="1" ht="18.75" customHeight="1">
      <c r="E198" s="290"/>
      <c r="H198" s="141"/>
      <c r="I198" s="141"/>
      <c r="J198" s="141"/>
    </row>
    <row r="199" spans="5:10" s="6" customFormat="1" ht="18.75" customHeight="1">
      <c r="E199" s="290"/>
      <c r="H199" s="141"/>
      <c r="I199" s="141"/>
      <c r="J199" s="141"/>
    </row>
    <row r="200" spans="5:10" s="6" customFormat="1" ht="18.75" customHeight="1">
      <c r="E200" s="290"/>
      <c r="H200" s="141"/>
      <c r="I200" s="141"/>
      <c r="J200" s="141"/>
    </row>
    <row r="201" spans="5:10" s="6" customFormat="1" ht="18.75" customHeight="1">
      <c r="E201" s="290"/>
      <c r="H201" s="141"/>
      <c r="I201" s="141"/>
      <c r="J201" s="141"/>
    </row>
    <row r="202" spans="5:10" s="6" customFormat="1" ht="18.75" customHeight="1">
      <c r="E202" s="290"/>
      <c r="H202" s="141"/>
      <c r="I202" s="141"/>
      <c r="J202" s="141"/>
    </row>
    <row r="203" spans="5:10" s="6" customFormat="1" ht="18.75" customHeight="1">
      <c r="E203" s="290"/>
      <c r="H203" s="141"/>
      <c r="I203" s="141"/>
      <c r="J203" s="141"/>
    </row>
    <row r="204" spans="5:10" s="6" customFormat="1" ht="18.75" customHeight="1">
      <c r="E204" s="290"/>
      <c r="H204" s="141"/>
      <c r="I204" s="141"/>
      <c r="J204" s="141"/>
    </row>
    <row r="205" spans="5:10" s="6" customFormat="1" ht="18.75" customHeight="1">
      <c r="E205" s="290"/>
      <c r="H205" s="141"/>
      <c r="I205" s="141"/>
      <c r="J205" s="141"/>
    </row>
    <row r="206" spans="5:10" s="6" customFormat="1" ht="18.75" customHeight="1">
      <c r="E206" s="290"/>
      <c r="H206" s="141"/>
      <c r="I206" s="141"/>
      <c r="J206" s="141"/>
    </row>
    <row r="207" spans="5:10" s="6" customFormat="1" ht="18.75" customHeight="1">
      <c r="E207" s="290"/>
      <c r="H207" s="141"/>
      <c r="I207" s="141"/>
      <c r="J207" s="141"/>
    </row>
    <row r="208" spans="5:10" s="6" customFormat="1" ht="18.75" customHeight="1">
      <c r="E208" s="290"/>
      <c r="H208" s="141"/>
      <c r="I208" s="141"/>
      <c r="J208" s="141"/>
    </row>
    <row r="209" spans="5:10" s="6" customFormat="1" ht="18.75" customHeight="1">
      <c r="E209" s="290"/>
      <c r="H209" s="141"/>
      <c r="I209" s="141"/>
      <c r="J209" s="141"/>
    </row>
    <row r="210" spans="5:10" s="6" customFormat="1" ht="18.75" customHeight="1">
      <c r="E210" s="290"/>
      <c r="H210" s="141"/>
      <c r="I210" s="141"/>
      <c r="J210" s="141"/>
    </row>
    <row r="211" spans="5:10" s="6" customFormat="1" ht="18.75" customHeight="1">
      <c r="E211" s="290"/>
      <c r="H211" s="141"/>
      <c r="I211" s="141"/>
      <c r="J211" s="141"/>
    </row>
    <row r="212" spans="5:10" s="6" customFormat="1" ht="18.75" customHeight="1">
      <c r="E212" s="290"/>
      <c r="H212" s="141"/>
      <c r="I212" s="141"/>
      <c r="J212" s="141"/>
    </row>
    <row r="213" spans="5:10" s="6" customFormat="1" ht="18.75" customHeight="1">
      <c r="E213" s="290"/>
      <c r="H213" s="141"/>
      <c r="I213" s="141"/>
      <c r="J213" s="141"/>
    </row>
    <row r="214" spans="5:10" s="6" customFormat="1" ht="18.75" customHeight="1">
      <c r="E214" s="290"/>
      <c r="H214" s="141"/>
      <c r="I214" s="141"/>
      <c r="J214" s="141"/>
    </row>
    <row r="215" spans="5:10" s="6" customFormat="1" ht="18.75" customHeight="1">
      <c r="E215" s="290"/>
      <c r="H215" s="141"/>
      <c r="I215" s="141"/>
      <c r="J215" s="141"/>
    </row>
    <row r="216" spans="5:10" s="6" customFormat="1" ht="18.75" customHeight="1">
      <c r="E216" s="290"/>
      <c r="H216" s="141"/>
      <c r="I216" s="141"/>
      <c r="J216" s="141"/>
    </row>
    <row r="217" spans="5:10" s="6" customFormat="1" ht="18.75" customHeight="1">
      <c r="E217" s="290"/>
      <c r="H217" s="141"/>
      <c r="I217" s="141"/>
      <c r="J217" s="141"/>
    </row>
    <row r="218" spans="5:10" s="6" customFormat="1" ht="18.75" customHeight="1">
      <c r="E218" s="290"/>
      <c r="H218" s="141"/>
      <c r="I218" s="141"/>
      <c r="J218" s="141"/>
    </row>
    <row r="219" spans="5:10" s="6" customFormat="1" ht="18.75" customHeight="1">
      <c r="E219" s="290"/>
      <c r="H219" s="141"/>
      <c r="I219" s="141"/>
      <c r="J219" s="141"/>
    </row>
    <row r="220" spans="5:10" s="6" customFormat="1" ht="18.75" customHeight="1">
      <c r="E220" s="290"/>
      <c r="H220" s="141"/>
      <c r="I220" s="141"/>
      <c r="J220" s="141"/>
    </row>
    <row r="221" spans="5:10" s="6" customFormat="1" ht="18.75" customHeight="1">
      <c r="E221" s="290"/>
      <c r="H221" s="141"/>
      <c r="I221" s="141"/>
      <c r="J221" s="141"/>
    </row>
    <row r="222" spans="5:10" s="6" customFormat="1" ht="18.75" customHeight="1">
      <c r="E222" s="290"/>
      <c r="H222" s="141"/>
      <c r="I222" s="141"/>
      <c r="J222" s="141"/>
    </row>
    <row r="223" spans="5:10" s="6" customFormat="1" ht="18.75" customHeight="1">
      <c r="E223" s="290"/>
      <c r="H223" s="141"/>
      <c r="I223" s="141"/>
      <c r="J223" s="141"/>
    </row>
    <row r="224" spans="5:10" s="6" customFormat="1" ht="18.75" customHeight="1">
      <c r="E224" s="290"/>
      <c r="H224" s="141"/>
      <c r="I224" s="141"/>
      <c r="J224" s="141"/>
    </row>
    <row r="225" spans="5:10" s="6" customFormat="1" ht="18.75" customHeight="1">
      <c r="E225" s="290"/>
      <c r="H225" s="141"/>
      <c r="I225" s="141"/>
      <c r="J225" s="141"/>
    </row>
    <row r="226" spans="5:10" s="6" customFormat="1" ht="18.75" customHeight="1">
      <c r="E226" s="290"/>
      <c r="H226" s="141"/>
      <c r="I226" s="141"/>
      <c r="J226" s="141"/>
    </row>
    <row r="227" spans="5:10" s="6" customFormat="1" ht="18.75" customHeight="1">
      <c r="E227" s="290"/>
      <c r="H227" s="141"/>
      <c r="I227" s="141"/>
      <c r="J227" s="141"/>
    </row>
    <row r="228" spans="5:10" s="6" customFormat="1" ht="18.75" customHeight="1">
      <c r="E228" s="290"/>
      <c r="H228" s="141"/>
      <c r="I228" s="141"/>
      <c r="J228" s="141"/>
    </row>
    <row r="229" spans="5:10" s="6" customFormat="1" ht="18.75" customHeight="1">
      <c r="E229" s="290"/>
      <c r="H229" s="141"/>
      <c r="I229" s="141"/>
      <c r="J229" s="141"/>
    </row>
    <row r="230" spans="5:10" s="6" customFormat="1" ht="18.75" customHeight="1">
      <c r="E230" s="290"/>
      <c r="H230" s="141"/>
      <c r="I230" s="141"/>
      <c r="J230" s="141"/>
    </row>
    <row r="231" spans="5:10" s="6" customFormat="1" ht="18.75" customHeight="1">
      <c r="E231" s="290"/>
      <c r="H231" s="141"/>
      <c r="I231" s="141"/>
      <c r="J231" s="141"/>
    </row>
    <row r="232" spans="5:10" s="6" customFormat="1" ht="18.75" customHeight="1">
      <c r="E232" s="290"/>
      <c r="H232" s="141"/>
      <c r="I232" s="141"/>
      <c r="J232" s="141"/>
    </row>
    <row r="233" spans="5:10" s="6" customFormat="1" ht="18.75" customHeight="1">
      <c r="E233" s="290"/>
      <c r="H233" s="141"/>
      <c r="I233" s="141"/>
      <c r="J233" s="141"/>
    </row>
    <row r="234" spans="5:10" s="6" customFormat="1" ht="18.75" customHeight="1">
      <c r="E234" s="290"/>
      <c r="H234" s="141"/>
      <c r="I234" s="141"/>
      <c r="J234" s="141"/>
    </row>
    <row r="235" spans="5:10" s="6" customFormat="1" ht="18.75" customHeight="1">
      <c r="E235" s="290"/>
      <c r="H235" s="141"/>
      <c r="I235" s="141"/>
      <c r="J235" s="141"/>
    </row>
    <row r="236" spans="5:10" s="6" customFormat="1" ht="18.75" customHeight="1">
      <c r="E236" s="290"/>
      <c r="H236" s="141"/>
      <c r="I236" s="141"/>
      <c r="J236" s="141"/>
    </row>
    <row r="237" spans="5:10" s="6" customFormat="1" ht="18.75" customHeight="1">
      <c r="E237" s="290"/>
      <c r="H237" s="141"/>
      <c r="I237" s="141"/>
      <c r="J237" s="141"/>
    </row>
    <row r="238" spans="5:10" s="6" customFormat="1" ht="18.75" customHeight="1">
      <c r="E238" s="290"/>
      <c r="H238" s="141"/>
      <c r="I238" s="141"/>
      <c r="J238" s="141"/>
    </row>
    <row r="239" spans="5:10" s="6" customFormat="1" ht="18.75" customHeight="1">
      <c r="E239" s="290"/>
      <c r="H239" s="141"/>
      <c r="I239" s="141"/>
      <c r="J239" s="141"/>
    </row>
    <row r="240" spans="5:10" s="6" customFormat="1" ht="18.75" customHeight="1">
      <c r="E240" s="290"/>
      <c r="H240" s="141"/>
      <c r="I240" s="141"/>
      <c r="J240" s="141"/>
    </row>
    <row r="241" spans="5:10" s="6" customFormat="1" ht="18.75" customHeight="1">
      <c r="E241" s="290"/>
      <c r="H241" s="141"/>
      <c r="I241" s="141"/>
      <c r="J241" s="141"/>
    </row>
    <row r="242" spans="5:10" s="6" customFormat="1" ht="18.75" customHeight="1">
      <c r="E242" s="290"/>
      <c r="H242" s="141"/>
      <c r="I242" s="141"/>
      <c r="J242" s="141"/>
    </row>
    <row r="243" spans="5:10" s="6" customFormat="1" ht="18.75" customHeight="1">
      <c r="E243" s="290"/>
      <c r="H243" s="141"/>
      <c r="I243" s="141"/>
      <c r="J243" s="141"/>
    </row>
    <row r="244" spans="5:10" s="6" customFormat="1" ht="18.75" customHeight="1">
      <c r="E244" s="290"/>
      <c r="H244" s="141"/>
      <c r="I244" s="141"/>
      <c r="J244" s="141"/>
    </row>
    <row r="245" spans="5:10" s="6" customFormat="1" ht="18.75" customHeight="1">
      <c r="E245" s="290"/>
      <c r="H245" s="141"/>
      <c r="I245" s="141"/>
      <c r="J245" s="141"/>
    </row>
    <row r="246" spans="5:10" s="6" customFormat="1" ht="18.75" customHeight="1">
      <c r="E246" s="290"/>
      <c r="H246" s="141"/>
      <c r="I246" s="141"/>
      <c r="J246" s="141"/>
    </row>
    <row r="247" spans="5:10" s="6" customFormat="1" ht="18.75" customHeight="1">
      <c r="E247" s="290"/>
      <c r="H247" s="141"/>
      <c r="I247" s="141"/>
      <c r="J247" s="141"/>
    </row>
    <row r="248" spans="5:10" s="6" customFormat="1" ht="18.75" customHeight="1">
      <c r="E248" s="290"/>
      <c r="H248" s="141"/>
      <c r="I248" s="141"/>
      <c r="J248" s="141"/>
    </row>
    <row r="249" spans="5:10" s="6" customFormat="1" ht="18.75" customHeight="1">
      <c r="E249" s="290"/>
      <c r="H249" s="141"/>
      <c r="I249" s="141"/>
      <c r="J249" s="141"/>
    </row>
    <row r="250" spans="5:10" s="6" customFormat="1" ht="18.75" customHeight="1">
      <c r="E250" s="290"/>
      <c r="H250" s="141"/>
      <c r="I250" s="141"/>
      <c r="J250" s="141"/>
    </row>
    <row r="251" spans="5:10" s="6" customFormat="1" ht="18.75" customHeight="1">
      <c r="E251" s="290"/>
      <c r="H251" s="141"/>
      <c r="I251" s="141"/>
      <c r="J251" s="141"/>
    </row>
    <row r="252" spans="5:10" s="6" customFormat="1" ht="18.75" customHeight="1">
      <c r="E252" s="290"/>
      <c r="H252" s="141"/>
      <c r="I252" s="141"/>
      <c r="J252" s="141"/>
    </row>
    <row r="253" spans="5:10" s="6" customFormat="1" ht="18.75" customHeight="1">
      <c r="E253" s="290"/>
      <c r="H253" s="141"/>
      <c r="I253" s="141"/>
      <c r="J253" s="141"/>
    </row>
    <row r="254" spans="5:10" s="6" customFormat="1" ht="18.75" customHeight="1">
      <c r="E254" s="290"/>
      <c r="H254" s="141"/>
      <c r="I254" s="141"/>
      <c r="J254" s="141"/>
    </row>
    <row r="255" spans="5:10" s="6" customFormat="1" ht="18.75" customHeight="1">
      <c r="E255" s="290"/>
      <c r="H255" s="141"/>
      <c r="I255" s="141"/>
      <c r="J255" s="141"/>
    </row>
    <row r="256" spans="5:10" s="6" customFormat="1" ht="18.75" customHeight="1">
      <c r="E256" s="290"/>
      <c r="H256" s="141"/>
      <c r="I256" s="141"/>
      <c r="J256" s="141"/>
    </row>
    <row r="257" spans="5:10" s="6" customFormat="1" ht="18.75" customHeight="1">
      <c r="E257" s="290"/>
      <c r="H257" s="141"/>
      <c r="I257" s="141"/>
      <c r="J257" s="141"/>
    </row>
    <row r="258" spans="5:10" s="6" customFormat="1" ht="18.75" customHeight="1">
      <c r="E258" s="290"/>
      <c r="H258" s="141"/>
      <c r="I258" s="141"/>
      <c r="J258" s="141"/>
    </row>
    <row r="259" spans="5:10" s="6" customFormat="1" ht="18.75" customHeight="1">
      <c r="E259" s="290"/>
      <c r="H259" s="141"/>
      <c r="I259" s="141"/>
      <c r="J259" s="141"/>
    </row>
    <row r="260" spans="5:10" s="6" customFormat="1" ht="18.75" customHeight="1">
      <c r="E260" s="290"/>
      <c r="H260" s="141"/>
      <c r="I260" s="141"/>
      <c r="J260" s="141"/>
    </row>
    <row r="261" spans="5:10" s="6" customFormat="1" ht="18.75" customHeight="1">
      <c r="E261" s="290"/>
      <c r="H261" s="141"/>
      <c r="I261" s="141"/>
      <c r="J261" s="141"/>
    </row>
    <row r="262" spans="5:10" s="6" customFormat="1" ht="18.75" customHeight="1">
      <c r="E262" s="290"/>
      <c r="H262" s="141"/>
      <c r="I262" s="141"/>
      <c r="J262" s="141"/>
    </row>
    <row r="263" spans="5:10" s="6" customFormat="1" ht="18.75" customHeight="1">
      <c r="E263" s="290"/>
      <c r="H263" s="141"/>
      <c r="I263" s="141"/>
      <c r="J263" s="141"/>
    </row>
    <row r="264" spans="5:10" s="6" customFormat="1" ht="18.75" customHeight="1">
      <c r="E264" s="290"/>
      <c r="H264" s="141"/>
      <c r="I264" s="141"/>
      <c r="J264" s="141"/>
    </row>
    <row r="265" spans="5:10" s="6" customFormat="1" ht="18.75" customHeight="1">
      <c r="E265" s="290"/>
      <c r="H265" s="141"/>
      <c r="I265" s="141"/>
      <c r="J265" s="141"/>
    </row>
    <row r="266" spans="5:10" s="6" customFormat="1" ht="18.75" customHeight="1">
      <c r="E266" s="290"/>
      <c r="H266" s="141"/>
      <c r="I266" s="141"/>
      <c r="J266" s="141"/>
    </row>
    <row r="267" spans="5:10" s="6" customFormat="1" ht="18.75" customHeight="1">
      <c r="E267" s="290"/>
      <c r="H267" s="141"/>
      <c r="I267" s="141"/>
      <c r="J267" s="141"/>
    </row>
    <row r="268" spans="5:10" s="6" customFormat="1" ht="18.75" customHeight="1">
      <c r="E268" s="290"/>
      <c r="H268" s="141"/>
      <c r="I268" s="141"/>
      <c r="J268" s="141"/>
    </row>
    <row r="269" spans="5:10" s="6" customFormat="1" ht="18.75" customHeight="1">
      <c r="E269" s="290"/>
      <c r="H269" s="141"/>
      <c r="I269" s="141"/>
      <c r="J269" s="141"/>
    </row>
    <row r="270" spans="5:10" s="6" customFormat="1" ht="18.75" customHeight="1">
      <c r="E270" s="290"/>
      <c r="H270" s="141"/>
      <c r="I270" s="141"/>
      <c r="J270" s="141"/>
    </row>
    <row r="271" spans="5:10" s="6" customFormat="1" ht="18.75" customHeight="1">
      <c r="E271" s="290"/>
      <c r="H271" s="141"/>
      <c r="I271" s="141"/>
      <c r="J271" s="141"/>
    </row>
    <row r="272" spans="5:10" s="6" customFormat="1" ht="18.75" customHeight="1">
      <c r="E272" s="290"/>
      <c r="H272" s="141"/>
      <c r="I272" s="141"/>
      <c r="J272" s="141"/>
    </row>
    <row r="273" spans="5:10" s="6" customFormat="1" ht="18.75" customHeight="1">
      <c r="E273" s="290"/>
      <c r="H273" s="141"/>
      <c r="I273" s="141"/>
      <c r="J273" s="141"/>
    </row>
    <row r="274" spans="5:10" s="6" customFormat="1" ht="18.75" customHeight="1">
      <c r="E274" s="290"/>
      <c r="H274" s="141"/>
      <c r="I274" s="141"/>
      <c r="J274" s="141"/>
    </row>
    <row r="275" spans="5:10" s="6" customFormat="1" ht="18.75" customHeight="1">
      <c r="E275" s="290"/>
      <c r="H275" s="141"/>
      <c r="I275" s="141"/>
      <c r="J275" s="141"/>
    </row>
    <row r="276" spans="5:10" s="6" customFormat="1" ht="18.75" customHeight="1">
      <c r="E276" s="290"/>
      <c r="H276" s="141"/>
      <c r="I276" s="141"/>
      <c r="J276" s="141"/>
    </row>
    <row r="277" spans="5:10" s="6" customFormat="1" ht="18.75" customHeight="1">
      <c r="E277" s="290"/>
      <c r="H277" s="141"/>
      <c r="I277" s="141"/>
      <c r="J277" s="141"/>
    </row>
    <row r="278" spans="5:10" s="6" customFormat="1" ht="18.75" customHeight="1">
      <c r="E278" s="290"/>
      <c r="H278" s="141"/>
      <c r="I278" s="141"/>
      <c r="J278" s="141"/>
    </row>
    <row r="279" spans="5:10" s="6" customFormat="1" ht="18.75" customHeight="1">
      <c r="E279" s="290"/>
      <c r="H279" s="141"/>
      <c r="I279" s="141"/>
      <c r="J279" s="141"/>
    </row>
    <row r="280" spans="5:10" s="6" customFormat="1" ht="18.75" customHeight="1">
      <c r="E280" s="290"/>
      <c r="H280" s="141"/>
      <c r="I280" s="141"/>
      <c r="J280" s="141"/>
    </row>
    <row r="281" spans="5:10" s="6" customFormat="1" ht="18.75" customHeight="1">
      <c r="E281" s="290"/>
      <c r="H281" s="141"/>
      <c r="I281" s="141"/>
      <c r="J281" s="141"/>
    </row>
    <row r="282" spans="5:10" s="6" customFormat="1" ht="18.75" customHeight="1">
      <c r="E282" s="290"/>
      <c r="H282" s="141"/>
      <c r="I282" s="141"/>
      <c r="J282" s="141"/>
    </row>
    <row r="283" spans="5:10" s="6" customFormat="1" ht="18.75" customHeight="1">
      <c r="E283" s="290"/>
      <c r="H283" s="141"/>
      <c r="I283" s="141"/>
      <c r="J283" s="141"/>
    </row>
    <row r="284" spans="5:10" s="6" customFormat="1" ht="18.75" customHeight="1">
      <c r="E284" s="290"/>
      <c r="H284" s="141"/>
      <c r="I284" s="141"/>
      <c r="J284" s="141"/>
    </row>
    <row r="285" spans="5:10" s="6" customFormat="1" ht="18.75" customHeight="1">
      <c r="E285" s="290"/>
      <c r="H285" s="141"/>
      <c r="I285" s="141"/>
      <c r="J285" s="141"/>
    </row>
    <row r="286" spans="5:10" s="6" customFormat="1" ht="18.75" customHeight="1">
      <c r="E286" s="290"/>
      <c r="H286" s="141"/>
      <c r="I286" s="141"/>
      <c r="J286" s="141"/>
    </row>
    <row r="287" spans="5:10" s="6" customFormat="1" ht="18.75" customHeight="1">
      <c r="E287" s="290"/>
      <c r="H287" s="141"/>
      <c r="I287" s="141"/>
      <c r="J287" s="141"/>
    </row>
    <row r="288" spans="5:10" s="6" customFormat="1" ht="18.75" customHeight="1">
      <c r="E288" s="290"/>
      <c r="H288" s="141"/>
      <c r="I288" s="141"/>
      <c r="J288" s="141"/>
    </row>
    <row r="289" spans="5:10" s="6" customFormat="1" ht="18.75" customHeight="1">
      <c r="E289" s="290"/>
      <c r="H289" s="141"/>
      <c r="I289" s="141"/>
      <c r="J289" s="141"/>
    </row>
    <row r="290" spans="5:10" s="6" customFormat="1" ht="18.75" customHeight="1">
      <c r="E290" s="290"/>
      <c r="H290" s="141"/>
      <c r="I290" s="141"/>
      <c r="J290" s="141"/>
    </row>
    <row r="291" spans="5:10" s="6" customFormat="1" ht="18.75" customHeight="1">
      <c r="E291" s="290"/>
      <c r="H291" s="141"/>
      <c r="I291" s="141"/>
      <c r="J291" s="141"/>
    </row>
    <row r="292" spans="5:10" s="6" customFormat="1" ht="18.75" customHeight="1">
      <c r="E292" s="290"/>
      <c r="H292" s="141"/>
      <c r="I292" s="141"/>
      <c r="J292" s="141"/>
    </row>
    <row r="293" spans="5:10" s="6" customFormat="1" ht="18.75" customHeight="1">
      <c r="E293" s="290"/>
      <c r="H293" s="141"/>
      <c r="I293" s="141"/>
      <c r="J293" s="141"/>
    </row>
    <row r="294" spans="5:10" s="6" customFormat="1" ht="18.75" customHeight="1">
      <c r="E294" s="290"/>
      <c r="H294" s="141"/>
      <c r="I294" s="141"/>
      <c r="J294" s="141"/>
    </row>
    <row r="295" spans="5:10" s="6" customFormat="1" ht="18.75" customHeight="1">
      <c r="E295" s="290"/>
      <c r="H295" s="141"/>
      <c r="I295" s="141"/>
      <c r="J295" s="141"/>
    </row>
    <row r="296" spans="5:10" s="6" customFormat="1" ht="18.75" customHeight="1">
      <c r="E296" s="290"/>
      <c r="H296" s="141"/>
      <c r="I296" s="141"/>
      <c r="J296" s="141"/>
    </row>
    <row r="297" spans="5:10" s="6" customFormat="1" ht="18.75" customHeight="1">
      <c r="E297" s="290"/>
      <c r="H297" s="141"/>
      <c r="I297" s="141"/>
      <c r="J297" s="141"/>
    </row>
    <row r="298" spans="5:10" s="6" customFormat="1" ht="18.75" customHeight="1">
      <c r="E298" s="290"/>
      <c r="H298" s="141"/>
      <c r="I298" s="141"/>
      <c r="J298" s="141"/>
    </row>
    <row r="299" spans="5:10" s="6" customFormat="1" ht="18.75" customHeight="1">
      <c r="E299" s="290"/>
      <c r="H299" s="141"/>
      <c r="I299" s="141"/>
      <c r="J299" s="141"/>
    </row>
    <row r="300" spans="5:10" s="6" customFormat="1" ht="18.75" customHeight="1">
      <c r="E300" s="290"/>
      <c r="H300" s="141"/>
      <c r="I300" s="141"/>
      <c r="J300" s="141"/>
    </row>
    <row r="301" spans="5:10" s="6" customFormat="1" ht="18.75" customHeight="1">
      <c r="E301" s="290"/>
      <c r="H301" s="141"/>
      <c r="I301" s="141"/>
      <c r="J301" s="141"/>
    </row>
    <row r="302" spans="5:10" s="6" customFormat="1" ht="18.75" customHeight="1">
      <c r="E302" s="290"/>
      <c r="H302" s="141"/>
      <c r="I302" s="141"/>
      <c r="J302" s="141"/>
    </row>
    <row r="303" spans="5:10" s="6" customFormat="1" ht="18.75" customHeight="1">
      <c r="E303" s="290"/>
      <c r="H303" s="141"/>
      <c r="I303" s="141"/>
      <c r="J303" s="141"/>
    </row>
    <row r="304" spans="5:10" s="6" customFormat="1" ht="18.75" customHeight="1">
      <c r="E304" s="290"/>
      <c r="H304" s="141"/>
      <c r="I304" s="141"/>
      <c r="J304" s="141"/>
    </row>
    <row r="305" spans="5:10" s="6" customFormat="1" ht="18.75" customHeight="1">
      <c r="E305" s="290"/>
      <c r="H305" s="141"/>
      <c r="I305" s="141"/>
      <c r="J305" s="141"/>
    </row>
    <row r="306" spans="5:10" s="6" customFormat="1" ht="18.75" customHeight="1">
      <c r="E306" s="290"/>
      <c r="H306" s="141"/>
      <c r="I306" s="141"/>
      <c r="J306" s="141"/>
    </row>
    <row r="307" spans="5:10" s="6" customFormat="1" ht="18.75" customHeight="1">
      <c r="E307" s="290"/>
      <c r="H307" s="141"/>
      <c r="I307" s="141"/>
      <c r="J307" s="141"/>
    </row>
    <row r="308" spans="5:10" s="6" customFormat="1" ht="18.75" customHeight="1">
      <c r="E308" s="290"/>
      <c r="H308" s="141"/>
      <c r="I308" s="141"/>
      <c r="J308" s="141"/>
    </row>
    <row r="309" spans="5:10" s="6" customFormat="1" ht="18.75" customHeight="1">
      <c r="E309" s="290"/>
      <c r="H309" s="141"/>
      <c r="I309" s="141"/>
      <c r="J309" s="141"/>
    </row>
    <row r="310" spans="5:10" s="6" customFormat="1" ht="18.75" customHeight="1">
      <c r="E310" s="290"/>
      <c r="H310" s="141"/>
      <c r="I310" s="141"/>
      <c r="J310" s="141"/>
    </row>
    <row r="311" spans="5:10" s="6" customFormat="1" ht="18.75" customHeight="1">
      <c r="E311" s="290"/>
      <c r="H311" s="141"/>
      <c r="I311" s="141"/>
      <c r="J311" s="141"/>
    </row>
    <row r="312" spans="5:10" s="6" customFormat="1" ht="18.75" customHeight="1">
      <c r="E312" s="290"/>
      <c r="H312" s="141"/>
      <c r="I312" s="141"/>
      <c r="J312" s="141"/>
    </row>
    <row r="313" spans="5:10" s="6" customFormat="1" ht="18.75" customHeight="1">
      <c r="E313" s="290"/>
      <c r="H313" s="141"/>
      <c r="I313" s="141"/>
      <c r="J313" s="141"/>
    </row>
    <row r="314" spans="5:10" s="6" customFormat="1" ht="18.75" customHeight="1">
      <c r="E314" s="290"/>
      <c r="H314" s="141"/>
      <c r="I314" s="141"/>
      <c r="J314" s="141"/>
    </row>
    <row r="315" spans="5:10" s="6" customFormat="1" ht="18.75" customHeight="1">
      <c r="E315" s="290"/>
      <c r="H315" s="141"/>
      <c r="I315" s="141"/>
      <c r="J315" s="141"/>
    </row>
    <row r="316" spans="5:10" s="6" customFormat="1" ht="18.75" customHeight="1">
      <c r="E316" s="290"/>
      <c r="H316" s="141"/>
      <c r="I316" s="141"/>
      <c r="J316" s="141"/>
    </row>
    <row r="317" spans="5:10" s="6" customFormat="1" ht="18.75" customHeight="1">
      <c r="E317" s="290"/>
      <c r="H317" s="141"/>
      <c r="I317" s="141"/>
      <c r="J317" s="141"/>
    </row>
    <row r="318" spans="5:10" s="6" customFormat="1" ht="18.75" customHeight="1">
      <c r="E318" s="290"/>
      <c r="H318" s="141"/>
      <c r="I318" s="141"/>
      <c r="J318" s="141"/>
    </row>
    <row r="319" spans="5:10" s="6" customFormat="1" ht="18.75" customHeight="1">
      <c r="E319" s="290"/>
      <c r="H319" s="141"/>
      <c r="I319" s="141"/>
      <c r="J319" s="141"/>
    </row>
    <row r="320" spans="5:10" s="6" customFormat="1" ht="18.75" customHeight="1">
      <c r="E320" s="290"/>
      <c r="H320" s="141"/>
      <c r="I320" s="141"/>
      <c r="J320" s="141"/>
    </row>
    <row r="321" spans="5:10" s="6" customFormat="1" ht="18.75" customHeight="1">
      <c r="E321" s="290"/>
      <c r="H321" s="141"/>
      <c r="I321" s="141"/>
      <c r="J321" s="141"/>
    </row>
    <row r="322" spans="5:10" s="6" customFormat="1" ht="18.75" customHeight="1">
      <c r="E322" s="290"/>
      <c r="H322" s="141"/>
      <c r="I322" s="141"/>
      <c r="J322" s="141"/>
    </row>
    <row r="323" spans="5:10" s="6" customFormat="1" ht="18.75" customHeight="1">
      <c r="E323" s="290"/>
      <c r="H323" s="141"/>
      <c r="I323" s="141"/>
      <c r="J323" s="141"/>
    </row>
    <row r="324" spans="5:10" s="6" customFormat="1" ht="18.75" customHeight="1">
      <c r="E324" s="290"/>
      <c r="H324" s="141"/>
      <c r="I324" s="141"/>
      <c r="J324" s="141"/>
    </row>
    <row r="325" spans="5:10" s="6" customFormat="1" ht="18.75" customHeight="1">
      <c r="E325" s="290"/>
      <c r="H325" s="141"/>
      <c r="I325" s="141"/>
      <c r="J325" s="141"/>
    </row>
    <row r="326" spans="5:10" s="6" customFormat="1" ht="18.75" customHeight="1">
      <c r="E326" s="290"/>
      <c r="H326" s="141"/>
      <c r="I326" s="141"/>
      <c r="J326" s="141"/>
    </row>
    <row r="327" spans="5:10" s="6" customFormat="1" ht="18.75" customHeight="1">
      <c r="E327" s="290"/>
      <c r="H327" s="141"/>
      <c r="I327" s="141"/>
      <c r="J327" s="141"/>
    </row>
    <row r="328" spans="5:10" s="6" customFormat="1" ht="18.75" customHeight="1">
      <c r="E328" s="290"/>
      <c r="H328" s="141"/>
      <c r="I328" s="141"/>
      <c r="J328" s="141"/>
    </row>
    <row r="329" spans="5:10" s="6" customFormat="1" ht="18.75" customHeight="1">
      <c r="E329" s="290"/>
      <c r="H329" s="141"/>
      <c r="I329" s="141"/>
      <c r="J329" s="141"/>
    </row>
    <row r="330" spans="5:10" s="6" customFormat="1" ht="18.75" customHeight="1">
      <c r="E330" s="290"/>
      <c r="H330" s="141"/>
      <c r="I330" s="141"/>
      <c r="J330" s="141"/>
    </row>
    <row r="331" spans="5:10" s="6" customFormat="1" ht="18.75" customHeight="1">
      <c r="E331" s="290"/>
      <c r="H331" s="141"/>
      <c r="I331" s="141"/>
      <c r="J331" s="141"/>
    </row>
    <row r="332" spans="5:10" s="6" customFormat="1" ht="18.75" customHeight="1">
      <c r="E332" s="290"/>
      <c r="H332" s="141"/>
      <c r="I332" s="141"/>
      <c r="J332" s="141"/>
    </row>
    <row r="333" spans="5:10" s="6" customFormat="1" ht="18.75" customHeight="1">
      <c r="E333" s="290"/>
      <c r="H333" s="141"/>
      <c r="I333" s="141"/>
      <c r="J333" s="141"/>
    </row>
    <row r="334" spans="5:10" s="6" customFormat="1" ht="18.75" customHeight="1">
      <c r="E334" s="290"/>
      <c r="H334" s="141"/>
      <c r="I334" s="141"/>
      <c r="J334" s="141"/>
    </row>
    <row r="335" spans="5:10" s="6" customFormat="1" ht="18.75" customHeight="1">
      <c r="E335" s="290"/>
      <c r="H335" s="141"/>
      <c r="I335" s="141"/>
      <c r="J335" s="141"/>
    </row>
    <row r="336" spans="5:10" s="6" customFormat="1" ht="18.75" customHeight="1">
      <c r="E336" s="290"/>
      <c r="H336" s="141"/>
      <c r="I336" s="141"/>
      <c r="J336" s="141"/>
    </row>
    <row r="337" spans="5:10" s="6" customFormat="1" ht="18.75" customHeight="1">
      <c r="E337" s="290"/>
      <c r="H337" s="141"/>
      <c r="I337" s="141"/>
      <c r="J337" s="141"/>
    </row>
    <row r="338" spans="5:10" s="6" customFormat="1" ht="18.75" customHeight="1">
      <c r="E338" s="290"/>
      <c r="H338" s="141"/>
      <c r="I338" s="141"/>
      <c r="J338" s="141"/>
    </row>
    <row r="339" spans="5:10" s="6" customFormat="1" ht="18.75" customHeight="1">
      <c r="E339" s="290"/>
      <c r="H339" s="141"/>
      <c r="I339" s="141"/>
      <c r="J339" s="141"/>
    </row>
    <row r="340" spans="5:10" s="6" customFormat="1" ht="18.75" customHeight="1">
      <c r="E340" s="290"/>
      <c r="H340" s="141"/>
      <c r="I340" s="141"/>
      <c r="J340" s="141"/>
    </row>
    <row r="341" spans="5:10" s="6" customFormat="1" ht="18.75" customHeight="1">
      <c r="E341" s="290"/>
      <c r="H341" s="141"/>
      <c r="I341" s="141"/>
      <c r="J341" s="141"/>
    </row>
    <row r="342" spans="5:10" s="6" customFormat="1" ht="18.75" customHeight="1">
      <c r="E342" s="290"/>
      <c r="H342" s="141"/>
      <c r="I342" s="141"/>
      <c r="J342" s="141"/>
    </row>
    <row r="343" spans="5:10" s="6" customFormat="1" ht="18.75" customHeight="1">
      <c r="E343" s="290"/>
      <c r="H343" s="141"/>
      <c r="I343" s="141"/>
      <c r="J343" s="141"/>
    </row>
    <row r="344" spans="5:10" s="6" customFormat="1" ht="18.75" customHeight="1">
      <c r="E344" s="290"/>
      <c r="H344" s="141"/>
      <c r="I344" s="141"/>
      <c r="J344" s="141"/>
    </row>
    <row r="345" spans="5:10" s="6" customFormat="1" ht="18.75" customHeight="1">
      <c r="E345" s="290"/>
      <c r="H345" s="141"/>
      <c r="I345" s="141"/>
      <c r="J345" s="141"/>
    </row>
    <row r="346" spans="5:10" s="6" customFormat="1" ht="18.75" customHeight="1">
      <c r="E346" s="290"/>
      <c r="H346" s="141"/>
      <c r="I346" s="141"/>
      <c r="J346" s="141"/>
    </row>
    <row r="347" spans="5:10" s="6" customFormat="1" ht="18.75" customHeight="1">
      <c r="E347" s="290"/>
      <c r="H347" s="141"/>
      <c r="I347" s="141"/>
      <c r="J347" s="141"/>
    </row>
    <row r="348" spans="5:10" s="6" customFormat="1" ht="18.75" customHeight="1">
      <c r="E348" s="290"/>
      <c r="H348" s="141"/>
      <c r="I348" s="141"/>
      <c r="J348" s="141"/>
    </row>
    <row r="349" spans="5:10" s="6" customFormat="1" ht="18.75" customHeight="1">
      <c r="E349" s="290"/>
      <c r="H349" s="141"/>
      <c r="I349" s="141"/>
      <c r="J349" s="141"/>
    </row>
    <row r="350" spans="5:10" s="6" customFormat="1" ht="18.75" customHeight="1">
      <c r="E350" s="290"/>
      <c r="H350" s="141"/>
      <c r="I350" s="141"/>
      <c r="J350" s="141"/>
    </row>
    <row r="351" spans="5:10" s="6" customFormat="1" ht="18.75" customHeight="1">
      <c r="E351" s="290"/>
      <c r="H351" s="141"/>
      <c r="I351" s="141"/>
      <c r="J351" s="141"/>
    </row>
    <row r="352" spans="5:10" s="6" customFormat="1" ht="18.75" customHeight="1">
      <c r="E352" s="290"/>
      <c r="H352" s="141"/>
      <c r="I352" s="141"/>
      <c r="J352" s="141"/>
    </row>
    <row r="353" spans="5:10" s="6" customFormat="1" ht="18.75" customHeight="1">
      <c r="E353" s="290"/>
      <c r="H353" s="141"/>
      <c r="I353" s="141"/>
      <c r="J353" s="141"/>
    </row>
    <row r="354" spans="5:10" s="6" customFormat="1" ht="18.75" customHeight="1">
      <c r="E354" s="290"/>
      <c r="H354" s="141"/>
      <c r="I354" s="141"/>
      <c r="J354" s="141"/>
    </row>
    <row r="355" spans="5:10" s="6" customFormat="1" ht="18.75" customHeight="1">
      <c r="E355" s="290"/>
      <c r="H355" s="141"/>
      <c r="I355" s="141"/>
      <c r="J355" s="141"/>
    </row>
    <row r="356" spans="5:10" s="6" customFormat="1" ht="18.75" customHeight="1">
      <c r="E356" s="290"/>
      <c r="H356" s="141"/>
      <c r="I356" s="141"/>
      <c r="J356" s="141"/>
    </row>
    <row r="357" spans="5:10" s="6" customFormat="1" ht="18.75" customHeight="1">
      <c r="E357" s="290"/>
      <c r="H357" s="141"/>
      <c r="I357" s="141"/>
      <c r="J357" s="141"/>
    </row>
    <row r="358" spans="5:10" s="6" customFormat="1" ht="18.75" customHeight="1">
      <c r="E358" s="290"/>
      <c r="H358" s="141"/>
      <c r="I358" s="141"/>
      <c r="J358" s="141"/>
    </row>
    <row r="359" spans="5:10" s="6" customFormat="1" ht="18.75" customHeight="1">
      <c r="E359" s="290"/>
      <c r="H359" s="141"/>
      <c r="I359" s="141"/>
      <c r="J359" s="141"/>
    </row>
    <row r="360" spans="5:10" s="6" customFormat="1" ht="18.75" customHeight="1">
      <c r="E360" s="290"/>
      <c r="H360" s="141"/>
      <c r="I360" s="141"/>
      <c r="J360" s="141"/>
    </row>
    <row r="361" spans="5:10" s="6" customFormat="1" ht="18.75" customHeight="1">
      <c r="E361" s="290"/>
      <c r="H361" s="141"/>
      <c r="I361" s="141"/>
      <c r="J361" s="141"/>
    </row>
    <row r="362" spans="5:10" s="6" customFormat="1" ht="18.75" customHeight="1">
      <c r="E362" s="290"/>
      <c r="H362" s="141"/>
      <c r="I362" s="141"/>
      <c r="J362" s="141"/>
    </row>
    <row r="363" spans="5:10" s="6" customFormat="1" ht="18.75" customHeight="1">
      <c r="E363" s="290"/>
      <c r="H363" s="141"/>
      <c r="I363" s="141"/>
      <c r="J363" s="141"/>
    </row>
    <row r="364" spans="5:10" s="6" customFormat="1" ht="18.75" customHeight="1">
      <c r="E364" s="290"/>
      <c r="H364" s="141"/>
      <c r="I364" s="141"/>
      <c r="J364" s="141"/>
    </row>
    <row r="365" spans="5:10" s="6" customFormat="1" ht="18.75" customHeight="1">
      <c r="E365" s="290"/>
      <c r="H365" s="141"/>
      <c r="I365" s="141"/>
      <c r="J365" s="141"/>
    </row>
    <row r="366" spans="5:10" s="6" customFormat="1" ht="18.75" customHeight="1">
      <c r="E366" s="290"/>
      <c r="H366" s="141"/>
      <c r="I366" s="141"/>
      <c r="J366" s="141"/>
    </row>
    <row r="367" spans="5:10" s="6" customFormat="1" ht="18.75" customHeight="1">
      <c r="E367" s="290"/>
      <c r="H367" s="141"/>
      <c r="I367" s="141"/>
      <c r="J367" s="141"/>
    </row>
    <row r="368" spans="5:10" s="6" customFormat="1" ht="18.75" customHeight="1">
      <c r="E368" s="290"/>
      <c r="H368" s="141"/>
      <c r="I368" s="141"/>
      <c r="J368" s="141"/>
    </row>
    <row r="369" spans="5:10" s="6" customFormat="1" ht="18.75" customHeight="1">
      <c r="E369" s="290"/>
      <c r="H369" s="141"/>
      <c r="I369" s="141"/>
      <c r="J369" s="141"/>
    </row>
    <row r="370" spans="5:10" s="6" customFormat="1" ht="18.75" customHeight="1">
      <c r="E370" s="290"/>
      <c r="H370" s="141"/>
      <c r="I370" s="141"/>
      <c r="J370" s="141"/>
    </row>
    <row r="371" spans="5:10" s="6" customFormat="1" ht="18.75" customHeight="1">
      <c r="E371" s="290"/>
      <c r="H371" s="141"/>
      <c r="I371" s="141"/>
      <c r="J371" s="141"/>
    </row>
    <row r="372" spans="5:10" s="6" customFormat="1" ht="18.75" customHeight="1">
      <c r="E372" s="290"/>
      <c r="H372" s="141"/>
      <c r="I372" s="141"/>
      <c r="J372" s="141"/>
    </row>
    <row r="373" spans="5:10" s="6" customFormat="1" ht="18.75" customHeight="1">
      <c r="E373" s="290"/>
      <c r="H373" s="141"/>
      <c r="I373" s="141"/>
      <c r="J373" s="141"/>
    </row>
    <row r="374" spans="5:10" s="6" customFormat="1" ht="18.75" customHeight="1">
      <c r="E374" s="290"/>
      <c r="H374" s="141"/>
      <c r="I374" s="141"/>
      <c r="J374" s="141"/>
    </row>
    <row r="375" spans="5:10" s="6" customFormat="1" ht="18.75" customHeight="1">
      <c r="E375" s="290"/>
      <c r="H375" s="141"/>
      <c r="I375" s="141"/>
      <c r="J375" s="141"/>
    </row>
    <row r="376" spans="5:10" s="6" customFormat="1" ht="18.75" customHeight="1">
      <c r="E376" s="290"/>
      <c r="H376" s="141"/>
      <c r="I376" s="141"/>
      <c r="J376" s="141"/>
    </row>
    <row r="377" spans="5:10" s="6" customFormat="1" ht="18.75" customHeight="1">
      <c r="E377" s="290"/>
      <c r="H377" s="141"/>
      <c r="I377" s="141"/>
      <c r="J377" s="141"/>
    </row>
    <row r="378" spans="5:10" s="6" customFormat="1" ht="18.75" customHeight="1">
      <c r="E378" s="290"/>
      <c r="H378" s="141"/>
      <c r="I378" s="141"/>
      <c r="J378" s="141"/>
    </row>
    <row r="379" spans="5:10" s="6" customFormat="1" ht="18.75" customHeight="1">
      <c r="E379" s="290"/>
      <c r="H379" s="141"/>
      <c r="I379" s="141"/>
      <c r="J379" s="141"/>
    </row>
    <row r="380" spans="5:10" s="6" customFormat="1" ht="18.75" customHeight="1">
      <c r="E380" s="290"/>
      <c r="H380" s="141"/>
      <c r="I380" s="141"/>
      <c r="J380" s="141"/>
    </row>
    <row r="381" spans="5:10" s="6" customFormat="1" ht="18.75" customHeight="1">
      <c r="E381" s="290"/>
      <c r="H381" s="141"/>
      <c r="I381" s="141"/>
      <c r="J381" s="141"/>
    </row>
    <row r="382" spans="5:10" s="6" customFormat="1" ht="18.75" customHeight="1">
      <c r="E382" s="290"/>
      <c r="H382" s="141"/>
      <c r="I382" s="141"/>
      <c r="J382" s="141"/>
    </row>
    <row r="383" spans="5:10" s="6" customFormat="1" ht="18.75" customHeight="1">
      <c r="E383" s="290"/>
      <c r="H383" s="141"/>
      <c r="I383" s="141"/>
      <c r="J383" s="141"/>
    </row>
    <row r="384" spans="5:10" s="6" customFormat="1" ht="18.75" customHeight="1">
      <c r="E384" s="290"/>
      <c r="H384" s="141"/>
      <c r="I384" s="141"/>
      <c r="J384" s="141"/>
    </row>
    <row r="385" spans="5:10" s="6" customFormat="1" ht="18.75" customHeight="1">
      <c r="E385" s="290"/>
      <c r="H385" s="141"/>
      <c r="I385" s="141"/>
      <c r="J385" s="141"/>
    </row>
    <row r="386" spans="5:10" s="6" customFormat="1" ht="18.75" customHeight="1">
      <c r="E386" s="290"/>
      <c r="H386" s="141"/>
      <c r="I386" s="141"/>
      <c r="J386" s="141"/>
    </row>
    <row r="387" spans="5:10" s="6" customFormat="1" ht="18.75" customHeight="1">
      <c r="E387" s="290"/>
      <c r="H387" s="141"/>
      <c r="I387" s="141"/>
      <c r="J387" s="141"/>
    </row>
    <row r="388" spans="5:10" s="6" customFormat="1" ht="18.75" customHeight="1">
      <c r="E388" s="290"/>
      <c r="H388" s="141"/>
      <c r="I388" s="141"/>
      <c r="J388" s="141"/>
    </row>
    <row r="389" spans="5:10" s="6" customFormat="1" ht="18.75" customHeight="1">
      <c r="E389" s="290"/>
      <c r="H389" s="141"/>
      <c r="I389" s="141"/>
      <c r="J389" s="141"/>
    </row>
    <row r="390" spans="5:10" s="6" customFormat="1" ht="18.75" customHeight="1">
      <c r="E390" s="290"/>
      <c r="H390" s="141"/>
      <c r="I390" s="141"/>
      <c r="J390" s="141"/>
    </row>
    <row r="391" spans="5:10" s="6" customFormat="1" ht="18.75" customHeight="1">
      <c r="E391" s="290"/>
      <c r="H391" s="141"/>
      <c r="I391" s="141"/>
      <c r="J391" s="141"/>
    </row>
    <row r="392" spans="5:10" s="6" customFormat="1" ht="18.75" customHeight="1">
      <c r="E392" s="290"/>
      <c r="H392" s="141"/>
      <c r="I392" s="141"/>
      <c r="J392" s="141"/>
    </row>
    <row r="393" spans="5:10" s="6" customFormat="1" ht="18.75" customHeight="1">
      <c r="E393" s="290"/>
      <c r="H393" s="141"/>
      <c r="I393" s="141"/>
      <c r="J393" s="141"/>
    </row>
    <row r="394" spans="5:10" s="6" customFormat="1" ht="18.75" customHeight="1">
      <c r="E394" s="290"/>
      <c r="H394" s="141"/>
      <c r="I394" s="141"/>
      <c r="J394" s="141"/>
    </row>
    <row r="395" spans="5:10" s="6" customFormat="1" ht="18.75" customHeight="1">
      <c r="E395" s="290"/>
      <c r="H395" s="141"/>
      <c r="I395" s="141"/>
      <c r="J395" s="141"/>
    </row>
    <row r="396" spans="5:10" s="6" customFormat="1" ht="18.75" customHeight="1">
      <c r="E396" s="290"/>
      <c r="H396" s="141"/>
      <c r="I396" s="141"/>
      <c r="J396" s="141"/>
    </row>
    <row r="397" spans="5:10" s="6" customFormat="1" ht="18.75" customHeight="1">
      <c r="E397" s="290"/>
      <c r="H397" s="141"/>
      <c r="I397" s="141"/>
      <c r="J397" s="141"/>
    </row>
    <row r="398" spans="5:10" s="6" customFormat="1" ht="18.75" customHeight="1">
      <c r="E398" s="290"/>
      <c r="H398" s="141"/>
      <c r="I398" s="141"/>
      <c r="J398" s="141"/>
    </row>
    <row r="399" spans="5:10" s="6" customFormat="1" ht="18.75" customHeight="1">
      <c r="E399" s="290"/>
      <c r="H399" s="141"/>
      <c r="I399" s="141"/>
      <c r="J399" s="141"/>
    </row>
    <row r="400" spans="5:10" s="6" customFormat="1" ht="18.75" customHeight="1">
      <c r="E400" s="290"/>
      <c r="H400" s="141"/>
      <c r="I400" s="141"/>
      <c r="J400" s="141"/>
    </row>
    <row r="401" spans="5:10" s="6" customFormat="1" ht="18.75" customHeight="1">
      <c r="E401" s="290"/>
      <c r="H401" s="141"/>
      <c r="I401" s="141"/>
      <c r="J401" s="141"/>
    </row>
    <row r="402" spans="5:10" s="6" customFormat="1" ht="18.75" customHeight="1">
      <c r="E402" s="290"/>
      <c r="H402" s="141"/>
      <c r="I402" s="141"/>
      <c r="J402" s="141"/>
    </row>
    <row r="403" spans="5:10" s="6" customFormat="1" ht="18.75" customHeight="1">
      <c r="E403" s="290"/>
      <c r="H403" s="141"/>
      <c r="I403" s="141"/>
      <c r="J403" s="141"/>
    </row>
    <row r="404" spans="5:10" s="6" customFormat="1" ht="18.75" customHeight="1">
      <c r="E404" s="290"/>
      <c r="H404" s="141"/>
      <c r="I404" s="141"/>
      <c r="J404" s="141"/>
    </row>
    <row r="405" spans="5:10" s="6" customFormat="1" ht="18.75" customHeight="1">
      <c r="E405" s="290"/>
      <c r="H405" s="141"/>
      <c r="I405" s="141"/>
      <c r="J405" s="141"/>
    </row>
    <row r="406" spans="5:10" s="6" customFormat="1" ht="18.75" customHeight="1">
      <c r="E406" s="290"/>
      <c r="H406" s="141"/>
      <c r="I406" s="141"/>
      <c r="J406" s="141"/>
    </row>
    <row r="407" spans="5:10" s="6" customFormat="1" ht="18.75" customHeight="1">
      <c r="E407" s="290"/>
      <c r="H407" s="141"/>
      <c r="I407" s="141"/>
      <c r="J407" s="141"/>
    </row>
    <row r="408" spans="5:10" s="6" customFormat="1" ht="18.75" customHeight="1">
      <c r="E408" s="290"/>
      <c r="H408" s="141"/>
      <c r="I408" s="141"/>
      <c r="J408" s="141"/>
    </row>
    <row r="409" spans="5:10" s="6" customFormat="1" ht="18.75" customHeight="1">
      <c r="E409" s="290"/>
      <c r="H409" s="141"/>
      <c r="I409" s="141"/>
      <c r="J409" s="141"/>
    </row>
    <row r="410" spans="5:10" s="6" customFormat="1" ht="18.75" customHeight="1">
      <c r="E410" s="290"/>
      <c r="H410" s="141"/>
      <c r="I410" s="141"/>
      <c r="J410" s="141"/>
    </row>
    <row r="411" spans="5:10" s="6" customFormat="1" ht="18.75" customHeight="1">
      <c r="E411" s="290"/>
      <c r="H411" s="141"/>
      <c r="I411" s="141"/>
      <c r="J411" s="141"/>
    </row>
    <row r="412" spans="5:10" s="6" customFormat="1" ht="18.75" customHeight="1">
      <c r="E412" s="290"/>
      <c r="H412" s="141"/>
      <c r="I412" s="141"/>
      <c r="J412" s="141"/>
    </row>
    <row r="413" spans="5:10" s="6" customFormat="1" ht="18.75" customHeight="1">
      <c r="E413" s="290"/>
      <c r="H413" s="141"/>
      <c r="I413" s="141"/>
      <c r="J413" s="141"/>
    </row>
    <row r="414" spans="5:10" s="6" customFormat="1" ht="18.75" customHeight="1">
      <c r="E414" s="290"/>
      <c r="H414" s="141"/>
      <c r="I414" s="141"/>
      <c r="J414" s="141"/>
    </row>
    <row r="415" spans="5:10" s="6" customFormat="1" ht="18.75" customHeight="1">
      <c r="E415" s="290"/>
      <c r="H415" s="141"/>
      <c r="I415" s="141"/>
      <c r="J415" s="141"/>
    </row>
    <row r="416" spans="5:10" s="6" customFormat="1" ht="18.75" customHeight="1">
      <c r="E416" s="290"/>
      <c r="H416" s="141"/>
      <c r="I416" s="141"/>
      <c r="J416" s="141"/>
    </row>
    <row r="417" spans="5:10" s="6" customFormat="1" ht="18.75" customHeight="1">
      <c r="E417" s="290"/>
      <c r="H417" s="141"/>
      <c r="I417" s="141"/>
      <c r="J417" s="141"/>
    </row>
    <row r="418" spans="5:10" s="6" customFormat="1" ht="18.75" customHeight="1">
      <c r="E418" s="290"/>
      <c r="H418" s="141"/>
      <c r="I418" s="141"/>
      <c r="J418" s="141"/>
    </row>
    <row r="419" spans="5:10" s="6" customFormat="1" ht="18.75" customHeight="1">
      <c r="E419" s="290"/>
      <c r="H419" s="141"/>
      <c r="I419" s="141"/>
      <c r="J419" s="141"/>
    </row>
    <row r="420" spans="5:10" s="6" customFormat="1" ht="18.75" customHeight="1">
      <c r="E420" s="290"/>
      <c r="H420" s="141"/>
      <c r="I420" s="141"/>
      <c r="J420" s="141"/>
    </row>
    <row r="421" spans="5:10" s="6" customFormat="1" ht="18.75" customHeight="1">
      <c r="E421" s="290"/>
      <c r="H421" s="141"/>
      <c r="I421" s="141"/>
      <c r="J421" s="141"/>
    </row>
    <row r="422" spans="5:10" s="6" customFormat="1" ht="18.75" customHeight="1">
      <c r="E422" s="290"/>
      <c r="H422" s="141"/>
      <c r="I422" s="141"/>
      <c r="J422" s="141"/>
    </row>
    <row r="423" spans="5:10" s="6" customFormat="1" ht="18.75" customHeight="1">
      <c r="E423" s="290"/>
      <c r="H423" s="141"/>
      <c r="I423" s="141"/>
      <c r="J423" s="141"/>
    </row>
    <row r="424" spans="5:10" s="6" customFormat="1" ht="18.75" customHeight="1">
      <c r="E424" s="290"/>
      <c r="H424" s="141"/>
      <c r="I424" s="141"/>
      <c r="J424" s="141"/>
    </row>
    <row r="425" spans="5:10" s="6" customFormat="1" ht="18.75" customHeight="1">
      <c r="E425" s="290"/>
      <c r="H425" s="141"/>
      <c r="I425" s="141"/>
      <c r="J425" s="141"/>
    </row>
    <row r="426" spans="5:10" s="6" customFormat="1" ht="18.75" customHeight="1">
      <c r="E426" s="290"/>
      <c r="H426" s="141"/>
      <c r="I426" s="141"/>
      <c r="J426" s="141"/>
    </row>
    <row r="427" spans="5:10" s="6" customFormat="1" ht="18.75" customHeight="1">
      <c r="E427" s="290"/>
      <c r="H427" s="141"/>
      <c r="I427" s="141"/>
      <c r="J427" s="141"/>
    </row>
    <row r="428" spans="5:10" s="6" customFormat="1" ht="18.75" customHeight="1">
      <c r="E428" s="290"/>
      <c r="H428" s="141"/>
      <c r="I428" s="141"/>
      <c r="J428" s="141"/>
    </row>
    <row r="429" spans="5:10" s="6" customFormat="1" ht="18.75" customHeight="1">
      <c r="E429" s="290"/>
      <c r="H429" s="141"/>
      <c r="I429" s="141"/>
      <c r="J429" s="141"/>
    </row>
    <row r="430" spans="5:10" s="6" customFormat="1" ht="18.75" customHeight="1">
      <c r="E430" s="290"/>
      <c r="H430" s="141"/>
      <c r="I430" s="141"/>
      <c r="J430" s="141"/>
    </row>
    <row r="431" spans="5:10" s="6" customFormat="1" ht="18.75" customHeight="1">
      <c r="E431" s="290"/>
      <c r="H431" s="141"/>
      <c r="I431" s="141"/>
      <c r="J431" s="141"/>
    </row>
    <row r="432" spans="5:10" s="6" customFormat="1" ht="18.75" customHeight="1">
      <c r="E432" s="290"/>
      <c r="H432" s="141"/>
      <c r="I432" s="141"/>
      <c r="J432" s="141"/>
    </row>
    <row r="433" spans="5:10" s="6" customFormat="1" ht="18.75" customHeight="1">
      <c r="E433" s="290"/>
      <c r="H433" s="141"/>
      <c r="I433" s="141"/>
      <c r="J433" s="141"/>
    </row>
    <row r="434" spans="5:10" s="6" customFormat="1" ht="18.75" customHeight="1">
      <c r="E434" s="290"/>
      <c r="H434" s="141"/>
      <c r="I434" s="141"/>
      <c r="J434" s="141"/>
    </row>
    <row r="435" spans="5:10" s="6" customFormat="1" ht="18.75" customHeight="1">
      <c r="E435" s="290"/>
      <c r="H435" s="141"/>
      <c r="I435" s="141"/>
      <c r="J435" s="141"/>
    </row>
    <row r="436" spans="5:10" s="6" customFormat="1" ht="18.75" customHeight="1">
      <c r="E436" s="290"/>
      <c r="H436" s="141"/>
      <c r="I436" s="141"/>
      <c r="J436" s="141"/>
    </row>
    <row r="437" spans="5:10" s="6" customFormat="1" ht="18.75" customHeight="1">
      <c r="E437" s="290"/>
      <c r="H437" s="141"/>
      <c r="I437" s="141"/>
      <c r="J437" s="141"/>
    </row>
    <row r="438" spans="5:10" s="6" customFormat="1" ht="18.75" customHeight="1">
      <c r="E438" s="290"/>
      <c r="H438" s="141"/>
      <c r="I438" s="141"/>
      <c r="J438" s="141"/>
    </row>
    <row r="439" spans="5:10" s="6" customFormat="1" ht="18.75" customHeight="1">
      <c r="E439" s="290"/>
      <c r="H439" s="141"/>
      <c r="I439" s="141"/>
      <c r="J439" s="141"/>
    </row>
    <row r="440" spans="5:10" s="6" customFormat="1" ht="18.75" customHeight="1">
      <c r="E440" s="290"/>
      <c r="H440" s="141"/>
      <c r="I440" s="141"/>
      <c r="J440" s="141"/>
    </row>
    <row r="441" spans="5:10" s="6" customFormat="1" ht="18.75" customHeight="1">
      <c r="E441" s="290"/>
      <c r="H441" s="141"/>
      <c r="I441" s="141"/>
      <c r="J441" s="141"/>
    </row>
    <row r="442" spans="5:10" s="6" customFormat="1" ht="18.75" customHeight="1">
      <c r="E442" s="290"/>
      <c r="H442" s="141"/>
      <c r="I442" s="141"/>
      <c r="J442" s="141"/>
    </row>
    <row r="443" spans="5:10" s="6" customFormat="1" ht="18.75" customHeight="1">
      <c r="E443" s="290"/>
      <c r="H443" s="141"/>
      <c r="I443" s="141"/>
      <c r="J443" s="141"/>
    </row>
    <row r="444" spans="5:10" s="6" customFormat="1" ht="18.75" customHeight="1">
      <c r="E444" s="290"/>
      <c r="H444" s="141"/>
      <c r="I444" s="141"/>
      <c r="J444" s="141"/>
    </row>
    <row r="445" spans="5:10" s="6" customFormat="1" ht="18.75" customHeight="1">
      <c r="E445" s="290"/>
      <c r="H445" s="141"/>
      <c r="I445" s="141"/>
      <c r="J445" s="141"/>
    </row>
    <row r="446" spans="5:10" s="6" customFormat="1" ht="18.75" customHeight="1">
      <c r="E446" s="290"/>
      <c r="H446" s="141"/>
      <c r="I446" s="141"/>
      <c r="J446" s="141"/>
    </row>
    <row r="447" spans="5:10" s="6" customFormat="1" ht="18.75" customHeight="1">
      <c r="E447" s="290"/>
      <c r="H447" s="141"/>
      <c r="I447" s="141"/>
      <c r="J447" s="141"/>
    </row>
    <row r="448" spans="5:10" s="6" customFormat="1" ht="18.75" customHeight="1">
      <c r="E448" s="290"/>
      <c r="H448" s="141"/>
      <c r="I448" s="141"/>
      <c r="J448" s="141"/>
    </row>
    <row r="449" spans="5:10" s="6" customFormat="1" ht="18.75" customHeight="1">
      <c r="E449" s="290"/>
      <c r="H449" s="141"/>
      <c r="I449" s="141"/>
      <c r="J449" s="141"/>
    </row>
    <row r="450" spans="5:10" s="6" customFormat="1" ht="18.75" customHeight="1">
      <c r="E450" s="290"/>
      <c r="H450" s="141"/>
      <c r="I450" s="141"/>
      <c r="J450" s="141"/>
    </row>
    <row r="451" spans="5:10" s="6" customFormat="1" ht="18.75" customHeight="1">
      <c r="E451" s="290"/>
      <c r="H451" s="141"/>
      <c r="I451" s="141"/>
      <c r="J451" s="141"/>
    </row>
    <row r="452" spans="5:10" s="6" customFormat="1" ht="18.75" customHeight="1">
      <c r="E452" s="290"/>
      <c r="H452" s="141"/>
      <c r="I452" s="141"/>
      <c r="J452" s="141"/>
    </row>
    <row r="453" spans="5:10" s="6" customFormat="1" ht="18.75" customHeight="1">
      <c r="E453" s="290"/>
      <c r="H453" s="141"/>
      <c r="I453" s="141"/>
      <c r="J453" s="141"/>
    </row>
    <row r="454" spans="5:10" s="6" customFormat="1" ht="18.75" customHeight="1">
      <c r="E454" s="290"/>
      <c r="H454" s="141"/>
      <c r="I454" s="141"/>
      <c r="J454" s="141"/>
    </row>
    <row r="455" spans="5:10" s="6" customFormat="1" ht="18.75" customHeight="1">
      <c r="E455" s="290"/>
      <c r="H455" s="141"/>
      <c r="I455" s="141"/>
      <c r="J455" s="141"/>
    </row>
    <row r="456" spans="5:10" s="6" customFormat="1" ht="18.75" customHeight="1">
      <c r="E456" s="290"/>
      <c r="H456" s="141"/>
      <c r="I456" s="141"/>
      <c r="J456" s="141"/>
    </row>
    <row r="457" spans="5:10" s="6" customFormat="1" ht="18.75" customHeight="1">
      <c r="E457" s="290"/>
      <c r="H457" s="141"/>
      <c r="I457" s="141"/>
      <c r="J457" s="141"/>
    </row>
    <row r="458" spans="5:10" s="6" customFormat="1" ht="18.75" customHeight="1">
      <c r="E458" s="290"/>
      <c r="H458" s="141"/>
      <c r="I458" s="141"/>
      <c r="J458" s="141"/>
    </row>
    <row r="459" spans="5:10" s="6" customFormat="1" ht="18.75" customHeight="1">
      <c r="E459" s="290"/>
      <c r="H459" s="141"/>
      <c r="I459" s="141"/>
      <c r="J459" s="141"/>
    </row>
    <row r="460" spans="5:10" s="6" customFormat="1" ht="18.75" customHeight="1">
      <c r="E460" s="290"/>
      <c r="H460" s="141"/>
      <c r="I460" s="141"/>
      <c r="J460" s="141"/>
    </row>
    <row r="461" spans="5:10" s="6" customFormat="1" ht="18.75" customHeight="1">
      <c r="E461" s="290"/>
      <c r="H461" s="141"/>
      <c r="I461" s="141"/>
      <c r="J461" s="141"/>
    </row>
    <row r="462" spans="5:10" s="6" customFormat="1" ht="18.75" customHeight="1">
      <c r="E462" s="290"/>
      <c r="H462" s="141"/>
      <c r="I462" s="141"/>
      <c r="J462" s="141"/>
    </row>
    <row r="463" spans="5:10" s="6" customFormat="1" ht="18.75" customHeight="1">
      <c r="E463" s="290"/>
      <c r="H463" s="141"/>
      <c r="I463" s="141"/>
      <c r="J463" s="141"/>
    </row>
    <row r="464" spans="5:10" s="6" customFormat="1" ht="18.75" customHeight="1">
      <c r="E464" s="290"/>
      <c r="H464" s="141"/>
      <c r="I464" s="141"/>
      <c r="J464" s="141"/>
    </row>
    <row r="465" spans="5:10" s="6" customFormat="1" ht="18.75" customHeight="1">
      <c r="E465" s="290"/>
      <c r="H465" s="141"/>
      <c r="I465" s="141"/>
      <c r="J465" s="141"/>
    </row>
    <row r="466" spans="5:10" s="6" customFormat="1" ht="18.75" customHeight="1">
      <c r="E466" s="290"/>
      <c r="H466" s="141"/>
      <c r="I466" s="141"/>
      <c r="J466" s="141"/>
    </row>
    <row r="467" spans="5:10" s="6" customFormat="1" ht="18.75" customHeight="1">
      <c r="E467" s="290"/>
      <c r="H467" s="141"/>
      <c r="I467" s="141"/>
      <c r="J467" s="141"/>
    </row>
    <row r="468" spans="5:10" s="6" customFormat="1" ht="18.75" customHeight="1">
      <c r="E468" s="290"/>
      <c r="H468" s="141"/>
      <c r="I468" s="141"/>
      <c r="J468" s="141"/>
    </row>
    <row r="469" spans="5:10" s="6" customFormat="1" ht="18.75" customHeight="1">
      <c r="E469" s="290"/>
      <c r="H469" s="141"/>
      <c r="I469" s="141"/>
      <c r="J469" s="141"/>
    </row>
    <row r="470" spans="5:10" s="6" customFormat="1" ht="18.75" customHeight="1">
      <c r="E470" s="290"/>
      <c r="H470" s="141"/>
      <c r="I470" s="141"/>
      <c r="J470" s="141"/>
    </row>
    <row r="471" spans="5:10" s="6" customFormat="1" ht="18.75" customHeight="1">
      <c r="E471" s="290"/>
      <c r="H471" s="141"/>
      <c r="I471" s="141"/>
      <c r="J471" s="141"/>
    </row>
    <row r="472" spans="5:10" s="6" customFormat="1" ht="18.75" customHeight="1">
      <c r="E472" s="290"/>
      <c r="H472" s="141"/>
      <c r="I472" s="141"/>
      <c r="J472" s="141"/>
    </row>
    <row r="473" spans="5:10" s="6" customFormat="1" ht="18.75" customHeight="1">
      <c r="E473" s="290"/>
      <c r="H473" s="141"/>
      <c r="I473" s="141"/>
      <c r="J473" s="141"/>
    </row>
    <row r="474" spans="5:10" s="6" customFormat="1" ht="18.75" customHeight="1">
      <c r="E474" s="290"/>
      <c r="H474" s="141"/>
      <c r="I474" s="141"/>
      <c r="J474" s="141"/>
    </row>
    <row r="475" spans="5:10" s="6" customFormat="1" ht="18.75" customHeight="1">
      <c r="E475" s="290"/>
      <c r="H475" s="141"/>
      <c r="I475" s="141"/>
      <c r="J475" s="141"/>
    </row>
    <row r="476" spans="5:10" s="6" customFormat="1" ht="18.75" customHeight="1">
      <c r="E476" s="290"/>
      <c r="H476" s="141"/>
      <c r="I476" s="141"/>
      <c r="J476" s="141"/>
    </row>
    <row r="477" spans="5:10" s="6" customFormat="1" ht="18.75" customHeight="1">
      <c r="E477" s="290"/>
      <c r="H477" s="141"/>
      <c r="I477" s="141"/>
      <c r="J477" s="141"/>
    </row>
    <row r="478" spans="5:10" s="6" customFormat="1" ht="18.75" customHeight="1">
      <c r="E478" s="290"/>
      <c r="H478" s="141"/>
      <c r="I478" s="141"/>
      <c r="J478" s="141"/>
    </row>
    <row r="479" spans="5:10" s="6" customFormat="1" ht="18.75" customHeight="1">
      <c r="E479" s="290"/>
      <c r="H479" s="141"/>
      <c r="I479" s="141"/>
      <c r="J479" s="141"/>
    </row>
    <row r="480" spans="5:10" s="6" customFormat="1" ht="18.75" customHeight="1">
      <c r="E480" s="290"/>
      <c r="H480" s="141"/>
      <c r="I480" s="141"/>
      <c r="J480" s="141"/>
    </row>
    <row r="481" spans="5:10" s="6" customFormat="1" ht="18.75" customHeight="1">
      <c r="E481" s="290"/>
      <c r="H481" s="141"/>
      <c r="I481" s="141"/>
      <c r="J481" s="141"/>
    </row>
    <row r="482" spans="5:10" s="6" customFormat="1" ht="18.75" customHeight="1">
      <c r="E482" s="290"/>
      <c r="H482" s="141"/>
      <c r="I482" s="141"/>
      <c r="J482" s="141"/>
    </row>
    <row r="483" spans="5:10" s="6" customFormat="1" ht="18.75" customHeight="1">
      <c r="E483" s="290"/>
      <c r="H483" s="141"/>
      <c r="I483" s="141"/>
      <c r="J483" s="141"/>
    </row>
    <row r="484" spans="5:10" s="6" customFormat="1" ht="18.75" customHeight="1">
      <c r="E484" s="290"/>
      <c r="H484" s="141"/>
      <c r="I484" s="141"/>
      <c r="J484" s="141"/>
    </row>
    <row r="485" spans="5:10" s="6" customFormat="1" ht="18.75" customHeight="1">
      <c r="E485" s="290"/>
      <c r="H485" s="141"/>
      <c r="I485" s="141"/>
      <c r="J485" s="141"/>
    </row>
    <row r="486" spans="5:10" s="6" customFormat="1" ht="18.75" customHeight="1">
      <c r="E486" s="290"/>
      <c r="H486" s="141"/>
      <c r="I486" s="141"/>
      <c r="J486" s="141"/>
    </row>
    <row r="487" spans="5:10" s="6" customFormat="1" ht="18.75" customHeight="1">
      <c r="E487" s="290"/>
      <c r="H487" s="141"/>
      <c r="I487" s="141"/>
      <c r="J487" s="141"/>
    </row>
    <row r="488" spans="5:10" s="6" customFormat="1" ht="18.75" customHeight="1">
      <c r="E488" s="290"/>
      <c r="H488" s="141"/>
      <c r="I488" s="141"/>
      <c r="J488" s="141"/>
    </row>
    <row r="489" spans="5:10" s="6" customFormat="1" ht="18.75" customHeight="1">
      <c r="E489" s="290"/>
      <c r="H489" s="141"/>
      <c r="I489" s="141"/>
      <c r="J489" s="141"/>
    </row>
    <row r="490" spans="5:10" s="6" customFormat="1" ht="18.75" customHeight="1">
      <c r="E490" s="290"/>
      <c r="H490" s="141"/>
      <c r="I490" s="141"/>
      <c r="J490" s="141"/>
    </row>
    <row r="491" spans="5:10" s="6" customFormat="1" ht="18.75" customHeight="1">
      <c r="E491" s="290"/>
      <c r="H491" s="141"/>
      <c r="I491" s="141"/>
      <c r="J491" s="141"/>
    </row>
    <row r="492" spans="5:10" s="6" customFormat="1" ht="18.75" customHeight="1">
      <c r="E492" s="290"/>
      <c r="H492" s="141"/>
      <c r="I492" s="141"/>
      <c r="J492" s="141"/>
    </row>
    <row r="493" spans="5:10" s="6" customFormat="1" ht="18.75" customHeight="1">
      <c r="E493" s="290"/>
      <c r="H493" s="141"/>
      <c r="I493" s="141"/>
      <c r="J493" s="141"/>
    </row>
    <row r="494" spans="5:10" s="6" customFormat="1" ht="18.75" customHeight="1">
      <c r="E494" s="290"/>
      <c r="H494" s="141"/>
      <c r="I494" s="141"/>
      <c r="J494" s="141"/>
    </row>
    <row r="495" spans="5:10" s="6" customFormat="1" ht="18.75" customHeight="1">
      <c r="E495" s="290"/>
      <c r="H495" s="141"/>
      <c r="I495" s="141"/>
      <c r="J495" s="141"/>
    </row>
    <row r="496" spans="5:10" s="6" customFormat="1" ht="18.75" customHeight="1">
      <c r="E496" s="290"/>
      <c r="H496" s="141"/>
      <c r="I496" s="141"/>
      <c r="J496" s="141"/>
    </row>
    <row r="497" spans="5:10" s="6" customFormat="1" ht="18.75" customHeight="1">
      <c r="E497" s="290"/>
      <c r="H497" s="141"/>
      <c r="I497" s="141"/>
      <c r="J497" s="141"/>
    </row>
    <row r="498" spans="5:10" s="6" customFormat="1" ht="18.75" customHeight="1">
      <c r="E498" s="290"/>
      <c r="H498" s="141"/>
      <c r="I498" s="141"/>
      <c r="J498" s="141"/>
    </row>
    <row r="499" spans="5:10" s="6" customFormat="1" ht="18.75" customHeight="1">
      <c r="E499" s="290"/>
      <c r="H499" s="141"/>
      <c r="I499" s="141"/>
      <c r="J499" s="141"/>
    </row>
    <row r="500" spans="5:10" s="6" customFormat="1" ht="18.75" customHeight="1">
      <c r="E500" s="290"/>
      <c r="H500" s="141"/>
      <c r="I500" s="141"/>
      <c r="J500" s="141"/>
    </row>
    <row r="501" spans="5:10" s="6" customFormat="1" ht="18.75" customHeight="1">
      <c r="E501" s="290"/>
      <c r="H501" s="141"/>
      <c r="I501" s="141"/>
      <c r="J501" s="141"/>
    </row>
    <row r="502" spans="5:10" s="6" customFormat="1" ht="18.75" customHeight="1">
      <c r="E502" s="290"/>
      <c r="H502" s="141"/>
      <c r="I502" s="141"/>
      <c r="J502" s="141"/>
    </row>
    <row r="503" spans="5:10" s="6" customFormat="1" ht="18.75" customHeight="1">
      <c r="E503" s="290"/>
      <c r="H503" s="141"/>
      <c r="I503" s="141"/>
      <c r="J503" s="141"/>
    </row>
    <row r="504" spans="5:10" s="6" customFormat="1" ht="18.75" customHeight="1">
      <c r="E504" s="290"/>
      <c r="H504" s="141"/>
      <c r="I504" s="141"/>
      <c r="J504" s="141"/>
    </row>
    <row r="505" spans="5:10" s="6" customFormat="1" ht="18.75" customHeight="1">
      <c r="E505" s="290"/>
      <c r="H505" s="141"/>
      <c r="I505" s="141"/>
      <c r="J505" s="141"/>
    </row>
    <row r="506" spans="5:10" s="6" customFormat="1" ht="18.75" customHeight="1">
      <c r="E506" s="290"/>
      <c r="H506" s="141"/>
      <c r="I506" s="141"/>
      <c r="J506" s="141"/>
    </row>
    <row r="507" spans="5:10" s="6" customFormat="1" ht="18.75" customHeight="1">
      <c r="E507" s="290"/>
      <c r="H507" s="141"/>
      <c r="I507" s="141"/>
      <c r="J507" s="141"/>
    </row>
    <row r="508" spans="5:10" s="6" customFormat="1" ht="18.75" customHeight="1">
      <c r="E508" s="290"/>
      <c r="H508" s="141"/>
      <c r="I508" s="141"/>
      <c r="J508" s="141"/>
    </row>
    <row r="509" spans="5:10" s="6" customFormat="1" ht="18.75" customHeight="1">
      <c r="E509" s="290"/>
      <c r="H509" s="141"/>
      <c r="I509" s="141"/>
      <c r="J509" s="141"/>
    </row>
    <row r="510" spans="5:10" s="6" customFormat="1" ht="18.75" customHeight="1">
      <c r="E510" s="290"/>
      <c r="H510" s="141"/>
      <c r="I510" s="141"/>
      <c r="J510" s="141"/>
    </row>
    <row r="511" spans="5:10" s="6" customFormat="1" ht="18.75" customHeight="1">
      <c r="E511" s="290"/>
      <c r="H511" s="141"/>
      <c r="I511" s="141"/>
      <c r="J511" s="141"/>
    </row>
    <row r="512" spans="5:10" s="6" customFormat="1" ht="18.75" customHeight="1">
      <c r="E512" s="290"/>
      <c r="H512" s="141"/>
      <c r="I512" s="141"/>
      <c r="J512" s="141"/>
    </row>
    <row r="513" spans="5:10" s="6" customFormat="1" ht="18.75" customHeight="1">
      <c r="E513" s="290"/>
      <c r="H513" s="141"/>
      <c r="I513" s="141"/>
      <c r="J513" s="141"/>
    </row>
    <row r="514" spans="5:10" s="6" customFormat="1" ht="18.75" customHeight="1">
      <c r="E514" s="290"/>
      <c r="H514" s="141"/>
      <c r="I514" s="141"/>
      <c r="J514" s="141"/>
    </row>
    <row r="515" spans="5:10" s="6" customFormat="1" ht="18.75" customHeight="1">
      <c r="E515" s="290"/>
      <c r="H515" s="141"/>
      <c r="I515" s="141"/>
      <c r="J515" s="141"/>
    </row>
    <row r="516" spans="5:10" s="6" customFormat="1" ht="18.75" customHeight="1">
      <c r="E516" s="290"/>
      <c r="H516" s="141"/>
      <c r="I516" s="141"/>
      <c r="J516" s="141"/>
    </row>
    <row r="517" spans="5:10" s="6" customFormat="1" ht="18.75" customHeight="1">
      <c r="E517" s="290"/>
      <c r="H517" s="141"/>
      <c r="I517" s="141"/>
      <c r="J517" s="141"/>
    </row>
    <row r="518" spans="5:10" s="6" customFormat="1" ht="18.75" customHeight="1">
      <c r="E518" s="290"/>
      <c r="H518" s="141"/>
      <c r="I518" s="141"/>
      <c r="J518" s="141"/>
    </row>
    <row r="519" spans="5:10" s="6" customFormat="1" ht="18.75" customHeight="1">
      <c r="E519" s="290"/>
      <c r="H519" s="141"/>
      <c r="I519" s="141"/>
      <c r="J519" s="141"/>
    </row>
    <row r="520" spans="5:10" s="6" customFormat="1" ht="18.75" customHeight="1">
      <c r="E520" s="290"/>
      <c r="H520" s="141"/>
      <c r="I520" s="141"/>
      <c r="J520" s="141"/>
    </row>
    <row r="521" spans="5:10" s="6" customFormat="1" ht="18.75" customHeight="1">
      <c r="E521" s="290"/>
      <c r="H521" s="141"/>
      <c r="I521" s="141"/>
      <c r="J521" s="141"/>
    </row>
    <row r="522" spans="5:10" s="6" customFormat="1" ht="18.75" customHeight="1">
      <c r="E522" s="290"/>
      <c r="H522" s="141"/>
      <c r="I522" s="141"/>
      <c r="J522" s="141"/>
    </row>
    <row r="523" spans="5:10" s="6" customFormat="1" ht="18.75" customHeight="1">
      <c r="E523" s="290"/>
      <c r="H523" s="141"/>
      <c r="I523" s="141"/>
      <c r="J523" s="141"/>
    </row>
    <row r="524" spans="5:10" s="6" customFormat="1" ht="18.75" customHeight="1">
      <c r="E524" s="290"/>
      <c r="H524" s="141"/>
      <c r="I524" s="141"/>
      <c r="J524" s="141"/>
    </row>
    <row r="525" spans="5:10" s="6" customFormat="1" ht="18.75" customHeight="1">
      <c r="E525" s="290"/>
      <c r="H525" s="141"/>
      <c r="I525" s="141"/>
      <c r="J525" s="141"/>
    </row>
    <row r="526" spans="5:10" s="6" customFormat="1" ht="18.75" customHeight="1">
      <c r="E526" s="290"/>
      <c r="H526" s="141"/>
      <c r="I526" s="141"/>
      <c r="J526" s="141"/>
    </row>
    <row r="527" spans="5:10" s="6" customFormat="1" ht="18.75" customHeight="1">
      <c r="E527" s="290"/>
      <c r="H527" s="141"/>
      <c r="I527" s="141"/>
      <c r="J527" s="141"/>
    </row>
    <row r="528" spans="5:10" s="6" customFormat="1" ht="18.75" customHeight="1">
      <c r="E528" s="290"/>
      <c r="H528" s="141"/>
      <c r="I528" s="141"/>
      <c r="J528" s="141"/>
    </row>
    <row r="529" spans="5:10" s="6" customFormat="1" ht="18.75" customHeight="1">
      <c r="E529" s="290"/>
      <c r="H529" s="141"/>
      <c r="I529" s="141"/>
      <c r="J529" s="141"/>
    </row>
    <row r="530" spans="5:10" s="6" customFormat="1" ht="18.75" customHeight="1">
      <c r="E530" s="290"/>
      <c r="H530" s="141"/>
      <c r="I530" s="141"/>
      <c r="J530" s="141"/>
    </row>
    <row r="531" spans="5:10" s="6" customFormat="1" ht="18.75" customHeight="1">
      <c r="E531" s="290"/>
      <c r="H531" s="141"/>
      <c r="I531" s="141"/>
      <c r="J531" s="141"/>
    </row>
    <row r="532" spans="5:10" s="6" customFormat="1" ht="18.75" customHeight="1">
      <c r="E532" s="290"/>
      <c r="H532" s="141"/>
      <c r="I532" s="141"/>
      <c r="J532" s="141"/>
    </row>
    <row r="533" spans="5:10" s="6" customFormat="1" ht="18.75" customHeight="1">
      <c r="E533" s="290"/>
      <c r="H533" s="141"/>
      <c r="I533" s="141"/>
      <c r="J533" s="141"/>
    </row>
    <row r="534" spans="5:10" s="6" customFormat="1" ht="18.75" customHeight="1">
      <c r="E534" s="290"/>
      <c r="H534" s="141"/>
      <c r="I534" s="141"/>
      <c r="J534" s="141"/>
    </row>
    <row r="535" spans="5:10" s="6" customFormat="1" ht="18.75" customHeight="1">
      <c r="E535" s="290"/>
      <c r="H535" s="141"/>
      <c r="I535" s="141"/>
      <c r="J535" s="141"/>
    </row>
    <row r="536" spans="5:10" s="6" customFormat="1" ht="18.75" customHeight="1">
      <c r="E536" s="290"/>
      <c r="H536" s="141"/>
      <c r="I536" s="141"/>
      <c r="J536" s="141"/>
    </row>
    <row r="537" spans="5:10" s="6" customFormat="1" ht="18.75" customHeight="1">
      <c r="E537" s="290"/>
      <c r="H537" s="141"/>
      <c r="I537" s="141"/>
      <c r="J537" s="141"/>
    </row>
    <row r="538" spans="5:10" s="6" customFormat="1" ht="18.75" customHeight="1">
      <c r="E538" s="290"/>
      <c r="H538" s="141"/>
      <c r="I538" s="141"/>
      <c r="J538" s="141"/>
    </row>
    <row r="539" spans="5:10" s="6" customFormat="1" ht="18.75" customHeight="1">
      <c r="E539" s="290"/>
      <c r="H539" s="141"/>
      <c r="I539" s="141"/>
      <c r="J539" s="141"/>
    </row>
    <row r="540" spans="5:10" s="6" customFormat="1" ht="18.75" customHeight="1">
      <c r="E540" s="290"/>
      <c r="H540" s="141"/>
      <c r="I540" s="141"/>
      <c r="J540" s="141"/>
    </row>
    <row r="541" spans="5:10" s="6" customFormat="1" ht="18.75" customHeight="1">
      <c r="E541" s="290"/>
      <c r="H541" s="141"/>
      <c r="I541" s="141"/>
      <c r="J541" s="141"/>
    </row>
    <row r="542" spans="5:10" s="6" customFormat="1" ht="18.75" customHeight="1">
      <c r="E542" s="290"/>
      <c r="H542" s="141"/>
      <c r="I542" s="141"/>
      <c r="J542" s="141"/>
    </row>
    <row r="543" spans="5:10" s="6" customFormat="1" ht="18.75" customHeight="1">
      <c r="E543" s="290"/>
      <c r="H543" s="141"/>
      <c r="I543" s="141"/>
      <c r="J543" s="141"/>
    </row>
    <row r="544" spans="5:10" s="6" customFormat="1" ht="18.75" customHeight="1">
      <c r="E544" s="290"/>
      <c r="H544" s="141"/>
      <c r="I544" s="141"/>
      <c r="J544" s="141"/>
    </row>
    <row r="545" spans="5:10" s="6" customFormat="1" ht="18.75" customHeight="1">
      <c r="E545" s="290"/>
      <c r="H545" s="141"/>
      <c r="I545" s="141"/>
      <c r="J545" s="141"/>
    </row>
    <row r="546" spans="5:10" s="6" customFormat="1" ht="18.75" customHeight="1">
      <c r="E546" s="290"/>
      <c r="H546" s="141"/>
      <c r="I546" s="141"/>
      <c r="J546" s="141"/>
    </row>
    <row r="547" spans="5:10" s="6" customFormat="1" ht="18.75" customHeight="1">
      <c r="E547" s="290"/>
      <c r="H547" s="141"/>
      <c r="I547" s="141"/>
      <c r="J547" s="141"/>
    </row>
    <row r="548" spans="5:10" s="6" customFormat="1" ht="18.75" customHeight="1">
      <c r="E548" s="290"/>
      <c r="H548" s="141"/>
      <c r="I548" s="141"/>
      <c r="J548" s="141"/>
    </row>
    <row r="549" spans="5:10" s="6" customFormat="1" ht="18.75" customHeight="1">
      <c r="E549" s="290"/>
      <c r="H549" s="141"/>
      <c r="I549" s="141"/>
      <c r="J549" s="141"/>
    </row>
    <row r="550" spans="5:10" s="6" customFormat="1" ht="18.75" customHeight="1">
      <c r="E550" s="290"/>
      <c r="H550" s="141"/>
      <c r="I550" s="141"/>
      <c r="J550" s="141"/>
    </row>
    <row r="551" spans="5:10" s="6" customFormat="1" ht="18.75" customHeight="1">
      <c r="E551" s="290"/>
      <c r="H551" s="141"/>
      <c r="I551" s="141"/>
      <c r="J551" s="141"/>
    </row>
    <row r="552" spans="5:10" s="6" customFormat="1" ht="18.75" customHeight="1">
      <c r="E552" s="290"/>
      <c r="H552" s="141"/>
      <c r="I552" s="141"/>
      <c r="J552" s="141"/>
    </row>
    <row r="553" spans="5:10" s="6" customFormat="1" ht="18.75" customHeight="1">
      <c r="E553" s="290"/>
      <c r="H553" s="141"/>
      <c r="I553" s="141"/>
      <c r="J553" s="141"/>
    </row>
    <row r="554" spans="5:10" s="6" customFormat="1" ht="18.75" customHeight="1">
      <c r="E554" s="290"/>
      <c r="H554" s="141"/>
      <c r="I554" s="141"/>
      <c r="J554" s="141"/>
    </row>
    <row r="555" spans="5:10" s="6" customFormat="1" ht="18.75" customHeight="1">
      <c r="E555" s="290"/>
      <c r="H555" s="141"/>
      <c r="I555" s="141"/>
      <c r="J555" s="141"/>
    </row>
    <row r="556" spans="5:10" s="6" customFormat="1" ht="18.75" customHeight="1">
      <c r="E556" s="290"/>
      <c r="H556" s="141"/>
      <c r="I556" s="141"/>
      <c r="J556" s="141"/>
    </row>
    <row r="557" spans="5:10" s="6" customFormat="1" ht="18.75" customHeight="1">
      <c r="E557" s="290"/>
      <c r="H557" s="141"/>
      <c r="I557" s="141"/>
      <c r="J557" s="141"/>
    </row>
    <row r="558" spans="5:10" s="6" customFormat="1" ht="18.75" customHeight="1">
      <c r="E558" s="290"/>
      <c r="H558" s="141"/>
      <c r="I558" s="141"/>
      <c r="J558" s="141"/>
    </row>
    <row r="559" spans="5:10" s="6" customFormat="1" ht="18.75" customHeight="1">
      <c r="E559" s="290"/>
      <c r="H559" s="141"/>
      <c r="I559" s="141"/>
      <c r="J559" s="141"/>
    </row>
    <row r="560" spans="5:10" s="6" customFormat="1" ht="18.75" customHeight="1">
      <c r="E560" s="290"/>
      <c r="H560" s="141"/>
      <c r="I560" s="141"/>
      <c r="J560" s="141"/>
    </row>
    <row r="561" spans="5:10" s="6" customFormat="1" ht="18.75" customHeight="1">
      <c r="E561" s="290"/>
      <c r="H561" s="141"/>
      <c r="I561" s="141"/>
      <c r="J561" s="141"/>
    </row>
    <row r="562" spans="5:10" s="6" customFormat="1" ht="18.75" customHeight="1">
      <c r="E562" s="290"/>
      <c r="H562" s="141"/>
      <c r="I562" s="141"/>
      <c r="J562" s="141"/>
    </row>
    <row r="563" spans="5:10" s="6" customFormat="1" ht="18.75" customHeight="1">
      <c r="E563" s="290"/>
      <c r="H563" s="141"/>
      <c r="I563" s="141"/>
      <c r="J563" s="141"/>
    </row>
    <row r="564" spans="5:10" s="6" customFormat="1" ht="18.75" customHeight="1">
      <c r="E564" s="290"/>
      <c r="H564" s="141"/>
      <c r="I564" s="141"/>
      <c r="J564" s="141"/>
    </row>
    <row r="565" spans="5:10" s="6" customFormat="1" ht="18.75" customHeight="1">
      <c r="E565" s="290"/>
      <c r="H565" s="141"/>
      <c r="I565" s="141"/>
      <c r="J565" s="141"/>
    </row>
    <row r="566" spans="5:10" s="6" customFormat="1" ht="18.75" customHeight="1">
      <c r="E566" s="290"/>
      <c r="H566" s="141"/>
      <c r="I566" s="141"/>
      <c r="J566" s="141"/>
    </row>
    <row r="567" spans="5:10" s="6" customFormat="1" ht="18.75" customHeight="1">
      <c r="E567" s="290"/>
      <c r="H567" s="141"/>
      <c r="I567" s="141"/>
      <c r="J567" s="141"/>
    </row>
    <row r="568" spans="5:10" s="6" customFormat="1" ht="18.75" customHeight="1">
      <c r="E568" s="290"/>
      <c r="H568" s="141"/>
      <c r="I568" s="141"/>
      <c r="J568" s="141"/>
    </row>
    <row r="569" spans="5:10" s="6" customFormat="1" ht="18.75" customHeight="1">
      <c r="E569" s="290"/>
      <c r="H569" s="141"/>
      <c r="I569" s="141"/>
      <c r="J569" s="141"/>
    </row>
    <row r="570" spans="5:10" s="6" customFormat="1" ht="18.75" customHeight="1">
      <c r="E570" s="290"/>
      <c r="H570" s="141"/>
      <c r="I570" s="141"/>
      <c r="J570" s="141"/>
    </row>
    <row r="571" spans="5:10" s="6" customFormat="1" ht="18.75" customHeight="1">
      <c r="E571" s="290"/>
      <c r="H571" s="141"/>
      <c r="I571" s="141"/>
      <c r="J571" s="141"/>
    </row>
    <row r="572" spans="5:10" s="6" customFormat="1" ht="18.75" customHeight="1">
      <c r="E572" s="290"/>
      <c r="H572" s="141"/>
      <c r="I572" s="141"/>
      <c r="J572" s="141"/>
    </row>
    <row r="573" spans="5:10" s="6" customFormat="1" ht="18.75" customHeight="1">
      <c r="E573" s="290"/>
      <c r="H573" s="141"/>
      <c r="I573" s="141"/>
      <c r="J573" s="141"/>
    </row>
    <row r="574" spans="5:10" s="6" customFormat="1" ht="18.75" customHeight="1">
      <c r="E574" s="290"/>
      <c r="H574" s="141"/>
      <c r="I574" s="141"/>
      <c r="J574" s="141"/>
    </row>
    <row r="575" spans="5:10" s="6" customFormat="1" ht="18.75" customHeight="1">
      <c r="E575" s="290"/>
      <c r="H575" s="141"/>
      <c r="I575" s="141"/>
      <c r="J575" s="141"/>
    </row>
    <row r="576" spans="5:10" s="6" customFormat="1" ht="18.75" customHeight="1">
      <c r="E576" s="290"/>
      <c r="H576" s="141"/>
      <c r="I576" s="141"/>
      <c r="J576" s="141"/>
    </row>
    <row r="577" spans="5:10" s="6" customFormat="1" ht="18.75" customHeight="1">
      <c r="E577" s="290"/>
      <c r="H577" s="141"/>
      <c r="I577" s="141"/>
      <c r="J577" s="141"/>
    </row>
    <row r="578" spans="5:10" s="6" customFormat="1" ht="18.75" customHeight="1">
      <c r="E578" s="290"/>
      <c r="H578" s="141"/>
      <c r="I578" s="141"/>
      <c r="J578" s="141"/>
    </row>
    <row r="579" spans="5:10" s="6" customFormat="1" ht="18.75" customHeight="1">
      <c r="E579" s="290"/>
      <c r="H579" s="141"/>
      <c r="I579" s="141"/>
      <c r="J579" s="141"/>
    </row>
    <row r="580" spans="5:10" s="6" customFormat="1" ht="18.75" customHeight="1">
      <c r="E580" s="290"/>
      <c r="H580" s="141"/>
      <c r="I580" s="141"/>
      <c r="J580" s="141"/>
    </row>
    <row r="581" spans="5:10" s="6" customFormat="1" ht="18.75" customHeight="1">
      <c r="E581" s="290"/>
      <c r="H581" s="141"/>
      <c r="I581" s="141"/>
      <c r="J581" s="141"/>
    </row>
    <row r="582" spans="5:10" s="6" customFormat="1" ht="18.75" customHeight="1">
      <c r="E582" s="290"/>
      <c r="H582" s="141"/>
      <c r="I582" s="141"/>
      <c r="J582" s="141"/>
    </row>
    <row r="583" spans="5:10" s="6" customFormat="1" ht="18.75" customHeight="1">
      <c r="E583" s="290"/>
      <c r="H583" s="141"/>
      <c r="I583" s="141"/>
      <c r="J583" s="141"/>
    </row>
    <row r="584" spans="5:10" s="6" customFormat="1" ht="18.75" customHeight="1">
      <c r="E584" s="290"/>
      <c r="H584" s="141"/>
      <c r="I584" s="141"/>
      <c r="J584" s="141"/>
    </row>
    <row r="585" spans="5:10" s="6" customFormat="1" ht="18.75" customHeight="1">
      <c r="E585" s="290"/>
      <c r="H585" s="141"/>
      <c r="I585" s="141"/>
      <c r="J585" s="141"/>
    </row>
    <row r="586" spans="5:10" s="6" customFormat="1" ht="18.75" customHeight="1">
      <c r="E586" s="290"/>
      <c r="H586" s="141"/>
      <c r="I586" s="141"/>
      <c r="J586" s="141"/>
    </row>
    <row r="587" spans="5:10" s="6" customFormat="1" ht="18.75" customHeight="1">
      <c r="E587" s="290"/>
      <c r="H587" s="141"/>
      <c r="I587" s="141"/>
      <c r="J587" s="141"/>
    </row>
    <row r="588" spans="5:10" s="6" customFormat="1" ht="18.75" customHeight="1">
      <c r="E588" s="290"/>
      <c r="H588" s="141"/>
      <c r="I588" s="141"/>
      <c r="J588" s="141"/>
    </row>
    <row r="589" spans="5:10" s="6" customFormat="1" ht="18.75" customHeight="1">
      <c r="E589" s="290"/>
      <c r="H589" s="141"/>
      <c r="I589" s="141"/>
      <c r="J589" s="141"/>
    </row>
    <row r="590" spans="5:10" s="6" customFormat="1" ht="18.75" customHeight="1">
      <c r="E590" s="290"/>
      <c r="H590" s="141"/>
      <c r="I590" s="141"/>
      <c r="J590" s="141"/>
    </row>
    <row r="591" spans="5:10" s="6" customFormat="1" ht="18.75" customHeight="1">
      <c r="E591" s="290"/>
      <c r="H591" s="141"/>
      <c r="I591" s="141"/>
      <c r="J591" s="141"/>
    </row>
    <row r="592" spans="5:10" s="6" customFormat="1" ht="18.75" customHeight="1">
      <c r="E592" s="290"/>
      <c r="H592" s="141"/>
      <c r="I592" s="141"/>
      <c r="J592" s="141"/>
    </row>
    <row r="593" spans="5:10" s="6" customFormat="1" ht="18.75" customHeight="1">
      <c r="E593" s="290"/>
      <c r="H593" s="141"/>
      <c r="I593" s="141"/>
      <c r="J593" s="141"/>
    </row>
    <row r="594" spans="5:10" s="6" customFormat="1" ht="18.75" customHeight="1">
      <c r="E594" s="290"/>
      <c r="H594" s="141"/>
      <c r="I594" s="141"/>
      <c r="J594" s="141"/>
    </row>
    <row r="595" spans="5:10" s="6" customFormat="1" ht="18.75" customHeight="1">
      <c r="E595" s="290"/>
      <c r="H595" s="141"/>
      <c r="I595" s="141"/>
      <c r="J595" s="141"/>
    </row>
    <row r="596" spans="5:10" s="6" customFormat="1" ht="18.75" customHeight="1">
      <c r="E596" s="290"/>
      <c r="H596" s="141"/>
      <c r="I596" s="141"/>
      <c r="J596" s="141"/>
    </row>
    <row r="597" spans="5:10" s="6" customFormat="1" ht="18.75" customHeight="1">
      <c r="E597" s="290"/>
      <c r="H597" s="141"/>
      <c r="I597" s="141"/>
      <c r="J597" s="141"/>
    </row>
    <row r="598" spans="5:10" s="6" customFormat="1" ht="18.75" customHeight="1">
      <c r="E598" s="290"/>
      <c r="H598" s="141"/>
      <c r="I598" s="141"/>
      <c r="J598" s="141"/>
    </row>
    <row r="599" spans="5:10" s="6" customFormat="1" ht="18.75" customHeight="1">
      <c r="E599" s="290"/>
      <c r="H599" s="141"/>
      <c r="I599" s="141"/>
      <c r="J599" s="141"/>
    </row>
    <row r="600" spans="5:10" s="6" customFormat="1" ht="18.75" customHeight="1">
      <c r="E600" s="290"/>
      <c r="H600" s="141"/>
      <c r="I600" s="141"/>
      <c r="J600" s="141"/>
    </row>
    <row r="601" spans="5:10" s="6" customFormat="1" ht="18.75" customHeight="1">
      <c r="E601" s="290"/>
      <c r="H601" s="141"/>
      <c r="I601" s="141"/>
      <c r="J601" s="141"/>
    </row>
    <row r="602" spans="5:10" s="6" customFormat="1" ht="18.75" customHeight="1">
      <c r="E602" s="290"/>
      <c r="H602" s="141"/>
      <c r="I602" s="141"/>
      <c r="J602" s="141"/>
    </row>
    <row r="603" spans="5:10" s="6" customFormat="1" ht="18.75" customHeight="1">
      <c r="E603" s="290"/>
      <c r="H603" s="141"/>
      <c r="I603" s="141"/>
      <c r="J603" s="141"/>
    </row>
    <row r="604" spans="5:10" s="6" customFormat="1" ht="18.75" customHeight="1">
      <c r="E604" s="290"/>
      <c r="H604" s="141"/>
      <c r="I604" s="141"/>
      <c r="J604" s="141"/>
    </row>
    <row r="605" spans="5:10" s="6" customFormat="1" ht="18.75" customHeight="1">
      <c r="E605" s="290"/>
      <c r="H605" s="141"/>
      <c r="I605" s="141"/>
      <c r="J605" s="141"/>
    </row>
    <row r="606" spans="5:10" s="6" customFormat="1" ht="18.75" customHeight="1">
      <c r="E606" s="290"/>
      <c r="H606" s="141"/>
      <c r="I606" s="141"/>
      <c r="J606" s="141"/>
    </row>
    <row r="607" spans="5:10" s="6" customFormat="1" ht="18.75" customHeight="1">
      <c r="E607" s="290"/>
      <c r="H607" s="141"/>
      <c r="I607" s="141"/>
      <c r="J607" s="141"/>
    </row>
    <row r="608" spans="5:10" s="6" customFormat="1" ht="18.75" customHeight="1">
      <c r="E608" s="290"/>
      <c r="H608" s="141"/>
      <c r="I608" s="141"/>
      <c r="J608" s="141"/>
    </row>
    <row r="609" spans="5:10" s="6" customFormat="1" ht="18.75" customHeight="1">
      <c r="E609" s="290"/>
      <c r="H609" s="141"/>
      <c r="I609" s="141"/>
      <c r="J609" s="141"/>
    </row>
    <row r="610" spans="5:10" s="6" customFormat="1" ht="18.75" customHeight="1">
      <c r="E610" s="290"/>
      <c r="H610" s="141"/>
      <c r="I610" s="141"/>
      <c r="J610" s="141"/>
    </row>
    <row r="611" spans="5:10" s="6" customFormat="1" ht="18.75" customHeight="1">
      <c r="E611" s="290"/>
      <c r="H611" s="141"/>
      <c r="I611" s="141"/>
      <c r="J611" s="141"/>
    </row>
    <row r="612" spans="5:10" s="6" customFormat="1" ht="18.75" customHeight="1">
      <c r="E612" s="290"/>
      <c r="H612" s="141"/>
      <c r="I612" s="141"/>
      <c r="J612" s="141"/>
    </row>
    <row r="613" spans="5:10" s="6" customFormat="1" ht="18.75" customHeight="1">
      <c r="E613" s="290"/>
      <c r="H613" s="141"/>
      <c r="I613" s="141"/>
      <c r="J613" s="141"/>
    </row>
    <row r="614" spans="5:10" s="6" customFormat="1" ht="18.75" customHeight="1">
      <c r="E614" s="290"/>
      <c r="H614" s="141"/>
      <c r="I614" s="141"/>
      <c r="J614" s="141"/>
    </row>
    <row r="615" spans="5:10" s="6" customFormat="1" ht="18.75" customHeight="1">
      <c r="E615" s="290"/>
      <c r="H615" s="141"/>
      <c r="I615" s="141"/>
      <c r="J615" s="141"/>
    </row>
    <row r="616" spans="5:10" s="6" customFormat="1" ht="18.75" customHeight="1">
      <c r="E616" s="290"/>
      <c r="H616" s="141"/>
      <c r="I616" s="141"/>
      <c r="J616" s="141"/>
    </row>
    <row r="617" spans="5:10" s="6" customFormat="1" ht="18.75" customHeight="1">
      <c r="E617" s="290"/>
      <c r="H617" s="141"/>
      <c r="I617" s="141"/>
      <c r="J617" s="141"/>
    </row>
    <row r="618" spans="5:10" s="6" customFormat="1" ht="18.75" customHeight="1">
      <c r="E618" s="290"/>
      <c r="H618" s="141"/>
      <c r="I618" s="141"/>
      <c r="J618" s="141"/>
    </row>
    <row r="619" spans="5:10" s="6" customFormat="1" ht="18.75" customHeight="1">
      <c r="E619" s="290"/>
      <c r="H619" s="141"/>
      <c r="I619" s="141"/>
      <c r="J619" s="141"/>
    </row>
    <row r="620" spans="5:10" s="6" customFormat="1" ht="18.75" customHeight="1">
      <c r="E620" s="290"/>
      <c r="H620" s="141"/>
      <c r="I620" s="141"/>
      <c r="J620" s="141"/>
    </row>
    <row r="621" spans="5:10" s="6" customFormat="1" ht="18.75" customHeight="1">
      <c r="E621" s="290"/>
      <c r="H621" s="141"/>
      <c r="I621" s="141"/>
      <c r="J621" s="141"/>
    </row>
    <row r="622" spans="5:10" s="6" customFormat="1" ht="18.75" customHeight="1">
      <c r="E622" s="290"/>
      <c r="H622" s="141"/>
      <c r="I622" s="141"/>
      <c r="J622" s="141"/>
    </row>
    <row r="623" spans="5:10" s="6" customFormat="1" ht="18.75" customHeight="1">
      <c r="E623" s="290"/>
      <c r="H623" s="141"/>
      <c r="I623" s="141"/>
      <c r="J623" s="141"/>
    </row>
    <row r="624" spans="5:10" s="6" customFormat="1" ht="18.75" customHeight="1">
      <c r="E624" s="290"/>
      <c r="H624" s="141"/>
      <c r="I624" s="141"/>
      <c r="J624" s="141"/>
    </row>
    <row r="625" spans="5:10" s="6" customFormat="1" ht="18.75" customHeight="1">
      <c r="E625" s="290"/>
      <c r="H625" s="141"/>
      <c r="I625" s="141"/>
      <c r="J625" s="141"/>
    </row>
    <row r="626" spans="5:10" s="6" customFormat="1" ht="18.75" customHeight="1">
      <c r="E626" s="290"/>
      <c r="H626" s="141"/>
      <c r="I626" s="141"/>
      <c r="J626" s="141"/>
    </row>
    <row r="627" spans="5:10" s="6" customFormat="1" ht="18.75" customHeight="1">
      <c r="E627" s="290"/>
      <c r="H627" s="141"/>
      <c r="I627" s="141"/>
      <c r="J627" s="141"/>
    </row>
    <row r="628" spans="5:10" s="6" customFormat="1" ht="18.75" customHeight="1">
      <c r="E628" s="290"/>
      <c r="H628" s="141"/>
      <c r="I628" s="141"/>
      <c r="J628" s="141"/>
    </row>
    <row r="629" spans="5:10" s="6" customFormat="1" ht="18.75" customHeight="1">
      <c r="E629" s="290"/>
      <c r="H629" s="141"/>
      <c r="I629" s="141"/>
      <c r="J629" s="141"/>
    </row>
    <row r="630" spans="5:10" s="6" customFormat="1" ht="18.75" customHeight="1">
      <c r="E630" s="290"/>
      <c r="H630" s="141"/>
      <c r="I630" s="141"/>
      <c r="J630" s="141"/>
    </row>
    <row r="631" spans="5:10" s="6" customFormat="1" ht="18.75" customHeight="1">
      <c r="E631" s="290"/>
      <c r="H631" s="141"/>
      <c r="I631" s="141"/>
      <c r="J631" s="141"/>
    </row>
    <row r="632" spans="5:10" s="6" customFormat="1" ht="18.75" customHeight="1">
      <c r="E632" s="290"/>
      <c r="H632" s="141"/>
      <c r="I632" s="141"/>
      <c r="J632" s="141"/>
    </row>
    <row r="633" spans="5:10" s="6" customFormat="1" ht="18.75" customHeight="1">
      <c r="E633" s="290"/>
      <c r="H633" s="141"/>
      <c r="I633" s="141"/>
      <c r="J633" s="141"/>
    </row>
    <row r="634" spans="5:10" s="6" customFormat="1" ht="18.75" customHeight="1">
      <c r="E634" s="290"/>
      <c r="H634" s="141"/>
      <c r="I634" s="141"/>
      <c r="J634" s="141"/>
    </row>
    <row r="635" spans="5:10" s="6" customFormat="1" ht="18.75" customHeight="1">
      <c r="E635" s="290"/>
      <c r="H635" s="141"/>
      <c r="I635" s="141"/>
      <c r="J635" s="141"/>
    </row>
    <row r="636" spans="5:10" s="6" customFormat="1" ht="18.75" customHeight="1">
      <c r="E636" s="290"/>
      <c r="H636" s="141"/>
      <c r="I636" s="141"/>
      <c r="J636" s="141"/>
    </row>
    <row r="637" spans="5:10" s="6" customFormat="1" ht="18.75" customHeight="1">
      <c r="E637" s="290"/>
      <c r="H637" s="141"/>
      <c r="I637" s="141"/>
      <c r="J637" s="141"/>
    </row>
    <row r="638" spans="5:10" s="6" customFormat="1" ht="18.75" customHeight="1">
      <c r="E638" s="290"/>
      <c r="H638" s="141"/>
      <c r="I638" s="141"/>
      <c r="J638" s="141"/>
    </row>
    <row r="639" spans="5:10" s="6" customFormat="1" ht="18.75" customHeight="1">
      <c r="E639" s="290"/>
      <c r="H639" s="141"/>
      <c r="I639" s="141"/>
      <c r="J639" s="141"/>
    </row>
    <row r="640" spans="5:10" s="6" customFormat="1" ht="18.75" customHeight="1">
      <c r="E640" s="290"/>
      <c r="H640" s="141"/>
      <c r="I640" s="141"/>
      <c r="J640" s="141"/>
    </row>
    <row r="641" spans="5:10" s="6" customFormat="1" ht="18.75" customHeight="1">
      <c r="E641" s="290"/>
      <c r="H641" s="141"/>
      <c r="I641" s="141"/>
      <c r="J641" s="141"/>
    </row>
    <row r="642" spans="5:10" s="6" customFormat="1" ht="18.75" customHeight="1">
      <c r="E642" s="290"/>
      <c r="H642" s="141"/>
      <c r="I642" s="141"/>
      <c r="J642" s="141"/>
    </row>
    <row r="643" spans="5:10" s="6" customFormat="1" ht="18.75" customHeight="1">
      <c r="E643" s="290"/>
      <c r="H643" s="141"/>
      <c r="I643" s="141"/>
      <c r="J643" s="141"/>
    </row>
    <row r="644" spans="5:10" s="6" customFormat="1" ht="18.75" customHeight="1">
      <c r="E644" s="290"/>
      <c r="H644" s="141"/>
      <c r="I644" s="141"/>
      <c r="J644" s="141"/>
    </row>
    <row r="645" spans="5:10" s="6" customFormat="1" ht="18.75" customHeight="1">
      <c r="E645" s="290"/>
      <c r="H645" s="141"/>
      <c r="I645" s="141"/>
      <c r="J645" s="141"/>
    </row>
    <row r="646" spans="5:10" s="6" customFormat="1" ht="18.75" customHeight="1">
      <c r="E646" s="290"/>
      <c r="H646" s="141"/>
      <c r="I646" s="141"/>
      <c r="J646" s="141"/>
    </row>
    <row r="647" spans="5:10" s="6" customFormat="1" ht="18.75" customHeight="1">
      <c r="E647" s="290"/>
      <c r="H647" s="141"/>
      <c r="I647" s="141"/>
      <c r="J647" s="141"/>
    </row>
    <row r="648" spans="5:10" s="6" customFormat="1" ht="18.75" customHeight="1">
      <c r="E648" s="290"/>
      <c r="H648" s="141"/>
      <c r="I648" s="141"/>
      <c r="J648" s="141"/>
    </row>
    <row r="649" spans="5:10" s="6" customFormat="1" ht="18.75" customHeight="1">
      <c r="E649" s="290"/>
      <c r="H649" s="141"/>
      <c r="I649" s="141"/>
      <c r="J649" s="141"/>
    </row>
    <row r="650" spans="5:10" s="6" customFormat="1" ht="18.75" customHeight="1">
      <c r="E650" s="290"/>
      <c r="H650" s="141"/>
      <c r="I650" s="141"/>
      <c r="J650" s="141"/>
    </row>
    <row r="651" spans="5:10" s="6" customFormat="1" ht="18.75" customHeight="1">
      <c r="E651" s="290"/>
      <c r="H651" s="141"/>
      <c r="I651" s="141"/>
      <c r="J651" s="141"/>
    </row>
    <row r="652" spans="5:10" s="6" customFormat="1" ht="18.75" customHeight="1">
      <c r="E652" s="290"/>
      <c r="H652" s="141"/>
      <c r="I652" s="141"/>
      <c r="J652" s="141"/>
    </row>
    <row r="653" spans="5:10" s="6" customFormat="1" ht="18.75" customHeight="1">
      <c r="E653" s="290"/>
      <c r="H653" s="141"/>
      <c r="I653" s="141"/>
      <c r="J653" s="141"/>
    </row>
    <row r="654" spans="5:10" s="6" customFormat="1" ht="18.75" customHeight="1">
      <c r="E654" s="290"/>
      <c r="H654" s="141"/>
      <c r="I654" s="141"/>
      <c r="J654" s="141"/>
    </row>
    <row r="655" spans="5:10" s="6" customFormat="1" ht="18.75" customHeight="1">
      <c r="E655" s="290"/>
      <c r="H655" s="141"/>
      <c r="I655" s="141"/>
      <c r="J655" s="141"/>
    </row>
    <row r="656" spans="5:10" s="6" customFormat="1" ht="18.75" customHeight="1">
      <c r="E656" s="290"/>
      <c r="H656" s="141"/>
      <c r="I656" s="141"/>
      <c r="J656" s="141"/>
    </row>
    <row r="657" spans="5:10" s="6" customFormat="1" ht="18.75" customHeight="1">
      <c r="E657" s="290"/>
      <c r="H657" s="141"/>
      <c r="I657" s="141"/>
      <c r="J657" s="141"/>
    </row>
    <row r="658" spans="5:10" s="6" customFormat="1" ht="18.75" customHeight="1">
      <c r="E658" s="290"/>
      <c r="H658" s="141"/>
      <c r="I658" s="141"/>
      <c r="J658" s="141"/>
    </row>
    <row r="659" spans="5:10" s="6" customFormat="1" ht="18.75" customHeight="1">
      <c r="E659" s="290"/>
      <c r="H659" s="141"/>
      <c r="I659" s="141"/>
      <c r="J659" s="141"/>
    </row>
    <row r="660" spans="5:10" s="6" customFormat="1" ht="18.75" customHeight="1">
      <c r="E660" s="290"/>
      <c r="H660" s="141"/>
      <c r="I660" s="141"/>
      <c r="J660" s="141"/>
    </row>
    <row r="661" spans="5:10" s="6" customFormat="1" ht="18.75" customHeight="1">
      <c r="E661" s="290"/>
      <c r="H661" s="141"/>
      <c r="I661" s="141"/>
      <c r="J661" s="141"/>
    </row>
    <row r="662" spans="5:10" s="6" customFormat="1" ht="18.75" customHeight="1">
      <c r="E662" s="290"/>
      <c r="H662" s="141"/>
      <c r="I662" s="141"/>
      <c r="J662" s="141"/>
    </row>
    <row r="663" spans="5:10" s="6" customFormat="1" ht="18.75" customHeight="1">
      <c r="E663" s="290"/>
      <c r="H663" s="141"/>
      <c r="I663" s="141"/>
      <c r="J663" s="141"/>
    </row>
    <row r="664" spans="5:10" s="6" customFormat="1" ht="18.75" customHeight="1">
      <c r="E664" s="290"/>
      <c r="H664" s="141"/>
      <c r="I664" s="141"/>
      <c r="J664" s="141"/>
    </row>
    <row r="665" spans="5:10" s="6" customFormat="1" ht="18.75" customHeight="1">
      <c r="E665" s="290"/>
      <c r="H665" s="141"/>
      <c r="I665" s="141"/>
      <c r="J665" s="141"/>
    </row>
    <row r="666" spans="5:10" s="6" customFormat="1" ht="18.75" customHeight="1">
      <c r="E666" s="290"/>
      <c r="H666" s="141"/>
      <c r="I666" s="141"/>
      <c r="J666" s="141"/>
    </row>
    <row r="667" spans="5:10" s="6" customFormat="1" ht="18.75" customHeight="1">
      <c r="E667" s="290"/>
      <c r="H667" s="141"/>
      <c r="I667" s="141"/>
      <c r="J667" s="141"/>
    </row>
    <row r="668" spans="5:10" s="6" customFormat="1" ht="18.75" customHeight="1">
      <c r="E668" s="290"/>
      <c r="H668" s="141"/>
      <c r="I668" s="141"/>
      <c r="J668" s="141"/>
    </row>
    <row r="669" spans="5:10" s="6" customFormat="1" ht="18.75" customHeight="1">
      <c r="E669" s="290"/>
      <c r="H669" s="141"/>
      <c r="I669" s="141"/>
      <c r="J669" s="141"/>
    </row>
    <row r="670" spans="5:10" s="6" customFormat="1" ht="18.75" customHeight="1">
      <c r="E670" s="290"/>
      <c r="H670" s="141"/>
      <c r="I670" s="141"/>
      <c r="J670" s="141"/>
    </row>
    <row r="671" spans="5:10" s="6" customFormat="1" ht="18.75" customHeight="1">
      <c r="E671" s="290"/>
      <c r="H671" s="141"/>
      <c r="I671" s="141"/>
      <c r="J671" s="141"/>
    </row>
    <row r="672" spans="5:10" s="6" customFormat="1" ht="18.75" customHeight="1">
      <c r="E672" s="290"/>
      <c r="H672" s="141"/>
      <c r="I672" s="141"/>
      <c r="J672" s="141"/>
    </row>
    <row r="673" spans="5:10" s="6" customFormat="1" ht="18.75" customHeight="1">
      <c r="E673" s="290"/>
      <c r="H673" s="141"/>
      <c r="I673" s="141"/>
      <c r="J673" s="141"/>
    </row>
    <row r="674" spans="5:10" s="6" customFormat="1" ht="18.75" customHeight="1">
      <c r="E674" s="290"/>
      <c r="H674" s="141"/>
      <c r="I674" s="141"/>
      <c r="J674" s="141"/>
    </row>
    <row r="675" spans="5:10" s="6" customFormat="1" ht="18.75" customHeight="1">
      <c r="E675" s="290"/>
      <c r="H675" s="141"/>
      <c r="I675" s="141"/>
      <c r="J675" s="141"/>
    </row>
    <row r="676" spans="5:10" s="6" customFormat="1" ht="18.75" customHeight="1">
      <c r="E676" s="290"/>
      <c r="H676" s="141"/>
      <c r="I676" s="141"/>
      <c r="J676" s="141"/>
    </row>
    <row r="677" spans="5:10" s="6" customFormat="1" ht="18.75" customHeight="1">
      <c r="E677" s="290"/>
      <c r="H677" s="141"/>
      <c r="I677" s="141"/>
      <c r="J677" s="141"/>
    </row>
    <row r="678" spans="5:10" s="6" customFormat="1" ht="18.75" customHeight="1">
      <c r="E678" s="290"/>
      <c r="H678" s="141"/>
      <c r="I678" s="141"/>
      <c r="J678" s="141"/>
    </row>
    <row r="679" spans="5:10" s="6" customFormat="1" ht="18.75" customHeight="1">
      <c r="E679" s="290"/>
      <c r="H679" s="141"/>
      <c r="I679" s="141"/>
      <c r="J679" s="141"/>
    </row>
    <row r="680" spans="5:10" s="6" customFormat="1" ht="18.75" customHeight="1">
      <c r="E680" s="290"/>
      <c r="H680" s="141"/>
      <c r="I680" s="141"/>
      <c r="J680" s="141"/>
    </row>
    <row r="681" spans="5:10" s="6" customFormat="1" ht="18.75" customHeight="1">
      <c r="E681" s="290"/>
      <c r="H681" s="141"/>
      <c r="I681" s="141"/>
      <c r="J681" s="141"/>
    </row>
    <row r="682" spans="5:10" s="6" customFormat="1" ht="18.75" customHeight="1">
      <c r="E682" s="290"/>
      <c r="H682" s="141"/>
      <c r="I682" s="141"/>
      <c r="J682" s="141"/>
    </row>
    <row r="683" spans="5:10" s="6" customFormat="1" ht="18.75" customHeight="1">
      <c r="E683" s="290"/>
      <c r="H683" s="141"/>
      <c r="I683" s="141"/>
      <c r="J683" s="141"/>
    </row>
    <row r="684" spans="5:10" s="6" customFormat="1" ht="18.75" customHeight="1">
      <c r="E684" s="290"/>
      <c r="H684" s="141"/>
      <c r="I684" s="141"/>
      <c r="J684" s="141"/>
    </row>
    <row r="685" spans="5:10" s="6" customFormat="1" ht="18.75" customHeight="1">
      <c r="E685" s="290"/>
      <c r="H685" s="141"/>
      <c r="I685" s="141"/>
      <c r="J685" s="141"/>
    </row>
    <row r="686" spans="5:10" s="6" customFormat="1" ht="18.75" customHeight="1">
      <c r="E686" s="290"/>
      <c r="H686" s="141"/>
      <c r="I686" s="141"/>
      <c r="J686" s="141"/>
    </row>
    <row r="687" spans="5:10" s="6" customFormat="1" ht="18.75" customHeight="1">
      <c r="E687" s="290"/>
      <c r="H687" s="141"/>
      <c r="I687" s="141"/>
      <c r="J687" s="141"/>
    </row>
    <row r="688" spans="5:10" s="6" customFormat="1" ht="18.75" customHeight="1">
      <c r="E688" s="290"/>
      <c r="H688" s="141"/>
      <c r="I688" s="141"/>
      <c r="J688" s="141"/>
    </row>
    <row r="689" spans="5:10" s="6" customFormat="1" ht="18.75" customHeight="1">
      <c r="E689" s="290"/>
      <c r="H689" s="141"/>
      <c r="I689" s="141"/>
      <c r="J689" s="141"/>
    </row>
    <row r="690" spans="5:10" s="6" customFormat="1" ht="18.75" customHeight="1">
      <c r="E690" s="290"/>
      <c r="H690" s="141"/>
      <c r="I690" s="141"/>
      <c r="J690" s="141"/>
    </row>
    <row r="691" spans="5:10" s="6" customFormat="1" ht="18.75" customHeight="1">
      <c r="E691" s="290"/>
      <c r="H691" s="141"/>
      <c r="I691" s="141"/>
      <c r="J691" s="141"/>
    </row>
    <row r="692" spans="5:10" s="6" customFormat="1" ht="18.75" customHeight="1">
      <c r="E692" s="290"/>
      <c r="H692" s="141"/>
      <c r="I692" s="141"/>
      <c r="J692" s="141"/>
    </row>
    <row r="693" spans="5:10" s="6" customFormat="1" ht="18.75" customHeight="1">
      <c r="E693" s="290"/>
      <c r="H693" s="141"/>
      <c r="I693" s="141"/>
      <c r="J693" s="141"/>
    </row>
    <row r="694" spans="5:10" s="6" customFormat="1" ht="18.75" customHeight="1">
      <c r="E694" s="290"/>
      <c r="H694" s="141"/>
      <c r="I694" s="141"/>
      <c r="J694" s="141"/>
    </row>
    <row r="695" spans="5:10" s="6" customFormat="1" ht="18.75" customHeight="1">
      <c r="E695" s="290"/>
      <c r="H695" s="141"/>
      <c r="I695" s="141"/>
      <c r="J695" s="141"/>
    </row>
    <row r="696" spans="5:10" s="6" customFormat="1" ht="18.75" customHeight="1">
      <c r="E696" s="290"/>
      <c r="H696" s="141"/>
      <c r="I696" s="141"/>
      <c r="J696" s="141"/>
    </row>
    <row r="697" spans="5:10" s="6" customFormat="1" ht="18.75" customHeight="1">
      <c r="E697" s="290"/>
      <c r="H697" s="141"/>
      <c r="I697" s="141"/>
      <c r="J697" s="141"/>
    </row>
    <row r="698" spans="5:10" s="6" customFormat="1" ht="18.75" customHeight="1">
      <c r="E698" s="290"/>
      <c r="H698" s="141"/>
      <c r="I698" s="141"/>
      <c r="J698" s="141"/>
    </row>
    <row r="699" spans="5:10" s="6" customFormat="1" ht="18.75" customHeight="1">
      <c r="E699" s="290"/>
      <c r="H699" s="141"/>
      <c r="I699" s="141"/>
      <c r="J699" s="141"/>
    </row>
    <row r="700" spans="5:10" s="6" customFormat="1" ht="18.75" customHeight="1">
      <c r="E700" s="290"/>
      <c r="H700" s="141"/>
      <c r="I700" s="141"/>
      <c r="J700" s="141"/>
    </row>
    <row r="701" spans="5:10" s="6" customFormat="1" ht="18.75" customHeight="1">
      <c r="E701" s="290"/>
      <c r="H701" s="141"/>
      <c r="I701" s="141"/>
      <c r="J701" s="141"/>
    </row>
    <row r="702" spans="5:10" s="6" customFormat="1" ht="18.75" customHeight="1">
      <c r="E702" s="290"/>
      <c r="H702" s="141"/>
      <c r="I702" s="141"/>
      <c r="J702" s="141"/>
    </row>
    <row r="703" spans="5:10" s="6" customFormat="1" ht="18.75" customHeight="1">
      <c r="E703" s="290"/>
      <c r="H703" s="141"/>
      <c r="I703" s="141"/>
      <c r="J703" s="141"/>
    </row>
    <row r="704" spans="5:10" s="6" customFormat="1" ht="18.75" customHeight="1">
      <c r="E704" s="290"/>
      <c r="H704" s="141"/>
      <c r="I704" s="141"/>
      <c r="J704" s="141"/>
    </row>
    <row r="705" spans="5:10" s="6" customFormat="1" ht="18.75" customHeight="1">
      <c r="E705" s="290"/>
      <c r="H705" s="141"/>
      <c r="I705" s="141"/>
      <c r="J705" s="141"/>
    </row>
    <row r="706" spans="5:10" s="6" customFormat="1" ht="18.75" customHeight="1">
      <c r="E706" s="290"/>
      <c r="H706" s="141"/>
      <c r="I706" s="141"/>
      <c r="J706" s="141"/>
    </row>
    <row r="707" spans="5:10" s="6" customFormat="1" ht="18.75" customHeight="1">
      <c r="E707" s="290"/>
      <c r="H707" s="141"/>
      <c r="I707" s="141"/>
      <c r="J707" s="141"/>
    </row>
    <row r="708" spans="5:10" s="6" customFormat="1" ht="18.75" customHeight="1">
      <c r="E708" s="290"/>
      <c r="H708" s="141"/>
      <c r="I708" s="141"/>
      <c r="J708" s="141"/>
    </row>
    <row r="709" spans="5:10" s="6" customFormat="1" ht="18.75" customHeight="1">
      <c r="E709" s="290"/>
      <c r="H709" s="141"/>
      <c r="I709" s="141"/>
      <c r="J709" s="141"/>
    </row>
    <row r="710" spans="5:10" s="6" customFormat="1" ht="18.75" customHeight="1">
      <c r="E710" s="290"/>
      <c r="H710" s="141"/>
      <c r="I710" s="141"/>
      <c r="J710" s="141"/>
    </row>
    <row r="711" spans="5:10" s="6" customFormat="1" ht="18.75" customHeight="1">
      <c r="E711" s="290"/>
      <c r="H711" s="141"/>
      <c r="I711" s="141"/>
      <c r="J711" s="141"/>
    </row>
    <row r="712" spans="5:10" s="6" customFormat="1" ht="18.75" customHeight="1">
      <c r="E712" s="290"/>
      <c r="H712" s="141"/>
      <c r="I712" s="141"/>
      <c r="J712" s="141"/>
    </row>
    <row r="713" spans="5:10" s="6" customFormat="1" ht="18.75" customHeight="1">
      <c r="E713" s="290"/>
      <c r="H713" s="141"/>
      <c r="I713" s="141"/>
      <c r="J713" s="141"/>
    </row>
    <row r="714" spans="5:10" s="6" customFormat="1" ht="18.75" customHeight="1">
      <c r="E714" s="290"/>
      <c r="H714" s="141"/>
      <c r="I714" s="141"/>
      <c r="J714" s="141"/>
    </row>
    <row r="715" spans="5:10" s="6" customFormat="1" ht="18.75" customHeight="1">
      <c r="E715" s="290"/>
      <c r="H715" s="141"/>
      <c r="I715" s="141"/>
      <c r="J715" s="141"/>
    </row>
    <row r="716" spans="5:10" s="6" customFormat="1" ht="18.75" customHeight="1">
      <c r="E716" s="290"/>
      <c r="H716" s="141"/>
      <c r="I716" s="141"/>
      <c r="J716" s="141"/>
    </row>
    <row r="717" spans="5:10" s="6" customFormat="1" ht="18.75" customHeight="1">
      <c r="E717" s="290"/>
      <c r="H717" s="141"/>
      <c r="I717" s="141"/>
      <c r="J717" s="141"/>
    </row>
    <row r="718" spans="5:10" s="6" customFormat="1" ht="18.75" customHeight="1">
      <c r="E718" s="290"/>
      <c r="H718" s="141"/>
      <c r="I718" s="141"/>
      <c r="J718" s="141"/>
    </row>
    <row r="719" spans="5:10" s="6" customFormat="1" ht="18.75" customHeight="1">
      <c r="E719" s="290"/>
      <c r="H719" s="141"/>
      <c r="I719" s="141"/>
      <c r="J719" s="141"/>
    </row>
    <row r="720" spans="5:10" s="6" customFormat="1" ht="18.75" customHeight="1">
      <c r="E720" s="290"/>
      <c r="H720" s="141"/>
      <c r="I720" s="141"/>
      <c r="J720" s="141"/>
    </row>
    <row r="721" spans="5:10" s="6" customFormat="1" ht="18.75" customHeight="1">
      <c r="E721" s="290"/>
      <c r="H721" s="141"/>
      <c r="I721" s="141"/>
      <c r="J721" s="141"/>
    </row>
    <row r="722" spans="5:10" s="6" customFormat="1" ht="18.75" customHeight="1">
      <c r="E722" s="290"/>
      <c r="H722" s="141"/>
      <c r="I722" s="141"/>
      <c r="J722" s="141"/>
    </row>
    <row r="723" spans="5:10" s="6" customFormat="1" ht="18.75" customHeight="1">
      <c r="E723" s="290"/>
      <c r="H723" s="141"/>
      <c r="I723" s="141"/>
      <c r="J723" s="141"/>
    </row>
    <row r="724" spans="5:10" s="6" customFormat="1" ht="18.75" customHeight="1">
      <c r="E724" s="290"/>
      <c r="H724" s="141"/>
      <c r="I724" s="141"/>
      <c r="J724" s="141"/>
    </row>
    <row r="725" spans="5:10" s="6" customFormat="1" ht="18.75" customHeight="1">
      <c r="E725" s="290"/>
      <c r="H725" s="141"/>
      <c r="I725" s="141"/>
      <c r="J725" s="141"/>
    </row>
    <row r="726" spans="5:10" s="6" customFormat="1" ht="18.75" customHeight="1">
      <c r="E726" s="290"/>
      <c r="H726" s="141"/>
      <c r="I726" s="141"/>
      <c r="J726" s="141"/>
    </row>
    <row r="727" spans="5:10" s="6" customFormat="1" ht="18.75" customHeight="1">
      <c r="E727" s="290"/>
      <c r="H727" s="141"/>
      <c r="I727" s="141"/>
      <c r="J727" s="141"/>
    </row>
    <row r="728" spans="5:10" s="6" customFormat="1" ht="18.75" customHeight="1">
      <c r="E728" s="290"/>
      <c r="H728" s="141"/>
      <c r="I728" s="141"/>
      <c r="J728" s="141"/>
    </row>
    <row r="729" spans="5:10" s="6" customFormat="1" ht="18.75" customHeight="1">
      <c r="E729" s="290"/>
      <c r="H729" s="141"/>
      <c r="I729" s="141"/>
      <c r="J729" s="141"/>
    </row>
    <row r="730" spans="5:10" s="6" customFormat="1" ht="18.75" customHeight="1">
      <c r="E730" s="290"/>
      <c r="H730" s="141"/>
      <c r="I730" s="141"/>
      <c r="J730" s="141"/>
    </row>
    <row r="731" spans="5:10" s="6" customFormat="1" ht="18.75" customHeight="1">
      <c r="E731" s="290"/>
      <c r="H731" s="141"/>
      <c r="I731" s="141"/>
      <c r="J731" s="141"/>
    </row>
    <row r="732" spans="5:10" s="6" customFormat="1" ht="18.75" customHeight="1">
      <c r="E732" s="290"/>
      <c r="H732" s="141"/>
      <c r="I732" s="141"/>
      <c r="J732" s="141"/>
    </row>
    <row r="733" spans="5:10" s="6" customFormat="1" ht="18.75" customHeight="1">
      <c r="E733" s="290"/>
      <c r="H733" s="141"/>
      <c r="I733" s="141"/>
      <c r="J733" s="141"/>
    </row>
    <row r="734" spans="5:10" s="6" customFormat="1" ht="18.75" customHeight="1">
      <c r="E734" s="290"/>
      <c r="H734" s="141"/>
      <c r="I734" s="141"/>
      <c r="J734" s="141"/>
    </row>
    <row r="735" spans="5:10" s="6" customFormat="1" ht="18.75" customHeight="1">
      <c r="E735" s="290"/>
      <c r="H735" s="141"/>
      <c r="I735" s="141"/>
      <c r="J735" s="141"/>
    </row>
    <row r="736" spans="5:10" s="6" customFormat="1" ht="18.75" customHeight="1">
      <c r="E736" s="290"/>
      <c r="H736" s="141"/>
      <c r="I736" s="141"/>
      <c r="J736" s="141"/>
    </row>
    <row r="737" spans="5:10" s="6" customFormat="1" ht="18.75" customHeight="1">
      <c r="E737" s="290"/>
      <c r="H737" s="141"/>
      <c r="I737" s="141"/>
      <c r="J737" s="141"/>
    </row>
    <row r="738" spans="5:10" s="6" customFormat="1" ht="18.75" customHeight="1">
      <c r="E738" s="290"/>
      <c r="H738" s="141"/>
      <c r="I738" s="141"/>
      <c r="J738" s="141"/>
    </row>
    <row r="739" spans="5:10" s="6" customFormat="1" ht="18.75" customHeight="1">
      <c r="E739" s="290"/>
      <c r="H739" s="141"/>
      <c r="I739" s="141"/>
      <c r="J739" s="141"/>
    </row>
    <row r="740" spans="5:10" s="6" customFormat="1" ht="18.75" customHeight="1">
      <c r="E740" s="290"/>
      <c r="H740" s="141"/>
      <c r="I740" s="141"/>
      <c r="J740" s="141"/>
    </row>
    <row r="741" spans="5:10" s="6" customFormat="1" ht="18.75" customHeight="1">
      <c r="E741" s="290"/>
      <c r="H741" s="141"/>
      <c r="I741" s="141"/>
      <c r="J741" s="141"/>
    </row>
    <row r="742" spans="5:10" s="6" customFormat="1" ht="18.75" customHeight="1">
      <c r="E742" s="290"/>
      <c r="H742" s="141"/>
      <c r="I742" s="141"/>
      <c r="J742" s="141"/>
    </row>
    <row r="743" spans="5:10" s="6" customFormat="1" ht="18.75" customHeight="1">
      <c r="E743" s="290"/>
      <c r="H743" s="141"/>
      <c r="I743" s="141"/>
      <c r="J743" s="141"/>
    </row>
    <row r="744" spans="5:10" s="6" customFormat="1" ht="18.75" customHeight="1">
      <c r="E744" s="290"/>
      <c r="H744" s="141"/>
      <c r="I744" s="141"/>
      <c r="J744" s="141"/>
    </row>
    <row r="745" spans="5:10" s="6" customFormat="1" ht="18.75" customHeight="1">
      <c r="E745" s="290"/>
      <c r="H745" s="141"/>
      <c r="I745" s="141"/>
      <c r="J745" s="141"/>
    </row>
    <row r="746" spans="5:10" s="6" customFormat="1" ht="18.75" customHeight="1">
      <c r="E746" s="290"/>
      <c r="H746" s="141"/>
      <c r="I746" s="141"/>
      <c r="J746" s="141"/>
    </row>
    <row r="747" spans="5:10" s="6" customFormat="1" ht="18.75" customHeight="1">
      <c r="E747" s="290"/>
      <c r="H747" s="141"/>
      <c r="I747" s="141"/>
      <c r="J747" s="141"/>
    </row>
    <row r="748" spans="5:10" s="6" customFormat="1" ht="18.75" customHeight="1">
      <c r="E748" s="290"/>
      <c r="H748" s="141"/>
      <c r="I748" s="141"/>
      <c r="J748" s="141"/>
    </row>
    <row r="749" spans="5:10" s="6" customFormat="1" ht="18.75" customHeight="1">
      <c r="E749" s="290"/>
      <c r="H749" s="141"/>
      <c r="I749" s="141"/>
      <c r="J749" s="141"/>
    </row>
    <row r="750" spans="5:10" s="6" customFormat="1" ht="18.75" customHeight="1">
      <c r="E750" s="290"/>
      <c r="H750" s="141"/>
      <c r="I750" s="141"/>
      <c r="J750" s="141"/>
    </row>
    <row r="751" spans="5:10" s="6" customFormat="1" ht="18.75" customHeight="1">
      <c r="E751" s="290"/>
      <c r="H751" s="141"/>
      <c r="I751" s="141"/>
      <c r="J751" s="141"/>
    </row>
    <row r="752" spans="5:10" s="6" customFormat="1" ht="18.75" customHeight="1">
      <c r="E752" s="290"/>
      <c r="H752" s="141"/>
      <c r="I752" s="141"/>
      <c r="J752" s="141"/>
    </row>
    <row r="753" spans="5:10" s="6" customFormat="1" ht="18.75" customHeight="1">
      <c r="E753" s="290"/>
      <c r="H753" s="141"/>
      <c r="I753" s="141"/>
      <c r="J753" s="141"/>
    </row>
    <row r="754" spans="5:10" s="6" customFormat="1" ht="18.75" customHeight="1">
      <c r="E754" s="290"/>
      <c r="H754" s="141"/>
      <c r="I754" s="141"/>
      <c r="J754" s="141"/>
    </row>
    <row r="755" spans="5:10" s="6" customFormat="1" ht="18.75" customHeight="1">
      <c r="E755" s="290"/>
      <c r="H755" s="141"/>
      <c r="I755" s="141"/>
      <c r="J755" s="141"/>
    </row>
    <row r="756" spans="5:10" s="6" customFormat="1" ht="18.75" customHeight="1">
      <c r="E756" s="290"/>
      <c r="H756" s="141"/>
      <c r="I756" s="141"/>
      <c r="J756" s="141"/>
    </row>
    <row r="757" spans="5:10" s="6" customFormat="1" ht="18.75" customHeight="1">
      <c r="E757" s="290"/>
      <c r="H757" s="141"/>
      <c r="I757" s="141"/>
      <c r="J757" s="141"/>
    </row>
    <row r="758" spans="5:10" s="6" customFormat="1" ht="18.75" customHeight="1">
      <c r="E758" s="290"/>
      <c r="H758" s="141"/>
      <c r="I758" s="141"/>
      <c r="J758" s="141"/>
    </row>
    <row r="759" spans="5:10" s="6" customFormat="1" ht="18.75" customHeight="1">
      <c r="E759" s="290"/>
      <c r="H759" s="141"/>
      <c r="I759" s="141"/>
      <c r="J759" s="141"/>
    </row>
    <row r="760" spans="5:10" s="6" customFormat="1" ht="18.75" customHeight="1">
      <c r="E760" s="290"/>
      <c r="H760" s="141"/>
      <c r="I760" s="141"/>
      <c r="J760" s="141"/>
    </row>
    <row r="761" spans="5:10" s="6" customFormat="1" ht="18.75" customHeight="1">
      <c r="E761" s="290"/>
      <c r="H761" s="141"/>
      <c r="I761" s="141"/>
      <c r="J761" s="141"/>
    </row>
    <row r="762" spans="5:10" s="6" customFormat="1" ht="18.75" customHeight="1">
      <c r="E762" s="290"/>
      <c r="H762" s="141"/>
      <c r="I762" s="141"/>
      <c r="J762" s="141"/>
    </row>
    <row r="763" spans="5:10" s="6" customFormat="1" ht="18.75" customHeight="1">
      <c r="E763" s="290"/>
      <c r="H763" s="141"/>
      <c r="I763" s="141"/>
      <c r="J763" s="141"/>
    </row>
    <row r="764" spans="5:10" s="6" customFormat="1" ht="18.75" customHeight="1">
      <c r="E764" s="290"/>
      <c r="H764" s="141"/>
      <c r="I764" s="141"/>
      <c r="J764" s="141"/>
    </row>
    <row r="765" spans="5:10" s="6" customFormat="1" ht="18.75" customHeight="1">
      <c r="E765" s="290"/>
      <c r="H765" s="141"/>
      <c r="I765" s="141"/>
      <c r="J765" s="141"/>
    </row>
    <row r="766" spans="5:10" s="6" customFormat="1" ht="18.75" customHeight="1">
      <c r="E766" s="290"/>
      <c r="H766" s="141"/>
      <c r="I766" s="141"/>
      <c r="J766" s="141"/>
    </row>
    <row r="767" spans="5:10" s="6" customFormat="1" ht="18.75" customHeight="1">
      <c r="E767" s="290"/>
      <c r="H767" s="141"/>
      <c r="I767" s="141"/>
      <c r="J767" s="141"/>
    </row>
    <row r="768" spans="5:10" s="6" customFormat="1" ht="18.75" customHeight="1">
      <c r="E768" s="290"/>
      <c r="H768" s="141"/>
      <c r="I768" s="141"/>
      <c r="J768" s="141"/>
    </row>
    <row r="769" spans="5:10" s="6" customFormat="1" ht="18.75" customHeight="1">
      <c r="E769" s="290"/>
      <c r="H769" s="141"/>
      <c r="I769" s="141"/>
      <c r="J769" s="141"/>
    </row>
    <row r="770" spans="5:10" s="6" customFormat="1" ht="18.75" customHeight="1">
      <c r="E770" s="290"/>
      <c r="H770" s="141"/>
      <c r="I770" s="141"/>
      <c r="J770" s="141"/>
    </row>
    <row r="771" spans="5:10" s="6" customFormat="1" ht="18.75" customHeight="1">
      <c r="E771" s="290"/>
      <c r="H771" s="141"/>
      <c r="I771" s="141"/>
      <c r="J771" s="141"/>
    </row>
    <row r="772" spans="5:10" s="6" customFormat="1" ht="18.75" customHeight="1">
      <c r="E772" s="290"/>
      <c r="H772" s="141"/>
      <c r="I772" s="141"/>
      <c r="J772" s="141"/>
    </row>
    <row r="773" spans="5:10" s="6" customFormat="1" ht="18.75" customHeight="1">
      <c r="E773" s="290"/>
      <c r="H773" s="141"/>
      <c r="I773" s="141"/>
      <c r="J773" s="141"/>
    </row>
    <row r="774" spans="5:10" s="6" customFormat="1" ht="18.75" customHeight="1">
      <c r="E774" s="290"/>
      <c r="H774" s="141"/>
      <c r="I774" s="141"/>
      <c r="J774" s="141"/>
    </row>
    <row r="775" spans="5:10" s="6" customFormat="1" ht="18.75" customHeight="1">
      <c r="E775" s="290"/>
      <c r="H775" s="141"/>
      <c r="I775" s="141"/>
      <c r="J775" s="141"/>
    </row>
    <row r="776" spans="5:10" s="6" customFormat="1" ht="18.75" customHeight="1">
      <c r="E776" s="290"/>
      <c r="H776" s="141"/>
      <c r="I776" s="141"/>
      <c r="J776" s="141"/>
    </row>
    <row r="777" spans="5:10" s="6" customFormat="1" ht="18.75" customHeight="1">
      <c r="E777" s="290"/>
      <c r="H777" s="141"/>
      <c r="I777" s="141"/>
      <c r="J777" s="141"/>
    </row>
    <row r="778" spans="5:10" s="6" customFormat="1" ht="18.75" customHeight="1">
      <c r="E778" s="290"/>
      <c r="H778" s="141"/>
      <c r="I778" s="141"/>
      <c r="J778" s="141"/>
    </row>
    <row r="779" spans="5:10" s="6" customFormat="1" ht="18.75" customHeight="1">
      <c r="E779" s="290"/>
      <c r="H779" s="141"/>
      <c r="I779" s="141"/>
      <c r="J779" s="141"/>
    </row>
    <row r="780" spans="5:10" s="6" customFormat="1" ht="18.75" customHeight="1">
      <c r="E780" s="290"/>
      <c r="H780" s="141"/>
      <c r="I780" s="141"/>
      <c r="J780" s="141"/>
    </row>
    <row r="781" spans="5:10" s="6" customFormat="1" ht="18.75" customHeight="1">
      <c r="E781" s="290"/>
      <c r="H781" s="141"/>
      <c r="I781" s="141"/>
      <c r="J781" s="141"/>
    </row>
    <row r="782" spans="5:10" s="6" customFormat="1" ht="18.75" customHeight="1">
      <c r="E782" s="290"/>
      <c r="H782" s="141"/>
      <c r="I782" s="141"/>
      <c r="J782" s="141"/>
    </row>
    <row r="783" spans="5:10" s="6" customFormat="1" ht="18.75" customHeight="1">
      <c r="E783" s="290"/>
      <c r="H783" s="141"/>
      <c r="I783" s="141"/>
      <c r="J783" s="141"/>
    </row>
    <row r="784" spans="5:10" s="6" customFormat="1" ht="18.75" customHeight="1">
      <c r="E784" s="290"/>
      <c r="H784" s="141"/>
      <c r="I784" s="141"/>
      <c r="J784" s="141"/>
    </row>
    <row r="785" spans="5:10" s="6" customFormat="1" ht="18.75" customHeight="1">
      <c r="E785" s="290"/>
      <c r="H785" s="141"/>
      <c r="I785" s="141"/>
      <c r="J785" s="141"/>
    </row>
    <row r="786" spans="5:10" s="6" customFormat="1" ht="18.75" customHeight="1">
      <c r="E786" s="290"/>
      <c r="H786" s="141"/>
      <c r="I786" s="141"/>
      <c r="J786" s="141"/>
    </row>
    <row r="787" spans="5:10" s="6" customFormat="1" ht="18.75" customHeight="1">
      <c r="E787" s="290"/>
      <c r="H787" s="141"/>
      <c r="I787" s="141"/>
      <c r="J787" s="141"/>
    </row>
    <row r="788" spans="5:10" s="6" customFormat="1" ht="18.75" customHeight="1">
      <c r="E788" s="290"/>
      <c r="H788" s="141"/>
      <c r="I788" s="141"/>
      <c r="J788" s="141"/>
    </row>
    <row r="789" spans="5:10" s="6" customFormat="1" ht="18.75" customHeight="1">
      <c r="E789" s="290"/>
      <c r="H789" s="141"/>
      <c r="I789" s="141"/>
      <c r="J789" s="141"/>
    </row>
    <row r="790" spans="5:10" s="6" customFormat="1" ht="18.75" customHeight="1">
      <c r="E790" s="290"/>
      <c r="H790" s="141"/>
      <c r="I790" s="141"/>
      <c r="J790" s="141"/>
    </row>
    <row r="791" spans="5:10" s="6" customFormat="1" ht="18.75" customHeight="1">
      <c r="E791" s="290"/>
      <c r="H791" s="141"/>
      <c r="I791" s="141"/>
      <c r="J791" s="141"/>
    </row>
    <row r="792" spans="5:10" s="6" customFormat="1" ht="18.75" customHeight="1">
      <c r="E792" s="290"/>
      <c r="H792" s="141"/>
      <c r="I792" s="141"/>
      <c r="J792" s="141"/>
    </row>
    <row r="793" spans="5:10" s="6" customFormat="1" ht="18.75" customHeight="1">
      <c r="E793" s="290"/>
      <c r="H793" s="141"/>
      <c r="I793" s="141"/>
      <c r="J793" s="141"/>
    </row>
    <row r="794" spans="5:10" s="6" customFormat="1" ht="18.75" customHeight="1">
      <c r="E794" s="290"/>
      <c r="H794" s="141"/>
      <c r="I794" s="141"/>
      <c r="J794" s="141"/>
    </row>
    <row r="795" spans="5:10" s="6" customFormat="1" ht="18.75" customHeight="1">
      <c r="E795" s="290"/>
      <c r="H795" s="141"/>
      <c r="I795" s="141"/>
      <c r="J795" s="141"/>
    </row>
    <row r="796" spans="5:10" s="6" customFormat="1" ht="18.75" customHeight="1">
      <c r="E796" s="290"/>
      <c r="H796" s="141"/>
      <c r="I796" s="141"/>
      <c r="J796" s="141"/>
    </row>
    <row r="797" spans="5:10" s="6" customFormat="1" ht="18.75" customHeight="1">
      <c r="E797" s="290"/>
      <c r="H797" s="141"/>
      <c r="I797" s="141"/>
      <c r="J797" s="141"/>
    </row>
    <row r="798" spans="5:10" s="6" customFormat="1" ht="18.75" customHeight="1">
      <c r="E798" s="290"/>
      <c r="H798" s="141"/>
      <c r="I798" s="141"/>
      <c r="J798" s="141"/>
    </row>
    <row r="799" spans="5:10" s="6" customFormat="1" ht="18.75" customHeight="1">
      <c r="E799" s="290"/>
      <c r="H799" s="141"/>
      <c r="I799" s="141"/>
      <c r="J799" s="141"/>
    </row>
    <row r="800" spans="5:10" s="6" customFormat="1" ht="18.75" customHeight="1">
      <c r="E800" s="290"/>
      <c r="H800" s="141"/>
      <c r="I800" s="141"/>
      <c r="J800" s="141"/>
    </row>
    <row r="801" spans="5:10" s="6" customFormat="1" ht="18.75" customHeight="1">
      <c r="E801" s="290"/>
      <c r="H801" s="141"/>
      <c r="I801" s="141"/>
      <c r="J801" s="141"/>
    </row>
    <row r="802" spans="5:10" s="6" customFormat="1" ht="18.75" customHeight="1">
      <c r="E802" s="290"/>
      <c r="H802" s="141"/>
      <c r="I802" s="141"/>
      <c r="J802" s="141"/>
    </row>
    <row r="803" spans="5:10" s="6" customFormat="1" ht="18.75" customHeight="1">
      <c r="E803" s="290"/>
      <c r="H803" s="141"/>
      <c r="I803" s="141"/>
      <c r="J803" s="141"/>
    </row>
    <row r="804" spans="5:10" s="6" customFormat="1" ht="18.75" customHeight="1">
      <c r="E804" s="290"/>
      <c r="H804" s="141"/>
      <c r="I804" s="141"/>
      <c r="J804" s="141"/>
    </row>
    <row r="805" spans="5:10" s="6" customFormat="1" ht="18.75" customHeight="1">
      <c r="E805" s="290"/>
      <c r="H805" s="141"/>
      <c r="I805" s="141"/>
      <c r="J805" s="141"/>
    </row>
    <row r="806" spans="5:10" s="6" customFormat="1" ht="18.75" customHeight="1">
      <c r="E806" s="290"/>
      <c r="H806" s="141"/>
      <c r="I806" s="141"/>
      <c r="J806" s="141"/>
    </row>
    <row r="807" spans="5:10" s="6" customFormat="1" ht="18.75" customHeight="1">
      <c r="E807" s="290"/>
      <c r="H807" s="141"/>
      <c r="I807" s="141"/>
      <c r="J807" s="141"/>
    </row>
    <row r="808" spans="5:10" s="6" customFormat="1" ht="18.75" customHeight="1">
      <c r="E808" s="290"/>
      <c r="H808" s="141"/>
      <c r="I808" s="141"/>
      <c r="J808" s="141"/>
    </row>
    <row r="809" spans="5:10" s="6" customFormat="1" ht="18.75" customHeight="1">
      <c r="E809" s="290"/>
      <c r="H809" s="141"/>
      <c r="I809" s="141"/>
      <c r="J809" s="141"/>
    </row>
    <row r="810" spans="5:10" s="6" customFormat="1" ht="18.75" customHeight="1">
      <c r="E810" s="290"/>
      <c r="H810" s="141"/>
      <c r="I810" s="141"/>
      <c r="J810" s="141"/>
    </row>
    <row r="811" spans="5:10" s="6" customFormat="1" ht="18.75" customHeight="1">
      <c r="E811" s="290"/>
      <c r="H811" s="141"/>
      <c r="I811" s="141"/>
      <c r="J811" s="141"/>
    </row>
    <row r="812" spans="5:10" s="6" customFormat="1" ht="18.75" customHeight="1">
      <c r="E812" s="290"/>
      <c r="H812" s="141"/>
      <c r="I812" s="141"/>
      <c r="J812" s="141"/>
    </row>
    <row r="813" spans="5:10" s="6" customFormat="1" ht="18.75" customHeight="1">
      <c r="E813" s="290"/>
      <c r="H813" s="141"/>
      <c r="I813" s="141"/>
      <c r="J813" s="141"/>
    </row>
    <row r="814" spans="5:10" s="6" customFormat="1" ht="18.75" customHeight="1">
      <c r="E814" s="290"/>
      <c r="H814" s="141"/>
      <c r="I814" s="141"/>
      <c r="J814" s="141"/>
    </row>
    <row r="815" spans="5:10" s="6" customFormat="1" ht="18.75" customHeight="1">
      <c r="E815" s="290"/>
      <c r="H815" s="141"/>
      <c r="I815" s="141"/>
      <c r="J815" s="141"/>
    </row>
    <row r="816" spans="5:10" s="6" customFormat="1" ht="18.75" customHeight="1">
      <c r="E816" s="290"/>
      <c r="H816" s="141"/>
      <c r="I816" s="141"/>
      <c r="J816" s="141"/>
    </row>
    <row r="817" spans="5:10" s="6" customFormat="1" ht="18.75" customHeight="1">
      <c r="E817" s="290"/>
      <c r="H817" s="141"/>
      <c r="I817" s="141"/>
      <c r="J817" s="141"/>
    </row>
    <row r="818" spans="5:10" s="6" customFormat="1" ht="18.75" customHeight="1">
      <c r="E818" s="290"/>
      <c r="H818" s="141"/>
      <c r="I818" s="141"/>
      <c r="J818" s="141"/>
    </row>
    <row r="819" spans="5:10" s="6" customFormat="1" ht="18.75" customHeight="1">
      <c r="E819" s="290"/>
      <c r="H819" s="141"/>
      <c r="I819" s="141"/>
      <c r="J819" s="141"/>
    </row>
    <row r="820" spans="5:10" s="6" customFormat="1" ht="18.75" customHeight="1">
      <c r="E820" s="290"/>
      <c r="H820" s="141"/>
      <c r="I820" s="141"/>
      <c r="J820" s="141"/>
    </row>
    <row r="821" spans="5:10" s="6" customFormat="1" ht="18.75" customHeight="1">
      <c r="E821" s="290"/>
      <c r="H821" s="141"/>
      <c r="I821" s="141"/>
      <c r="J821" s="141"/>
    </row>
    <row r="822" spans="5:10" s="6" customFormat="1" ht="18.75" customHeight="1">
      <c r="E822" s="290"/>
      <c r="H822" s="141"/>
      <c r="I822" s="141"/>
      <c r="J822" s="141"/>
    </row>
    <row r="823" spans="5:10" s="6" customFormat="1" ht="18.75" customHeight="1">
      <c r="E823" s="290"/>
      <c r="H823" s="141"/>
      <c r="I823" s="141"/>
      <c r="J823" s="141"/>
    </row>
    <row r="824" spans="5:10" s="6" customFormat="1" ht="18.75" customHeight="1">
      <c r="E824" s="290"/>
      <c r="H824" s="141"/>
      <c r="I824" s="141"/>
      <c r="J824" s="141"/>
    </row>
    <row r="825" spans="5:10" s="6" customFormat="1" ht="18.75" customHeight="1">
      <c r="E825" s="290"/>
      <c r="H825" s="141"/>
      <c r="I825" s="141"/>
      <c r="J825" s="141"/>
    </row>
    <row r="826" spans="5:10" s="6" customFormat="1" ht="18.75" customHeight="1">
      <c r="E826" s="290"/>
      <c r="H826" s="141"/>
      <c r="I826" s="141"/>
      <c r="J826" s="141"/>
    </row>
    <row r="827" spans="5:10" s="6" customFormat="1" ht="18.75" customHeight="1">
      <c r="E827" s="290"/>
      <c r="H827" s="141"/>
      <c r="I827" s="141"/>
      <c r="J827" s="141"/>
    </row>
    <row r="828" spans="5:10" s="6" customFormat="1" ht="18.75" customHeight="1">
      <c r="E828" s="290"/>
      <c r="H828" s="141"/>
      <c r="I828" s="141"/>
      <c r="J828" s="141"/>
    </row>
    <row r="829" spans="5:10" s="6" customFormat="1" ht="18.75" customHeight="1">
      <c r="E829" s="290"/>
      <c r="H829" s="141"/>
      <c r="I829" s="141"/>
      <c r="J829" s="141"/>
    </row>
    <row r="830" spans="5:10" s="6" customFormat="1" ht="18.75" customHeight="1">
      <c r="E830" s="290"/>
      <c r="H830" s="141"/>
      <c r="I830" s="141"/>
      <c r="J830" s="141"/>
    </row>
    <row r="831" spans="5:10" s="6" customFormat="1" ht="18.75" customHeight="1">
      <c r="E831" s="290"/>
      <c r="H831" s="141"/>
      <c r="I831" s="141"/>
      <c r="J831" s="141"/>
    </row>
    <row r="832" spans="5:10" s="6" customFormat="1" ht="18.75" customHeight="1">
      <c r="E832" s="290"/>
      <c r="H832" s="141"/>
      <c r="I832" s="141"/>
      <c r="J832" s="141"/>
    </row>
    <row r="833" spans="5:10" s="6" customFormat="1" ht="18.75" customHeight="1">
      <c r="E833" s="290"/>
      <c r="H833" s="141"/>
      <c r="I833" s="141"/>
      <c r="J833" s="141"/>
    </row>
    <row r="834" spans="5:10" s="6" customFormat="1" ht="18.75" customHeight="1">
      <c r="E834" s="290"/>
      <c r="H834" s="141"/>
      <c r="I834" s="141"/>
      <c r="J834" s="141"/>
    </row>
    <row r="835" spans="5:10" s="6" customFormat="1" ht="18.75" customHeight="1">
      <c r="E835" s="290"/>
      <c r="H835" s="141"/>
      <c r="I835" s="141"/>
      <c r="J835" s="141"/>
    </row>
    <row r="836" spans="5:10" s="6" customFormat="1" ht="18.75" customHeight="1">
      <c r="E836" s="290"/>
      <c r="H836" s="141"/>
      <c r="I836" s="141"/>
      <c r="J836" s="141"/>
    </row>
    <row r="837" spans="5:10" s="6" customFormat="1" ht="18.75" customHeight="1">
      <c r="E837" s="290"/>
      <c r="H837" s="141"/>
      <c r="I837" s="141"/>
      <c r="J837" s="141"/>
    </row>
    <row r="838" spans="5:10" s="6" customFormat="1" ht="18.75" customHeight="1">
      <c r="E838" s="290"/>
      <c r="H838" s="141"/>
      <c r="I838" s="141"/>
      <c r="J838" s="141"/>
    </row>
    <row r="839" spans="5:10" s="6" customFormat="1" ht="18.75" customHeight="1">
      <c r="E839" s="290"/>
      <c r="H839" s="141"/>
      <c r="I839" s="141"/>
      <c r="J839" s="141"/>
    </row>
    <row r="840" spans="5:10" s="6" customFormat="1" ht="18.75" customHeight="1">
      <c r="E840" s="290"/>
      <c r="H840" s="141"/>
      <c r="I840" s="141"/>
      <c r="J840" s="141"/>
    </row>
    <row r="841" spans="5:10" s="6" customFormat="1" ht="18.75" customHeight="1">
      <c r="E841" s="290"/>
      <c r="H841" s="141"/>
      <c r="I841" s="141"/>
      <c r="J841" s="141"/>
    </row>
    <row r="842" spans="5:10" s="6" customFormat="1" ht="18.75" customHeight="1">
      <c r="E842" s="290"/>
      <c r="H842" s="141"/>
      <c r="I842" s="141"/>
      <c r="J842" s="141"/>
    </row>
    <row r="843" spans="5:10" s="6" customFormat="1" ht="18.75" customHeight="1">
      <c r="E843" s="290"/>
      <c r="H843" s="141"/>
      <c r="I843" s="141"/>
      <c r="J843" s="141"/>
    </row>
    <row r="844" spans="5:10" s="6" customFormat="1" ht="18.75" customHeight="1">
      <c r="E844" s="290"/>
      <c r="H844" s="141"/>
      <c r="I844" s="141"/>
      <c r="J844" s="141"/>
    </row>
    <row r="845" spans="5:10" s="6" customFormat="1" ht="18.75" customHeight="1">
      <c r="E845" s="290"/>
      <c r="H845" s="141"/>
      <c r="I845" s="141"/>
      <c r="J845" s="141"/>
    </row>
    <row r="846" spans="5:10" s="6" customFormat="1" ht="18.75" customHeight="1">
      <c r="E846" s="290"/>
      <c r="H846" s="141"/>
      <c r="I846" s="141"/>
      <c r="J846" s="141"/>
    </row>
    <row r="847" spans="5:10" s="6" customFormat="1" ht="18.75" customHeight="1">
      <c r="E847" s="290"/>
      <c r="H847" s="141"/>
      <c r="I847" s="141"/>
      <c r="J847" s="141"/>
    </row>
    <row r="848" spans="5:10" s="6" customFormat="1" ht="18.75" customHeight="1">
      <c r="E848" s="290"/>
      <c r="H848" s="141"/>
      <c r="I848" s="141"/>
      <c r="J848" s="141"/>
    </row>
    <row r="849" spans="5:10" s="6" customFormat="1" ht="18.75" customHeight="1">
      <c r="E849" s="290"/>
      <c r="H849" s="141"/>
      <c r="I849" s="141"/>
      <c r="J849" s="141"/>
    </row>
    <row r="850" spans="5:10" s="6" customFormat="1" ht="18.75" customHeight="1">
      <c r="E850" s="290"/>
      <c r="H850" s="141"/>
      <c r="I850" s="141"/>
      <c r="J850" s="141"/>
    </row>
    <row r="851" spans="5:10" s="6" customFormat="1" ht="18.75" customHeight="1">
      <c r="E851" s="290"/>
      <c r="H851" s="141"/>
      <c r="I851" s="141"/>
      <c r="J851" s="141"/>
    </row>
    <row r="852" spans="5:10" s="6" customFormat="1" ht="18.75" customHeight="1">
      <c r="E852" s="290"/>
      <c r="H852" s="141"/>
      <c r="I852" s="141"/>
      <c r="J852" s="141"/>
    </row>
    <row r="853" spans="5:10" s="6" customFormat="1" ht="18.75" customHeight="1">
      <c r="E853" s="290"/>
      <c r="H853" s="141"/>
      <c r="I853" s="141"/>
      <c r="J853" s="141"/>
    </row>
    <row r="854" spans="5:10" s="6" customFormat="1" ht="18.75" customHeight="1">
      <c r="E854" s="290"/>
      <c r="H854" s="141"/>
      <c r="I854" s="141"/>
      <c r="J854" s="141"/>
    </row>
    <row r="855" spans="5:10" s="6" customFormat="1" ht="18.75" customHeight="1">
      <c r="E855" s="290"/>
      <c r="H855" s="141"/>
      <c r="I855" s="141"/>
      <c r="J855" s="141"/>
    </row>
    <row r="856" spans="5:10" s="6" customFormat="1" ht="18.75" customHeight="1">
      <c r="E856" s="290"/>
      <c r="H856" s="141"/>
      <c r="I856" s="141"/>
      <c r="J856" s="141"/>
    </row>
    <row r="857" spans="5:10" s="6" customFormat="1" ht="18.75" customHeight="1">
      <c r="E857" s="290"/>
      <c r="H857" s="141"/>
      <c r="I857" s="141"/>
      <c r="J857" s="141"/>
    </row>
    <row r="858" spans="5:10" s="6" customFormat="1" ht="18.75" customHeight="1">
      <c r="E858" s="290"/>
      <c r="H858" s="141"/>
      <c r="I858" s="141"/>
      <c r="J858" s="141"/>
    </row>
    <row r="859" spans="5:10" s="6" customFormat="1" ht="18.75" customHeight="1">
      <c r="E859" s="290"/>
      <c r="H859" s="141"/>
      <c r="I859" s="141"/>
      <c r="J859" s="141"/>
    </row>
    <row r="860" spans="5:10" s="6" customFormat="1" ht="18.75" customHeight="1">
      <c r="E860" s="290"/>
      <c r="H860" s="141"/>
      <c r="I860" s="141"/>
      <c r="J860" s="141"/>
    </row>
    <row r="861" spans="5:10" s="6" customFormat="1" ht="18.75" customHeight="1">
      <c r="E861" s="290"/>
      <c r="H861" s="141"/>
      <c r="I861" s="141"/>
      <c r="J861" s="141"/>
    </row>
    <row r="862" spans="5:10" s="6" customFormat="1" ht="18.75" customHeight="1">
      <c r="E862" s="290"/>
      <c r="H862" s="141"/>
      <c r="I862" s="141"/>
      <c r="J862" s="141"/>
    </row>
    <row r="863" spans="5:10" s="6" customFormat="1" ht="18.75" customHeight="1">
      <c r="E863" s="290"/>
      <c r="H863" s="141"/>
      <c r="I863" s="141"/>
      <c r="J863" s="141"/>
    </row>
    <row r="864" spans="5:10" s="6" customFormat="1" ht="18.75" customHeight="1">
      <c r="E864" s="290"/>
      <c r="H864" s="141"/>
      <c r="I864" s="141"/>
      <c r="J864" s="141"/>
    </row>
    <row r="865" spans="5:10" s="6" customFormat="1" ht="18.75" customHeight="1">
      <c r="E865" s="290"/>
      <c r="H865" s="141"/>
      <c r="I865" s="141"/>
      <c r="J865" s="141"/>
    </row>
    <row r="866" spans="5:10" s="6" customFormat="1" ht="18.75" customHeight="1">
      <c r="E866" s="290"/>
      <c r="H866" s="141"/>
      <c r="I866" s="141"/>
      <c r="J866" s="141"/>
    </row>
    <row r="867" spans="5:10" s="6" customFormat="1" ht="18.75" customHeight="1">
      <c r="E867" s="290"/>
      <c r="H867" s="141"/>
      <c r="I867" s="141"/>
      <c r="J867" s="141"/>
    </row>
    <row r="868" spans="5:10" s="6" customFormat="1" ht="18.75" customHeight="1">
      <c r="E868" s="290"/>
      <c r="H868" s="141"/>
      <c r="I868" s="141"/>
      <c r="J868" s="141"/>
    </row>
    <row r="869" spans="5:10" s="6" customFormat="1" ht="18.75" customHeight="1">
      <c r="E869" s="290"/>
      <c r="H869" s="141"/>
      <c r="I869" s="141"/>
      <c r="J869" s="141"/>
    </row>
    <row r="870" spans="5:10" s="6" customFormat="1" ht="18.75" customHeight="1">
      <c r="E870" s="290"/>
      <c r="H870" s="141"/>
      <c r="I870" s="141"/>
      <c r="J870" s="141"/>
    </row>
    <row r="871" spans="5:10" s="6" customFormat="1" ht="18.75" customHeight="1">
      <c r="E871" s="290"/>
      <c r="H871" s="141"/>
      <c r="I871" s="141"/>
      <c r="J871" s="141"/>
    </row>
    <row r="872" spans="5:10" s="6" customFormat="1" ht="18.75" customHeight="1">
      <c r="E872" s="290"/>
      <c r="H872" s="141"/>
      <c r="I872" s="141"/>
      <c r="J872" s="141"/>
    </row>
    <row r="873" spans="5:10" s="6" customFormat="1" ht="18.75" customHeight="1">
      <c r="E873" s="290"/>
      <c r="H873" s="141"/>
      <c r="I873" s="141"/>
      <c r="J873" s="141"/>
    </row>
    <row r="874" spans="5:10" s="6" customFormat="1" ht="18.75" customHeight="1">
      <c r="E874" s="290"/>
      <c r="H874" s="141"/>
      <c r="I874" s="141"/>
      <c r="J874" s="141"/>
    </row>
    <row r="875" spans="5:10" s="6" customFormat="1" ht="18.75" customHeight="1">
      <c r="E875" s="290"/>
      <c r="H875" s="141"/>
      <c r="I875" s="141"/>
      <c r="J875" s="141"/>
    </row>
    <row r="876" spans="5:10" s="6" customFormat="1" ht="18.75" customHeight="1">
      <c r="E876" s="290"/>
      <c r="H876" s="141"/>
      <c r="I876" s="141"/>
      <c r="J876" s="141"/>
    </row>
    <row r="877" spans="5:10" s="6" customFormat="1" ht="18.75" customHeight="1">
      <c r="E877" s="290"/>
      <c r="H877" s="141"/>
      <c r="I877" s="141"/>
      <c r="J877" s="141"/>
    </row>
    <row r="878" spans="5:10" s="6" customFormat="1" ht="18.75" customHeight="1">
      <c r="E878" s="290"/>
      <c r="H878" s="141"/>
      <c r="I878" s="141"/>
      <c r="J878" s="141"/>
    </row>
    <row r="879" spans="5:10" s="6" customFormat="1" ht="18.75" customHeight="1">
      <c r="E879" s="290"/>
      <c r="H879" s="141"/>
      <c r="I879" s="141"/>
      <c r="J879" s="141"/>
    </row>
    <row r="880" spans="5:10" s="6" customFormat="1" ht="18.75" customHeight="1">
      <c r="E880" s="290"/>
      <c r="H880" s="141"/>
      <c r="I880" s="141"/>
      <c r="J880" s="141"/>
    </row>
    <row r="881" spans="5:10" s="6" customFormat="1" ht="18.75" customHeight="1">
      <c r="E881" s="290"/>
      <c r="H881" s="141"/>
      <c r="I881" s="141"/>
      <c r="J881" s="141"/>
    </row>
    <row r="882" spans="5:10" s="6" customFormat="1" ht="18.75" customHeight="1">
      <c r="E882" s="290"/>
      <c r="H882" s="141"/>
      <c r="I882" s="141"/>
      <c r="J882" s="141"/>
    </row>
    <row r="883" spans="5:10" s="6" customFormat="1" ht="18.75" customHeight="1">
      <c r="E883" s="290"/>
      <c r="H883" s="141"/>
      <c r="I883" s="141"/>
      <c r="J883" s="141"/>
    </row>
    <row r="884" spans="5:10" s="6" customFormat="1" ht="18.75" customHeight="1">
      <c r="E884" s="290"/>
      <c r="H884" s="141"/>
      <c r="I884" s="141"/>
      <c r="J884" s="141"/>
    </row>
    <row r="885" spans="5:10" s="6" customFormat="1" ht="18.75" customHeight="1">
      <c r="E885" s="290"/>
      <c r="H885" s="141"/>
      <c r="I885" s="141"/>
      <c r="J885" s="141"/>
    </row>
    <row r="886" spans="5:10" s="6" customFormat="1" ht="18.75" customHeight="1">
      <c r="E886" s="290"/>
      <c r="H886" s="141"/>
      <c r="I886" s="141"/>
      <c r="J886" s="141"/>
    </row>
    <row r="887" spans="5:10" s="6" customFormat="1" ht="18.75" customHeight="1">
      <c r="E887" s="290"/>
      <c r="H887" s="141"/>
      <c r="I887" s="141"/>
      <c r="J887" s="141"/>
    </row>
    <row r="888" spans="5:10" s="6" customFormat="1" ht="18.75" customHeight="1">
      <c r="E888" s="290"/>
      <c r="H888" s="141"/>
      <c r="I888" s="141"/>
      <c r="J888" s="141"/>
    </row>
    <row r="889" spans="5:10" s="6" customFormat="1" ht="18.75" customHeight="1">
      <c r="E889" s="290"/>
      <c r="H889" s="141"/>
      <c r="I889" s="141"/>
      <c r="J889" s="141"/>
    </row>
    <row r="890" spans="5:10" s="6" customFormat="1" ht="18.75" customHeight="1">
      <c r="E890" s="290"/>
      <c r="H890" s="141"/>
      <c r="I890" s="141"/>
      <c r="J890" s="141"/>
    </row>
    <row r="891" spans="5:10" s="6" customFormat="1" ht="18.75" customHeight="1">
      <c r="E891" s="290"/>
      <c r="H891" s="141"/>
      <c r="I891" s="141"/>
      <c r="J891" s="141"/>
    </row>
    <row r="892" spans="5:10" s="6" customFormat="1" ht="18.75" customHeight="1">
      <c r="E892" s="290"/>
      <c r="H892" s="141"/>
      <c r="I892" s="141"/>
      <c r="J892" s="141"/>
    </row>
    <row r="893" spans="5:10" s="6" customFormat="1" ht="18.75" customHeight="1">
      <c r="E893" s="290"/>
      <c r="H893" s="141"/>
      <c r="I893" s="141"/>
      <c r="J893" s="141"/>
    </row>
    <row r="894" spans="5:10" s="6" customFormat="1" ht="18.75" customHeight="1">
      <c r="E894" s="290"/>
      <c r="H894" s="141"/>
      <c r="I894" s="141"/>
      <c r="J894" s="141"/>
    </row>
    <row r="895" spans="5:10" s="6" customFormat="1" ht="18.75" customHeight="1">
      <c r="E895" s="290"/>
      <c r="H895" s="141"/>
      <c r="I895" s="141"/>
      <c r="J895" s="141"/>
    </row>
    <row r="896" spans="5:10" s="6" customFormat="1" ht="18.75" customHeight="1">
      <c r="E896" s="290"/>
      <c r="H896" s="141"/>
      <c r="I896" s="141"/>
      <c r="J896" s="141"/>
    </row>
    <row r="897" spans="5:10" s="6" customFormat="1" ht="18.75" customHeight="1">
      <c r="E897" s="290"/>
      <c r="H897" s="141"/>
      <c r="I897" s="141"/>
      <c r="J897" s="141"/>
    </row>
    <row r="898" spans="5:10" s="6" customFormat="1" ht="18.75" customHeight="1">
      <c r="E898" s="290"/>
      <c r="H898" s="141"/>
      <c r="I898" s="141"/>
      <c r="J898" s="141"/>
    </row>
    <row r="899" spans="5:10" s="6" customFormat="1" ht="18.75" customHeight="1">
      <c r="E899" s="290"/>
      <c r="H899" s="141"/>
      <c r="I899" s="141"/>
      <c r="J899" s="141"/>
    </row>
    <row r="900" spans="5:10" s="6" customFormat="1" ht="18.75" customHeight="1">
      <c r="E900" s="290"/>
      <c r="H900" s="141"/>
      <c r="I900" s="141"/>
      <c r="J900" s="141"/>
    </row>
    <row r="901" spans="5:10" s="6" customFormat="1" ht="18.75" customHeight="1">
      <c r="E901" s="290"/>
      <c r="H901" s="141"/>
      <c r="I901" s="141"/>
      <c r="J901" s="141"/>
    </row>
    <row r="902" spans="5:10" s="6" customFormat="1" ht="18.75" customHeight="1">
      <c r="E902" s="290"/>
      <c r="H902" s="141"/>
      <c r="I902" s="141"/>
      <c r="J902" s="141"/>
    </row>
    <row r="903" spans="5:10" s="6" customFormat="1" ht="18.75" customHeight="1">
      <c r="E903" s="290"/>
      <c r="H903" s="141"/>
      <c r="I903" s="141"/>
      <c r="J903" s="141"/>
    </row>
    <row r="904" spans="5:10" s="6" customFormat="1" ht="18.75" customHeight="1">
      <c r="E904" s="290"/>
      <c r="H904" s="141"/>
      <c r="I904" s="141"/>
      <c r="J904" s="141"/>
    </row>
    <row r="905" spans="5:10" s="6" customFormat="1" ht="18.75" customHeight="1">
      <c r="E905" s="290"/>
      <c r="H905" s="141"/>
      <c r="I905" s="141"/>
      <c r="J905" s="141"/>
    </row>
    <row r="906" spans="5:10" s="6" customFormat="1" ht="18.75" customHeight="1">
      <c r="E906" s="290"/>
      <c r="H906" s="141"/>
      <c r="I906" s="141"/>
      <c r="J906" s="141"/>
    </row>
    <row r="907" spans="5:10" s="6" customFormat="1" ht="18.75" customHeight="1">
      <c r="E907" s="290"/>
      <c r="H907" s="141"/>
      <c r="I907" s="141"/>
      <c r="J907" s="141"/>
    </row>
    <row r="908" spans="5:10" s="6" customFormat="1" ht="18.75" customHeight="1">
      <c r="E908" s="290"/>
      <c r="H908" s="141"/>
      <c r="I908" s="141"/>
      <c r="J908" s="141"/>
    </row>
    <row r="909" spans="5:10" s="6" customFormat="1" ht="18.75" customHeight="1">
      <c r="E909" s="290"/>
      <c r="H909" s="141"/>
      <c r="I909" s="141"/>
      <c r="J909" s="141"/>
    </row>
    <row r="910" spans="5:10" s="6" customFormat="1" ht="18.75" customHeight="1">
      <c r="E910" s="290"/>
      <c r="H910" s="141"/>
      <c r="I910" s="141"/>
      <c r="J910" s="141"/>
    </row>
    <row r="911" spans="5:10" s="6" customFormat="1" ht="18.75" customHeight="1">
      <c r="E911" s="290"/>
      <c r="H911" s="141"/>
      <c r="I911" s="141"/>
      <c r="J911" s="141"/>
    </row>
    <row r="912" spans="5:10" s="6" customFormat="1" ht="18.75" customHeight="1">
      <c r="E912" s="290"/>
      <c r="H912" s="141"/>
      <c r="I912" s="141"/>
      <c r="J912" s="141"/>
    </row>
    <row r="913" spans="5:10" s="6" customFormat="1" ht="18.75" customHeight="1">
      <c r="E913" s="290"/>
      <c r="H913" s="141"/>
      <c r="I913" s="141"/>
      <c r="J913" s="141"/>
    </row>
    <row r="914" spans="5:10" s="6" customFormat="1" ht="18.75" customHeight="1">
      <c r="E914" s="290"/>
      <c r="H914" s="141"/>
      <c r="I914" s="141"/>
      <c r="J914" s="141"/>
    </row>
    <row r="915" spans="5:10" s="6" customFormat="1" ht="18.75" customHeight="1">
      <c r="E915" s="290"/>
      <c r="H915" s="141"/>
      <c r="I915" s="141"/>
      <c r="J915" s="141"/>
    </row>
    <row r="916" spans="5:10" s="6" customFormat="1" ht="18.75" customHeight="1">
      <c r="E916" s="290"/>
      <c r="H916" s="141"/>
      <c r="I916" s="141"/>
      <c r="J916" s="141"/>
    </row>
    <row r="917" spans="5:10" s="6" customFormat="1" ht="18.75" customHeight="1">
      <c r="E917" s="290"/>
      <c r="H917" s="141"/>
      <c r="I917" s="141"/>
      <c r="J917" s="141"/>
    </row>
    <row r="918" spans="5:10" s="6" customFormat="1" ht="18.75" customHeight="1">
      <c r="E918" s="290"/>
      <c r="H918" s="141"/>
      <c r="I918" s="141"/>
      <c r="J918" s="141"/>
    </row>
    <row r="919" spans="5:10" s="6" customFormat="1" ht="18.75" customHeight="1">
      <c r="E919" s="290"/>
      <c r="H919" s="141"/>
      <c r="I919" s="141"/>
      <c r="J919" s="141"/>
    </row>
    <row r="920" spans="5:10" s="6" customFormat="1" ht="18.75" customHeight="1">
      <c r="E920" s="290"/>
      <c r="H920" s="141"/>
      <c r="I920" s="141"/>
      <c r="J920" s="141"/>
    </row>
    <row r="921" spans="5:10" s="6" customFormat="1" ht="18.75" customHeight="1">
      <c r="E921" s="290"/>
      <c r="H921" s="141"/>
      <c r="I921" s="141"/>
      <c r="J921" s="141"/>
    </row>
    <row r="922" spans="5:10" s="6" customFormat="1" ht="18.75" customHeight="1">
      <c r="E922" s="290"/>
      <c r="H922" s="141"/>
      <c r="I922" s="141"/>
      <c r="J922" s="141"/>
    </row>
    <row r="923" spans="5:10" s="6" customFormat="1" ht="18.75" customHeight="1">
      <c r="E923" s="290"/>
      <c r="H923" s="141"/>
      <c r="I923" s="141"/>
      <c r="J923" s="141"/>
    </row>
    <row r="924" spans="5:10" s="6" customFormat="1" ht="18.75" customHeight="1">
      <c r="E924" s="290"/>
      <c r="H924" s="141"/>
      <c r="I924" s="141"/>
      <c r="J924" s="141"/>
    </row>
    <row r="925" spans="5:10" s="6" customFormat="1" ht="18.75" customHeight="1">
      <c r="E925" s="290"/>
      <c r="H925" s="141"/>
      <c r="I925" s="141"/>
      <c r="J925" s="141"/>
    </row>
    <row r="926" spans="5:10" s="6" customFormat="1" ht="18.75" customHeight="1">
      <c r="E926" s="290"/>
      <c r="H926" s="141"/>
      <c r="I926" s="141"/>
      <c r="J926" s="141"/>
    </row>
    <row r="927" spans="5:10" s="6" customFormat="1" ht="18.75" customHeight="1">
      <c r="E927" s="290"/>
      <c r="H927" s="141"/>
      <c r="I927" s="141"/>
      <c r="J927" s="141"/>
    </row>
    <row r="928" spans="5:10" s="6" customFormat="1" ht="18.75" customHeight="1">
      <c r="E928" s="290"/>
      <c r="H928" s="141"/>
      <c r="I928" s="141"/>
      <c r="J928" s="141"/>
    </row>
    <row r="929" spans="5:10" s="6" customFormat="1" ht="18.75" customHeight="1">
      <c r="E929" s="290"/>
      <c r="H929" s="141"/>
      <c r="I929" s="141"/>
      <c r="J929" s="141"/>
    </row>
    <row r="930" spans="5:10" s="6" customFormat="1" ht="18.75" customHeight="1">
      <c r="E930" s="290"/>
      <c r="H930" s="141"/>
      <c r="I930" s="141"/>
      <c r="J930" s="141"/>
    </row>
    <row r="931" spans="5:10" s="6" customFormat="1" ht="18.75" customHeight="1">
      <c r="E931" s="290"/>
      <c r="H931" s="141"/>
      <c r="I931" s="141"/>
      <c r="J931" s="141"/>
    </row>
    <row r="932" spans="5:10" s="6" customFormat="1" ht="18.75" customHeight="1">
      <c r="E932" s="290"/>
      <c r="H932" s="141"/>
      <c r="I932" s="141"/>
      <c r="J932" s="141"/>
    </row>
    <row r="933" spans="5:10" s="6" customFormat="1" ht="18.75" customHeight="1">
      <c r="E933" s="290"/>
      <c r="H933" s="141"/>
      <c r="I933" s="141"/>
      <c r="J933" s="141"/>
    </row>
    <row r="934" spans="5:10" s="6" customFormat="1" ht="18.75" customHeight="1">
      <c r="E934" s="290"/>
      <c r="H934" s="141"/>
      <c r="I934" s="141"/>
      <c r="J934" s="141"/>
    </row>
    <row r="935" spans="5:10" s="6" customFormat="1" ht="18.75" customHeight="1">
      <c r="E935" s="290"/>
      <c r="H935" s="141"/>
      <c r="I935" s="141"/>
      <c r="J935" s="141"/>
    </row>
    <row r="936" spans="5:10" s="6" customFormat="1" ht="18.75" customHeight="1">
      <c r="E936" s="290"/>
      <c r="H936" s="141"/>
      <c r="I936" s="141"/>
      <c r="J936" s="141"/>
    </row>
    <row r="937" spans="5:10" s="6" customFormat="1" ht="18.75" customHeight="1">
      <c r="E937" s="290"/>
      <c r="H937" s="141"/>
      <c r="I937" s="141"/>
      <c r="J937" s="141"/>
    </row>
    <row r="938" spans="5:10" s="6" customFormat="1" ht="18.75" customHeight="1">
      <c r="E938" s="290"/>
      <c r="H938" s="141"/>
      <c r="I938" s="141"/>
      <c r="J938" s="141"/>
    </row>
    <row r="939" spans="5:10" s="6" customFormat="1" ht="18.75" customHeight="1">
      <c r="E939" s="290"/>
      <c r="H939" s="141"/>
      <c r="I939" s="141"/>
      <c r="J939" s="141"/>
    </row>
    <row r="940" spans="5:10" s="6" customFormat="1" ht="18.75" customHeight="1">
      <c r="E940" s="290"/>
      <c r="H940" s="141"/>
      <c r="I940" s="141"/>
      <c r="J940" s="141"/>
    </row>
    <row r="941" spans="5:10" s="6" customFormat="1" ht="18.75" customHeight="1">
      <c r="E941" s="290"/>
      <c r="H941" s="141"/>
      <c r="I941" s="141"/>
      <c r="J941" s="141"/>
    </row>
    <row r="942" spans="5:10" s="6" customFormat="1" ht="18.75" customHeight="1">
      <c r="E942" s="290"/>
      <c r="H942" s="141"/>
      <c r="I942" s="141"/>
      <c r="J942" s="141"/>
    </row>
    <row r="943" spans="5:10" s="6" customFormat="1" ht="18.75" customHeight="1">
      <c r="E943" s="290"/>
      <c r="H943" s="141"/>
      <c r="I943" s="141"/>
      <c r="J943" s="141"/>
    </row>
    <row r="944" spans="5:10" s="6" customFormat="1" ht="18.75" customHeight="1">
      <c r="E944" s="290"/>
      <c r="H944" s="141"/>
      <c r="I944" s="141"/>
      <c r="J944" s="141"/>
    </row>
    <row r="945" spans="5:10" s="6" customFormat="1" ht="18.75" customHeight="1">
      <c r="E945" s="290"/>
      <c r="H945" s="141"/>
      <c r="I945" s="141"/>
      <c r="J945" s="141"/>
    </row>
    <row r="946" spans="5:10" s="6" customFormat="1" ht="18.75" customHeight="1">
      <c r="E946" s="290"/>
      <c r="H946" s="141"/>
      <c r="I946" s="141"/>
      <c r="J946" s="141"/>
    </row>
    <row r="947" spans="5:10" s="6" customFormat="1" ht="18.75" customHeight="1">
      <c r="E947" s="290"/>
      <c r="H947" s="141"/>
      <c r="I947" s="141"/>
      <c r="J947" s="141"/>
    </row>
    <row r="948" spans="5:10" s="6" customFormat="1" ht="18.75" customHeight="1">
      <c r="E948" s="290"/>
      <c r="H948" s="141"/>
      <c r="I948" s="141"/>
      <c r="J948" s="141"/>
    </row>
    <row r="949" spans="5:10" s="6" customFormat="1" ht="18.75" customHeight="1">
      <c r="E949" s="290"/>
      <c r="H949" s="141"/>
      <c r="I949" s="141"/>
      <c r="J949" s="141"/>
    </row>
    <row r="950" spans="5:10" s="6" customFormat="1" ht="18.75" customHeight="1">
      <c r="E950" s="290"/>
      <c r="H950" s="141"/>
      <c r="I950" s="141"/>
      <c r="J950" s="141"/>
    </row>
    <row r="951" spans="5:10" s="6" customFormat="1" ht="18.75" customHeight="1">
      <c r="E951" s="290"/>
      <c r="H951" s="141"/>
      <c r="I951" s="141"/>
      <c r="J951" s="141"/>
    </row>
    <row r="952" spans="5:10" s="6" customFormat="1" ht="18.75" customHeight="1">
      <c r="E952" s="290"/>
      <c r="H952" s="141"/>
      <c r="I952" s="141"/>
      <c r="J952" s="141"/>
    </row>
    <row r="953" spans="5:10" s="6" customFormat="1" ht="18.75" customHeight="1">
      <c r="E953" s="290"/>
      <c r="H953" s="141"/>
      <c r="I953" s="141"/>
      <c r="J953" s="141"/>
    </row>
    <row r="954" spans="5:10" s="6" customFormat="1" ht="18.75" customHeight="1">
      <c r="E954" s="290"/>
      <c r="H954" s="141"/>
      <c r="I954" s="141"/>
      <c r="J954" s="141"/>
    </row>
    <row r="955" spans="5:10" s="6" customFormat="1" ht="18.75" customHeight="1">
      <c r="E955" s="290"/>
      <c r="H955" s="141"/>
      <c r="I955" s="141"/>
      <c r="J955" s="141"/>
    </row>
    <row r="956" spans="5:10" s="6" customFormat="1" ht="18.75" customHeight="1">
      <c r="E956" s="290"/>
      <c r="H956" s="141"/>
      <c r="I956" s="141"/>
      <c r="J956" s="141"/>
    </row>
    <row r="957" spans="5:10" s="6" customFormat="1" ht="18.75" customHeight="1">
      <c r="E957" s="290"/>
      <c r="H957" s="141"/>
      <c r="I957" s="141"/>
      <c r="J957" s="141"/>
    </row>
    <row r="958" spans="5:10" s="6" customFormat="1" ht="18.75" customHeight="1">
      <c r="E958" s="290"/>
      <c r="H958" s="141"/>
      <c r="I958" s="141"/>
      <c r="J958" s="141"/>
    </row>
    <row r="959" spans="5:10" s="6" customFormat="1" ht="18.75" customHeight="1">
      <c r="E959" s="290"/>
      <c r="H959" s="141"/>
      <c r="I959" s="141"/>
      <c r="J959" s="141"/>
    </row>
    <row r="960" spans="5:10" s="6" customFormat="1" ht="18.75" customHeight="1">
      <c r="E960" s="290"/>
      <c r="H960" s="141"/>
      <c r="I960" s="141"/>
      <c r="J960" s="141"/>
    </row>
    <row r="961" spans="5:10" s="6" customFormat="1" ht="18.75" customHeight="1">
      <c r="E961" s="290"/>
      <c r="H961" s="141"/>
      <c r="I961" s="141"/>
      <c r="J961" s="141"/>
    </row>
    <row r="962" spans="5:10" s="6" customFormat="1" ht="18.75" customHeight="1">
      <c r="E962" s="290"/>
      <c r="H962" s="141"/>
      <c r="I962" s="141"/>
      <c r="J962" s="141"/>
    </row>
    <row r="963" spans="5:10" s="6" customFormat="1" ht="18.75" customHeight="1">
      <c r="E963" s="290"/>
      <c r="H963" s="141"/>
      <c r="I963" s="141"/>
      <c r="J963" s="141"/>
    </row>
    <row r="964" spans="5:10" s="6" customFormat="1" ht="18.75" customHeight="1">
      <c r="E964" s="290"/>
      <c r="H964" s="141"/>
      <c r="I964" s="141"/>
      <c r="J964" s="141"/>
    </row>
    <row r="965" spans="5:10" s="6" customFormat="1" ht="18.75" customHeight="1">
      <c r="E965" s="290"/>
      <c r="H965" s="141"/>
      <c r="I965" s="141"/>
      <c r="J965" s="141"/>
    </row>
    <row r="966" spans="5:10" s="6" customFormat="1" ht="18.75" customHeight="1">
      <c r="E966" s="290"/>
      <c r="H966" s="141"/>
      <c r="I966" s="141"/>
      <c r="J966" s="141"/>
    </row>
    <row r="967" spans="5:10" s="6" customFormat="1" ht="18.75" customHeight="1">
      <c r="E967" s="290"/>
      <c r="H967" s="141"/>
      <c r="I967" s="141"/>
      <c r="J967" s="141"/>
    </row>
    <row r="968" spans="5:10" s="6" customFormat="1" ht="18.75" customHeight="1">
      <c r="E968" s="290"/>
      <c r="H968" s="141"/>
      <c r="I968" s="141"/>
      <c r="J968" s="141"/>
    </row>
    <row r="969" spans="5:10" s="6" customFormat="1" ht="18.75" customHeight="1">
      <c r="E969" s="290"/>
      <c r="H969" s="141"/>
      <c r="I969" s="141"/>
      <c r="J969" s="141"/>
    </row>
    <row r="970" spans="5:10" s="6" customFormat="1" ht="18.75" customHeight="1">
      <c r="E970" s="290"/>
      <c r="H970" s="141"/>
      <c r="I970" s="141"/>
      <c r="J970" s="141"/>
    </row>
    <row r="971" spans="5:10" s="6" customFormat="1" ht="18.75" customHeight="1">
      <c r="E971" s="290"/>
      <c r="H971" s="141"/>
      <c r="I971" s="141"/>
      <c r="J971" s="141"/>
    </row>
    <row r="972" spans="5:10" s="6" customFormat="1" ht="18.75" customHeight="1">
      <c r="E972" s="290"/>
      <c r="H972" s="141"/>
      <c r="I972" s="141"/>
      <c r="J972" s="141"/>
    </row>
    <row r="973" spans="5:10" s="6" customFormat="1" ht="18.75" customHeight="1">
      <c r="E973" s="290"/>
      <c r="H973" s="141"/>
      <c r="I973" s="141"/>
      <c r="J973" s="141"/>
    </row>
    <row r="974" spans="5:10" s="6" customFormat="1" ht="18.75" customHeight="1">
      <c r="E974" s="290"/>
      <c r="H974" s="141"/>
      <c r="I974" s="141"/>
      <c r="J974" s="141"/>
    </row>
    <row r="975" spans="5:10" s="6" customFormat="1" ht="18.75" customHeight="1">
      <c r="E975" s="290"/>
      <c r="H975" s="141"/>
      <c r="I975" s="141"/>
      <c r="J975" s="141"/>
    </row>
    <row r="976" spans="5:10" s="6" customFormat="1" ht="18.75" customHeight="1">
      <c r="E976" s="290"/>
      <c r="H976" s="141"/>
      <c r="I976" s="141"/>
      <c r="J976" s="141"/>
    </row>
    <row r="977" spans="5:10" s="6" customFormat="1" ht="18.75" customHeight="1">
      <c r="E977" s="290"/>
      <c r="H977" s="141"/>
      <c r="I977" s="141"/>
      <c r="J977" s="141"/>
    </row>
    <row r="978" spans="5:10" s="6" customFormat="1" ht="18.75" customHeight="1">
      <c r="E978" s="290"/>
      <c r="H978" s="141"/>
      <c r="I978" s="141"/>
      <c r="J978" s="141"/>
    </row>
    <row r="979" spans="5:10" s="6" customFormat="1" ht="18.75" customHeight="1">
      <c r="E979" s="290"/>
      <c r="H979" s="141"/>
      <c r="I979" s="141"/>
      <c r="J979" s="141"/>
    </row>
    <row r="980" spans="5:10" s="6" customFormat="1" ht="18.75" customHeight="1">
      <c r="E980" s="290"/>
      <c r="H980" s="141"/>
      <c r="I980" s="141"/>
      <c r="J980" s="141"/>
    </row>
    <row r="981" spans="5:10" s="6" customFormat="1" ht="18.75" customHeight="1">
      <c r="E981" s="290"/>
      <c r="H981" s="141"/>
      <c r="I981" s="141"/>
      <c r="J981" s="141"/>
    </row>
    <row r="982" spans="5:10" s="6" customFormat="1" ht="18.75" customHeight="1">
      <c r="E982" s="290"/>
      <c r="H982" s="141"/>
      <c r="I982" s="141"/>
      <c r="J982" s="141"/>
    </row>
    <row r="983" spans="5:10" s="6" customFormat="1" ht="18.75" customHeight="1">
      <c r="E983" s="290"/>
      <c r="H983" s="141"/>
      <c r="I983" s="141"/>
      <c r="J983" s="141"/>
    </row>
    <row r="984" spans="5:10" s="6" customFormat="1" ht="18.75" customHeight="1">
      <c r="E984" s="290"/>
      <c r="H984" s="141"/>
      <c r="I984" s="141"/>
      <c r="J984" s="141"/>
    </row>
    <row r="985" spans="5:10" s="6" customFormat="1" ht="18.75" customHeight="1">
      <c r="E985" s="290"/>
      <c r="H985" s="141"/>
      <c r="I985" s="141"/>
      <c r="J985" s="141"/>
    </row>
    <row r="986" spans="5:10" s="6" customFormat="1" ht="18.75" customHeight="1">
      <c r="E986" s="290"/>
      <c r="H986" s="141"/>
      <c r="I986" s="141"/>
      <c r="J986" s="141"/>
    </row>
    <row r="987" spans="5:10" s="6" customFormat="1" ht="18.75" customHeight="1">
      <c r="E987" s="290"/>
      <c r="H987" s="141"/>
      <c r="I987" s="141"/>
      <c r="J987" s="141"/>
    </row>
    <row r="988" spans="5:10" s="6" customFormat="1" ht="18.75" customHeight="1">
      <c r="E988" s="290"/>
      <c r="H988" s="141"/>
      <c r="I988" s="141"/>
      <c r="J988" s="141"/>
    </row>
    <row r="989" spans="5:10" s="6" customFormat="1" ht="18.75" customHeight="1">
      <c r="E989" s="290"/>
      <c r="H989" s="141"/>
      <c r="I989" s="141"/>
      <c r="J989" s="141"/>
    </row>
    <row r="990" spans="5:10" s="6" customFormat="1" ht="18.75" customHeight="1">
      <c r="E990" s="290"/>
      <c r="H990" s="141"/>
      <c r="I990" s="141"/>
      <c r="J990" s="141"/>
    </row>
    <row r="991" spans="5:10" s="6" customFormat="1" ht="18.75" customHeight="1">
      <c r="E991" s="290"/>
      <c r="H991" s="141"/>
      <c r="I991" s="141"/>
      <c r="J991" s="141"/>
    </row>
    <row r="992" spans="5:10" s="6" customFormat="1" ht="18.75" customHeight="1">
      <c r="E992" s="290"/>
      <c r="H992" s="141"/>
      <c r="I992" s="141"/>
      <c r="J992" s="141"/>
    </row>
    <row r="993" spans="5:10" s="6" customFormat="1" ht="18.75" customHeight="1">
      <c r="E993" s="290"/>
      <c r="H993" s="141"/>
      <c r="I993" s="141"/>
      <c r="J993" s="141"/>
    </row>
    <row r="994" spans="5:10" s="6" customFormat="1" ht="18.75" customHeight="1">
      <c r="E994" s="290"/>
      <c r="H994" s="141"/>
      <c r="I994" s="141"/>
      <c r="J994" s="141"/>
    </row>
    <row r="995" spans="5:10" s="6" customFormat="1" ht="18.75" customHeight="1">
      <c r="E995" s="290"/>
      <c r="H995" s="141"/>
      <c r="I995" s="141"/>
      <c r="J995" s="141"/>
    </row>
    <row r="996" spans="5:10" s="6" customFormat="1" ht="18.75" customHeight="1">
      <c r="E996" s="290"/>
      <c r="H996" s="141"/>
      <c r="I996" s="141"/>
      <c r="J996" s="141"/>
    </row>
    <row r="997" spans="5:10" s="6" customFormat="1" ht="18.75" customHeight="1">
      <c r="E997" s="290"/>
      <c r="H997" s="141"/>
      <c r="I997" s="141"/>
      <c r="J997" s="141"/>
    </row>
    <row r="998" spans="5:10" s="6" customFormat="1" ht="18.75" customHeight="1">
      <c r="E998" s="290"/>
      <c r="H998" s="141"/>
      <c r="I998" s="141"/>
      <c r="J998" s="141"/>
    </row>
    <row r="999" spans="5:10" s="6" customFormat="1" ht="18.75" customHeight="1">
      <c r="E999" s="290"/>
      <c r="H999" s="141"/>
      <c r="I999" s="141"/>
      <c r="J999" s="141"/>
    </row>
    <row r="1000" spans="5:10" s="6" customFormat="1" ht="18.75" customHeight="1">
      <c r="E1000" s="290"/>
      <c r="H1000" s="141"/>
      <c r="I1000" s="141"/>
      <c r="J1000" s="141"/>
    </row>
    <row r="1001" spans="5:10" s="6" customFormat="1" ht="18.75" customHeight="1">
      <c r="E1001" s="290"/>
      <c r="H1001" s="141"/>
      <c r="I1001" s="141"/>
      <c r="J1001" s="141"/>
    </row>
    <row r="1002" spans="5:10" s="6" customFormat="1" ht="18.75" customHeight="1">
      <c r="E1002" s="290"/>
      <c r="H1002" s="141"/>
      <c r="I1002" s="141"/>
      <c r="J1002" s="141"/>
    </row>
    <row r="1003" spans="5:10" s="6" customFormat="1" ht="18.75" customHeight="1">
      <c r="E1003" s="290"/>
      <c r="H1003" s="141"/>
      <c r="I1003" s="141"/>
      <c r="J1003" s="141"/>
    </row>
    <row r="1004" spans="5:10" s="6" customFormat="1" ht="18.75" customHeight="1">
      <c r="E1004" s="290"/>
      <c r="H1004" s="141"/>
      <c r="I1004" s="141"/>
      <c r="J1004" s="141"/>
    </row>
    <row r="1005" spans="5:10" s="6" customFormat="1" ht="18.75" customHeight="1">
      <c r="E1005" s="290"/>
      <c r="H1005" s="141"/>
      <c r="I1005" s="141"/>
      <c r="J1005" s="141"/>
    </row>
    <row r="1006" spans="5:10" s="6" customFormat="1" ht="18.75" customHeight="1">
      <c r="E1006" s="290"/>
      <c r="H1006" s="141"/>
      <c r="I1006" s="141"/>
      <c r="J1006" s="141"/>
    </row>
    <row r="1007" spans="5:10" s="6" customFormat="1" ht="18.75" customHeight="1">
      <c r="E1007" s="290"/>
      <c r="H1007" s="141"/>
      <c r="I1007" s="141"/>
      <c r="J1007" s="141"/>
    </row>
    <row r="1008" spans="5:10" s="6" customFormat="1" ht="18.75" customHeight="1">
      <c r="E1008" s="290"/>
      <c r="H1008" s="141"/>
      <c r="I1008" s="141"/>
      <c r="J1008" s="141"/>
    </row>
    <row r="1009" spans="5:10" s="6" customFormat="1" ht="18.75" customHeight="1">
      <c r="E1009" s="290"/>
      <c r="H1009" s="141"/>
      <c r="I1009" s="141"/>
      <c r="J1009" s="141"/>
    </row>
    <row r="1010" spans="5:10" s="6" customFormat="1" ht="18.75" customHeight="1">
      <c r="E1010" s="290"/>
      <c r="H1010" s="141"/>
      <c r="I1010" s="141"/>
      <c r="J1010" s="141"/>
    </row>
    <row r="1011" spans="5:10" s="6" customFormat="1" ht="18.75" customHeight="1">
      <c r="E1011" s="290"/>
      <c r="H1011" s="141"/>
      <c r="I1011" s="141"/>
      <c r="J1011" s="141"/>
    </row>
    <row r="1012" spans="5:10" s="6" customFormat="1" ht="18.75" customHeight="1">
      <c r="E1012" s="290"/>
      <c r="H1012" s="141"/>
      <c r="I1012" s="141"/>
      <c r="J1012" s="141"/>
    </row>
    <row r="1013" spans="5:10" s="6" customFormat="1" ht="18.75" customHeight="1">
      <c r="E1013" s="290"/>
      <c r="H1013" s="141"/>
      <c r="I1013" s="141"/>
      <c r="J1013" s="141"/>
    </row>
    <row r="1014" spans="5:10" s="6" customFormat="1" ht="18.75" customHeight="1">
      <c r="E1014" s="290"/>
      <c r="H1014" s="141"/>
      <c r="I1014" s="141"/>
      <c r="J1014" s="141"/>
    </row>
    <row r="1015" spans="5:10" s="6" customFormat="1" ht="18.75" customHeight="1">
      <c r="E1015" s="290"/>
      <c r="H1015" s="141"/>
      <c r="I1015" s="141"/>
      <c r="J1015" s="141"/>
    </row>
    <row r="1016" spans="5:10" s="6" customFormat="1" ht="18.75" customHeight="1">
      <c r="E1016" s="290"/>
      <c r="H1016" s="141"/>
      <c r="I1016" s="141"/>
      <c r="J1016" s="141"/>
    </row>
    <row r="1017" spans="5:10" s="6" customFormat="1" ht="18.75" customHeight="1">
      <c r="E1017" s="290"/>
      <c r="H1017" s="141"/>
      <c r="I1017" s="141"/>
      <c r="J1017" s="141"/>
    </row>
    <row r="1018" spans="5:10" s="6" customFormat="1" ht="18.75" customHeight="1">
      <c r="E1018" s="290"/>
      <c r="H1018" s="141"/>
      <c r="I1018" s="141"/>
      <c r="J1018" s="141"/>
    </row>
    <row r="1019" spans="5:10" s="6" customFormat="1" ht="18.75" customHeight="1">
      <c r="E1019" s="290"/>
      <c r="H1019" s="141"/>
      <c r="I1019" s="141"/>
      <c r="J1019" s="141"/>
    </row>
    <row r="1020" spans="5:10" s="6" customFormat="1" ht="18.75" customHeight="1">
      <c r="E1020" s="290"/>
      <c r="H1020" s="141"/>
      <c r="I1020" s="141"/>
      <c r="J1020" s="141"/>
    </row>
    <row r="1021" spans="5:10" s="6" customFormat="1" ht="18.75" customHeight="1">
      <c r="E1021" s="290"/>
      <c r="H1021" s="141"/>
      <c r="I1021" s="141"/>
      <c r="J1021" s="141"/>
    </row>
  </sheetData>
  <phoneticPr fontId="60"/>
  <pageMargins left="0.7" right="0.7" top="0.75" bottom="0.75" header="0.511811023622047" footer="0.511811023622047"/>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B1:J21"/>
  <sheetViews>
    <sheetView showGridLines="0" topLeftCell="A2" zoomScaleNormal="100" workbookViewId="0">
      <selection activeCell="I4" sqref="I4"/>
    </sheetView>
  </sheetViews>
  <sheetFormatPr defaultColWidth="8.75" defaultRowHeight="14"/>
  <cols>
    <col min="1" max="1" width="8.75" style="6"/>
    <col min="2" max="2" width="11.25" style="6" customWidth="1"/>
    <col min="3" max="3" width="17.5" style="6" customWidth="1"/>
    <col min="4" max="4" width="21.1640625" style="6" customWidth="1"/>
    <col min="5" max="5" width="13.4140625" style="290" customWidth="1"/>
    <col min="6" max="6" width="11.25" style="6" customWidth="1"/>
    <col min="7" max="7" width="20.4140625" style="6" customWidth="1"/>
    <col min="8" max="9" width="13.4140625" style="141" customWidth="1"/>
    <col min="10" max="10" width="34.1640625" style="6" customWidth="1"/>
    <col min="11" max="16384" width="8.75" style="6"/>
  </cols>
  <sheetData>
    <row r="1" spans="2:10" ht="18.75" customHeight="1">
      <c r="E1" s="6"/>
      <c r="H1" s="6"/>
      <c r="I1" s="6"/>
    </row>
    <row r="2" spans="2:10" ht="18.75" customHeight="1">
      <c r="B2" s="253"/>
      <c r="C2" s="253"/>
      <c r="E2" s="6"/>
      <c r="H2" s="6"/>
      <c r="I2" s="6"/>
    </row>
    <row r="3" spans="2:10" ht="39" customHeight="1">
      <c r="B3" s="174" t="s">
        <v>292</v>
      </c>
      <c r="C3" s="174" t="s">
        <v>292</v>
      </c>
      <c r="D3" s="282" t="s">
        <v>397</v>
      </c>
      <c r="E3" s="282" t="s">
        <v>398</v>
      </c>
      <c r="F3" s="282" t="s">
        <v>405</v>
      </c>
      <c r="G3" s="282" t="s">
        <v>406</v>
      </c>
      <c r="H3" s="282" t="s">
        <v>392</v>
      </c>
      <c r="I3" s="282" t="s">
        <v>393</v>
      </c>
      <c r="J3" s="144" t="s">
        <v>210</v>
      </c>
    </row>
    <row r="4" spans="2:10" ht="39" customHeight="1">
      <c r="B4" s="309" t="s">
        <v>407</v>
      </c>
      <c r="C4" s="244" t="s">
        <v>408</v>
      </c>
      <c r="D4" s="243" t="s">
        <v>409</v>
      </c>
      <c r="E4" s="310" t="s">
        <v>320</v>
      </c>
      <c r="F4" s="287" t="s">
        <v>410</v>
      </c>
      <c r="G4" s="243" t="s">
        <v>411</v>
      </c>
      <c r="H4" s="289">
        <v>458409</v>
      </c>
      <c r="I4" s="289">
        <v>1263500</v>
      </c>
      <c r="J4" s="311" t="s">
        <v>412</v>
      </c>
    </row>
    <row r="5" spans="2:10" ht="39" customHeight="1">
      <c r="B5" s="309"/>
      <c r="C5" s="244"/>
      <c r="D5" s="243"/>
      <c r="E5" s="310"/>
      <c r="F5" s="287"/>
      <c r="G5" s="243"/>
      <c r="H5" s="289"/>
      <c r="I5" s="289"/>
      <c r="J5" s="311"/>
    </row>
    <row r="6" spans="2:10" ht="19.5" customHeight="1">
      <c r="B6" s="244"/>
      <c r="C6" s="244"/>
      <c r="D6" s="244"/>
      <c r="E6" s="312"/>
      <c r="F6" s="245"/>
      <c r="G6" s="244"/>
      <c r="H6" s="27"/>
      <c r="I6" s="27"/>
      <c r="J6" s="302"/>
    </row>
    <row r="7" spans="2:10" ht="22.5" customHeight="1">
      <c r="B7" s="303"/>
      <c r="C7" s="303"/>
      <c r="D7" s="244"/>
      <c r="E7" s="304"/>
      <c r="F7" s="244"/>
      <c r="G7" s="244"/>
      <c r="H7" s="27"/>
      <c r="I7" s="27"/>
      <c r="J7" s="302"/>
    </row>
    <row r="8" spans="2:10" ht="22.5" customHeight="1">
      <c r="B8" s="303"/>
      <c r="C8" s="303"/>
      <c r="D8" s="244"/>
      <c r="E8" s="304"/>
      <c r="F8" s="244"/>
      <c r="G8" s="244"/>
      <c r="H8" s="27"/>
      <c r="I8" s="27"/>
      <c r="J8" s="302"/>
    </row>
    <row r="9" spans="2:10" ht="22.5" customHeight="1">
      <c r="B9" s="303"/>
      <c r="C9" s="303"/>
      <c r="D9" s="244"/>
      <c r="E9" s="304"/>
      <c r="F9" s="244"/>
      <c r="G9" s="244"/>
      <c r="H9" s="27"/>
      <c r="I9" s="27"/>
      <c r="J9" s="302"/>
    </row>
    <row r="10" spans="2:10" ht="18.75" customHeight="1">
      <c r="G10" s="313"/>
    </row>
    <row r="11" spans="2:10" ht="22.5" customHeight="1">
      <c r="B11" s="303"/>
      <c r="C11" s="303"/>
      <c r="D11" s="244"/>
      <c r="E11" s="304"/>
      <c r="F11" s="244"/>
      <c r="G11" s="244"/>
      <c r="H11" s="27"/>
      <c r="I11" s="27"/>
      <c r="J11" s="302"/>
    </row>
    <row r="12" spans="2:10" ht="18.75" customHeight="1">
      <c r="G12" s="313"/>
    </row>
    <row r="14" spans="2:10" ht="18.75" customHeight="1">
      <c r="B14" s="253"/>
      <c r="C14" s="253"/>
      <c r="E14" s="6"/>
      <c r="H14" s="6"/>
      <c r="I14" s="6"/>
    </row>
    <row r="15" spans="2:10" ht="39" customHeight="1">
      <c r="B15" s="174"/>
      <c r="C15" s="174"/>
      <c r="D15" s="282"/>
      <c r="E15" s="282"/>
      <c r="F15" s="282"/>
      <c r="G15" s="282"/>
      <c r="H15" s="282"/>
      <c r="I15" s="282"/>
      <c r="J15" s="144"/>
    </row>
    <row r="16" spans="2:10" ht="39" customHeight="1">
      <c r="B16" s="309"/>
      <c r="C16" s="244"/>
      <c r="D16" s="243"/>
      <c r="E16" s="310"/>
      <c r="F16" s="287"/>
      <c r="G16" s="243"/>
      <c r="H16" s="289"/>
      <c r="I16" s="289"/>
      <c r="J16" s="311"/>
    </row>
    <row r="17" spans="2:10" ht="22.5" customHeight="1">
      <c r="B17" s="244"/>
      <c r="C17" s="244"/>
      <c r="D17" s="244"/>
      <c r="E17" s="304"/>
      <c r="F17" s="244"/>
      <c r="G17" s="243"/>
      <c r="H17" s="27"/>
      <c r="I17" s="27"/>
      <c r="J17" s="311"/>
    </row>
    <row r="18" spans="2:10" ht="19.5" customHeight="1">
      <c r="B18" s="244"/>
      <c r="C18" s="244"/>
      <c r="D18" s="244"/>
      <c r="E18" s="312"/>
      <c r="F18" s="245"/>
      <c r="G18" s="244"/>
      <c r="H18" s="27"/>
      <c r="I18" s="27"/>
      <c r="J18" s="302"/>
    </row>
    <row r="19" spans="2:10" ht="22.5" customHeight="1">
      <c r="B19" s="303"/>
      <c r="C19" s="303"/>
      <c r="D19" s="244"/>
      <c r="E19" s="304"/>
      <c r="F19" s="244"/>
      <c r="G19" s="244"/>
      <c r="H19" s="27"/>
      <c r="I19" s="27"/>
      <c r="J19" s="302"/>
    </row>
    <row r="20" spans="2:10" ht="22.5" customHeight="1">
      <c r="B20" s="303"/>
      <c r="C20" s="303"/>
      <c r="D20" s="244"/>
      <c r="E20" s="304"/>
      <c r="F20" s="244"/>
      <c r="G20" s="244"/>
      <c r="H20" s="27"/>
      <c r="I20" s="27"/>
      <c r="J20" s="302"/>
    </row>
    <row r="21" spans="2:10" ht="22.5" customHeight="1">
      <c r="B21" s="303"/>
      <c r="C21" s="303"/>
      <c r="D21" s="244"/>
      <c r="E21" s="304"/>
      <c r="F21" s="244"/>
      <c r="G21" s="244"/>
      <c r="H21" s="27"/>
      <c r="I21" s="27"/>
      <c r="J21" s="302"/>
    </row>
  </sheetData>
  <phoneticPr fontId="60"/>
  <pageMargins left="0.7" right="0.7" top="0.75" bottom="0.75" header="0.511811023622047" footer="0.511811023622047"/>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729C8-D744-4F0E-9048-F998FAA593C8}">
  <dimension ref="B2:K22"/>
  <sheetViews>
    <sheetView showGridLines="0" zoomScale="70" zoomScaleNormal="70" workbookViewId="0">
      <selection activeCell="J19" sqref="J19"/>
    </sheetView>
  </sheetViews>
  <sheetFormatPr defaultColWidth="8.5" defaultRowHeight="18"/>
  <cols>
    <col min="1" max="1" width="8.5" style="242"/>
    <col min="2" max="2" width="5.25" style="351" customWidth="1"/>
    <col min="3" max="3" width="16.1640625" style="391" customWidth="1"/>
    <col min="4" max="4" width="34.33203125" style="391" bestFit="1" customWidth="1"/>
    <col min="5" max="6" width="16.1640625" style="391" customWidth="1"/>
    <col min="7" max="7" width="11.6640625" style="391" customWidth="1"/>
    <col min="8" max="8" width="10.33203125" style="391" customWidth="1"/>
    <col min="9" max="10" width="16.1640625" style="391" customWidth="1"/>
    <col min="11" max="11" width="55.5" style="391" customWidth="1"/>
    <col min="12" max="16384" width="8.5" style="242"/>
  </cols>
  <sheetData>
    <row r="2" spans="2:11" ht="19.5" customHeight="1">
      <c r="B2" s="247" t="s">
        <v>197</v>
      </c>
      <c r="C2" s="204" t="s">
        <v>6</v>
      </c>
      <c r="D2" s="228" t="s">
        <v>413</v>
      </c>
      <c r="E2" s="228" t="s">
        <v>414</v>
      </c>
      <c r="F2" s="228" t="s">
        <v>415</v>
      </c>
      <c r="G2" s="228" t="s">
        <v>416</v>
      </c>
      <c r="H2" s="228" t="s">
        <v>417</v>
      </c>
      <c r="I2" s="571" t="s">
        <v>418</v>
      </c>
      <c r="J2" s="571" t="s">
        <v>419</v>
      </c>
      <c r="K2" s="1" t="s">
        <v>570</v>
      </c>
    </row>
    <row r="3" spans="2:11" ht="22.5" customHeight="1">
      <c r="B3" s="267">
        <v>1</v>
      </c>
      <c r="C3" s="572" t="s">
        <v>27</v>
      </c>
      <c r="D3" s="572" t="s">
        <v>571</v>
      </c>
      <c r="E3" s="572" t="s">
        <v>572</v>
      </c>
      <c r="F3" s="573">
        <v>2022</v>
      </c>
      <c r="G3" s="552">
        <v>1</v>
      </c>
      <c r="H3" s="552">
        <v>15</v>
      </c>
      <c r="I3" s="574">
        <v>965000</v>
      </c>
      <c r="J3" s="574">
        <v>700993</v>
      </c>
      <c r="K3" s="308"/>
    </row>
    <row r="4" spans="2:11" ht="22.5" customHeight="1">
      <c r="B4" s="553">
        <v>2</v>
      </c>
      <c r="C4" s="233" t="s">
        <v>28</v>
      </c>
      <c r="D4" s="233" t="s">
        <v>573</v>
      </c>
      <c r="E4" s="233" t="s">
        <v>574</v>
      </c>
      <c r="F4" s="575">
        <v>2019</v>
      </c>
      <c r="G4" s="301">
        <v>10</v>
      </c>
      <c r="H4" s="301">
        <v>2</v>
      </c>
      <c r="I4" s="576">
        <v>5363637</v>
      </c>
      <c r="J4" s="577">
        <v>1</v>
      </c>
      <c r="K4" s="266" t="s">
        <v>575</v>
      </c>
    </row>
    <row r="5" spans="2:11" ht="22.5" customHeight="1">
      <c r="B5" s="267">
        <v>3</v>
      </c>
      <c r="C5" s="233" t="s">
        <v>28</v>
      </c>
      <c r="D5" s="233" t="s">
        <v>576</v>
      </c>
      <c r="E5" s="233" t="s">
        <v>574</v>
      </c>
      <c r="F5" s="575">
        <v>2021</v>
      </c>
      <c r="G5" s="301">
        <v>1</v>
      </c>
      <c r="H5" s="301">
        <v>6</v>
      </c>
      <c r="I5" s="576">
        <v>2765228</v>
      </c>
      <c r="J5" s="577">
        <v>264867</v>
      </c>
      <c r="K5" s="578" t="s">
        <v>575</v>
      </c>
    </row>
    <row r="6" spans="2:11" ht="22.5" customHeight="1">
      <c r="B6" s="553">
        <v>4</v>
      </c>
      <c r="C6" s="233" t="s">
        <v>29</v>
      </c>
      <c r="D6" s="233" t="s">
        <v>577</v>
      </c>
      <c r="E6" s="233" t="s">
        <v>574</v>
      </c>
      <c r="F6" s="575">
        <v>2022</v>
      </c>
      <c r="G6" s="301">
        <v>1</v>
      </c>
      <c r="H6" s="301">
        <v>5</v>
      </c>
      <c r="I6" s="576">
        <v>872200</v>
      </c>
      <c r="J6" s="577">
        <v>91059</v>
      </c>
      <c r="K6" s="302"/>
    </row>
    <row r="7" spans="2:11" ht="22.5" customHeight="1">
      <c r="B7" s="267">
        <v>5</v>
      </c>
      <c r="C7" s="233" t="s">
        <v>31</v>
      </c>
      <c r="D7" s="233" t="s">
        <v>578</v>
      </c>
      <c r="E7" s="233" t="s">
        <v>572</v>
      </c>
      <c r="F7" s="575">
        <v>2024</v>
      </c>
      <c r="G7" s="301">
        <v>10</v>
      </c>
      <c r="H7" s="301">
        <v>5</v>
      </c>
      <c r="I7" s="576">
        <v>2737000</v>
      </c>
      <c r="J7" s="577">
        <v>2007134</v>
      </c>
      <c r="K7" s="302"/>
    </row>
    <row r="8" spans="2:11" ht="22.5" customHeight="1">
      <c r="B8" s="553">
        <v>6</v>
      </c>
      <c r="C8" s="233" t="s">
        <v>31</v>
      </c>
      <c r="D8" s="233" t="s">
        <v>579</v>
      </c>
      <c r="E8" s="233" t="s">
        <v>572</v>
      </c>
      <c r="F8" s="575">
        <v>2024</v>
      </c>
      <c r="G8" s="301">
        <v>10</v>
      </c>
      <c r="H8" s="301">
        <v>5</v>
      </c>
      <c r="I8" s="576">
        <v>143000</v>
      </c>
      <c r="J8" s="577">
        <v>104867</v>
      </c>
      <c r="K8" s="302"/>
    </row>
    <row r="9" spans="2:11" ht="22.5" customHeight="1">
      <c r="B9" s="267"/>
      <c r="C9" s="572"/>
      <c r="D9" s="572"/>
      <c r="E9" s="572"/>
      <c r="F9" s="552"/>
      <c r="G9" s="552"/>
      <c r="H9" s="552"/>
      <c r="I9" s="552"/>
      <c r="J9" s="552"/>
      <c r="K9" s="308"/>
    </row>
    <row r="10" spans="2:11" ht="22.5" customHeight="1">
      <c r="B10" s="553"/>
      <c r="C10" s="233"/>
      <c r="D10" s="233"/>
      <c r="E10" s="233"/>
      <c r="F10" s="301"/>
      <c r="G10" s="301"/>
      <c r="H10" s="301"/>
      <c r="I10" s="301"/>
      <c r="J10" s="579"/>
      <c r="K10" s="557"/>
    </row>
    <row r="11" spans="2:11" ht="22.5" customHeight="1">
      <c r="B11" s="267"/>
      <c r="C11" s="233"/>
      <c r="D11" s="233"/>
      <c r="E11" s="233"/>
      <c r="F11" s="301"/>
      <c r="G11" s="301"/>
      <c r="H11" s="301"/>
      <c r="I11" s="301"/>
      <c r="J11" s="579"/>
      <c r="K11" s="302"/>
    </row>
    <row r="12" spans="2:11" ht="22.5" customHeight="1">
      <c r="B12" s="553"/>
      <c r="C12" s="233"/>
      <c r="D12" s="233"/>
      <c r="E12" s="233"/>
      <c r="F12" s="301"/>
      <c r="G12" s="301"/>
      <c r="H12" s="301"/>
      <c r="I12" s="301"/>
      <c r="J12" s="579"/>
      <c r="K12" s="302"/>
    </row>
    <row r="13" spans="2:11" s="253" customFormat="1" ht="22.5" customHeight="1">
      <c r="B13" s="580"/>
      <c r="C13" s="317"/>
      <c r="D13" s="317"/>
      <c r="E13" s="317"/>
      <c r="F13" s="581"/>
      <c r="G13" s="581"/>
      <c r="H13" s="581"/>
      <c r="I13" s="581"/>
      <c r="J13" s="581"/>
      <c r="K13" s="582"/>
    </row>
    <row r="14" spans="2:11" ht="22.5" customHeight="1">
      <c r="B14" s="267"/>
      <c r="C14" s="233"/>
      <c r="D14" s="233"/>
      <c r="E14" s="233"/>
      <c r="F14" s="301"/>
      <c r="G14" s="301"/>
      <c r="H14" s="301"/>
      <c r="I14" s="301"/>
      <c r="J14" s="579"/>
      <c r="K14" s="302"/>
    </row>
    <row r="15" spans="2:11" ht="22.5" customHeight="1">
      <c r="B15" s="553"/>
      <c r="C15" s="233"/>
      <c r="D15" s="233"/>
      <c r="E15" s="233"/>
      <c r="F15" s="301"/>
      <c r="G15" s="301"/>
      <c r="H15" s="301"/>
      <c r="I15" s="301"/>
      <c r="J15" s="579"/>
      <c r="K15" s="302"/>
    </row>
    <row r="16" spans="2:11" ht="22.5" customHeight="1">
      <c r="B16" s="267"/>
      <c r="C16" s="572"/>
      <c r="D16" s="572"/>
      <c r="E16" s="572"/>
      <c r="F16" s="552"/>
      <c r="G16" s="552"/>
      <c r="H16" s="552"/>
      <c r="I16" s="552"/>
      <c r="J16" s="552"/>
      <c r="K16" s="308"/>
    </row>
    <row r="17" spans="2:11" ht="22.5" customHeight="1">
      <c r="B17" s="553"/>
      <c r="C17" s="233"/>
      <c r="D17" s="233"/>
      <c r="E17" s="233"/>
      <c r="F17" s="301"/>
      <c r="G17" s="301"/>
      <c r="H17" s="301"/>
      <c r="I17" s="301"/>
      <c r="J17" s="579"/>
      <c r="K17" s="557"/>
    </row>
    <row r="18" spans="2:11" ht="22.5" customHeight="1">
      <c r="B18" s="267"/>
      <c r="C18" s="233"/>
      <c r="D18" s="233"/>
      <c r="E18" s="233"/>
      <c r="F18" s="301"/>
      <c r="G18" s="301"/>
      <c r="H18" s="301"/>
      <c r="I18" s="301"/>
      <c r="J18" s="579"/>
      <c r="K18" s="302"/>
    </row>
    <row r="19" spans="2:11" ht="22.5" customHeight="1">
      <c r="B19" s="553"/>
      <c r="C19" s="233"/>
      <c r="D19" s="233"/>
      <c r="E19" s="233"/>
      <c r="F19" s="301"/>
      <c r="G19" s="301"/>
      <c r="H19" s="301"/>
      <c r="I19" s="301"/>
      <c r="J19" s="579"/>
      <c r="K19" s="302"/>
    </row>
    <row r="20" spans="2:11" ht="22.5" customHeight="1">
      <c r="B20" s="267"/>
      <c r="C20" s="233"/>
      <c r="D20" s="233"/>
      <c r="E20" s="233"/>
      <c r="F20" s="301"/>
      <c r="G20" s="301"/>
      <c r="H20" s="301"/>
      <c r="I20" s="301"/>
      <c r="J20" s="579"/>
      <c r="K20" s="302"/>
    </row>
    <row r="21" spans="2:11" ht="22.5" customHeight="1">
      <c r="B21" s="553"/>
      <c r="C21" s="233"/>
      <c r="D21" s="233"/>
      <c r="E21" s="233"/>
      <c r="F21" s="301"/>
      <c r="G21" s="301"/>
      <c r="H21" s="301"/>
      <c r="I21" s="301"/>
      <c r="J21" s="579"/>
      <c r="K21" s="302"/>
    </row>
    <row r="22" spans="2:11" s="253" customFormat="1" ht="22.5" customHeight="1">
      <c r="B22" s="580"/>
      <c r="C22" s="317"/>
      <c r="D22" s="317"/>
      <c r="E22" s="317"/>
      <c r="F22" s="581"/>
      <c r="G22" s="581"/>
      <c r="H22" s="581"/>
      <c r="I22" s="581"/>
      <c r="J22" s="581"/>
      <c r="K22" s="582"/>
    </row>
  </sheetData>
  <phoneticPr fontId="60"/>
  <pageMargins left="0.7" right="0.7" top="0.75" bottom="0.75" header="0.511811023622047" footer="0.511811023622047"/>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B1:F35"/>
  <sheetViews>
    <sheetView showGridLines="0" zoomScaleNormal="100" workbookViewId="0">
      <selection activeCell="B3" sqref="B3"/>
    </sheetView>
  </sheetViews>
  <sheetFormatPr defaultColWidth="8.75" defaultRowHeight="18"/>
  <cols>
    <col min="1" max="1" width="8.75" style="10"/>
    <col min="2" max="5" width="16.1640625" style="10" customWidth="1"/>
    <col min="6" max="6" width="55.5" style="10" customWidth="1"/>
    <col min="7" max="16384" width="8.75" style="10"/>
  </cols>
  <sheetData>
    <row r="1" spans="2:6" ht="18" customHeight="1">
      <c r="B1" s="318"/>
    </row>
    <row r="2" spans="2:6" ht="19.5" customHeight="1">
      <c r="B2" s="319" t="s">
        <v>421</v>
      </c>
      <c r="C2" s="320"/>
      <c r="D2" s="320"/>
      <c r="E2" s="320"/>
      <c r="F2" s="320"/>
    </row>
    <row r="3" spans="2:6" ht="22.5" customHeight="1">
      <c r="B3" s="321"/>
      <c r="C3" s="322"/>
      <c r="D3" s="322"/>
      <c r="E3" s="322"/>
      <c r="F3" s="162"/>
    </row>
    <row r="4" spans="2:6" ht="22.5" customHeight="1">
      <c r="B4" s="323"/>
      <c r="C4" s="322"/>
      <c r="D4" s="322"/>
      <c r="E4" s="322"/>
      <c r="F4" s="162"/>
    </row>
    <row r="5" spans="2:6" ht="22.5" customHeight="1">
      <c r="B5" s="321"/>
      <c r="C5" s="322"/>
      <c r="D5" s="322"/>
      <c r="E5" s="322"/>
      <c r="F5" s="324"/>
    </row>
    <row r="6" spans="2:6" ht="22.5" customHeight="1">
      <c r="B6" s="321"/>
      <c r="C6" s="322"/>
      <c r="D6" s="322"/>
      <c r="E6" s="322"/>
      <c r="F6" s="324"/>
    </row>
    <row r="7" spans="2:6" ht="22.5" customHeight="1">
      <c r="B7" s="321"/>
      <c r="C7" s="322"/>
      <c r="D7" s="322"/>
      <c r="E7" s="322"/>
      <c r="F7" s="324"/>
    </row>
    <row r="8" spans="2:6" ht="22.5" customHeight="1">
      <c r="B8" s="321"/>
      <c r="C8" s="322"/>
      <c r="D8" s="322"/>
      <c r="E8" s="322"/>
      <c r="F8" s="324"/>
    </row>
    <row r="11" spans="2:6" ht="19.5" customHeight="1">
      <c r="B11" s="320"/>
      <c r="C11" s="320"/>
      <c r="D11" s="320"/>
      <c r="E11" s="320"/>
      <c r="F11" s="320"/>
    </row>
    <row r="12" spans="2:6" ht="19.5" customHeight="1">
      <c r="B12" s="652"/>
      <c r="C12" s="322"/>
      <c r="D12" s="322"/>
      <c r="E12" s="322"/>
      <c r="F12" s="162"/>
    </row>
    <row r="13" spans="2:6" ht="19.5" customHeight="1">
      <c r="B13" s="652"/>
      <c r="C13" s="322"/>
      <c r="D13" s="322"/>
      <c r="E13" s="322"/>
      <c r="F13" s="162"/>
    </row>
    <row r="14" spans="2:6" ht="19.5" customHeight="1">
      <c r="B14" s="652"/>
      <c r="C14" s="322"/>
      <c r="D14" s="322"/>
      <c r="E14" s="322"/>
      <c r="F14" s="324"/>
    </row>
    <row r="15" spans="2:6" ht="19.5" customHeight="1">
      <c r="B15" s="652"/>
      <c r="C15" s="322"/>
      <c r="D15" s="322"/>
      <c r="E15" s="322"/>
      <c r="F15" s="324"/>
    </row>
    <row r="16" spans="2:6" ht="19.5" customHeight="1">
      <c r="B16" s="652"/>
      <c r="C16" s="322"/>
      <c r="D16" s="322"/>
      <c r="E16" s="322"/>
      <c r="F16" s="324"/>
    </row>
    <row r="17" spans="2:6" ht="19.5" customHeight="1">
      <c r="B17" s="652"/>
      <c r="C17" s="322"/>
      <c r="D17" s="322"/>
      <c r="E17" s="322"/>
      <c r="F17" s="324"/>
    </row>
    <row r="20" spans="2:6" ht="19.5" customHeight="1">
      <c r="B20" s="320"/>
      <c r="C20" s="320"/>
      <c r="D20" s="320"/>
      <c r="E20" s="320"/>
    </row>
    <row r="21" spans="2:6" ht="18" customHeight="1">
      <c r="B21" s="652"/>
      <c r="C21" s="322"/>
      <c r="D21" s="325"/>
      <c r="E21" s="322"/>
    </row>
    <row r="22" spans="2:6" ht="18" customHeight="1">
      <c r="B22" s="652"/>
      <c r="C22" s="322"/>
      <c r="D22" s="325"/>
      <c r="E22" s="322"/>
    </row>
    <row r="23" spans="2:6" ht="18" customHeight="1">
      <c r="B23" s="652"/>
      <c r="C23" s="322"/>
      <c r="D23" s="325"/>
      <c r="E23" s="322"/>
    </row>
    <row r="24" spans="2:6" ht="18" customHeight="1">
      <c r="B24" s="652"/>
      <c r="C24" s="322"/>
      <c r="D24" s="325"/>
      <c r="E24" s="322"/>
    </row>
    <row r="25" spans="2:6" ht="18" customHeight="1">
      <c r="B25" s="652"/>
      <c r="C25" s="322"/>
      <c r="D25" s="325"/>
      <c r="E25" s="322"/>
    </row>
    <row r="26" spans="2:6" ht="18" customHeight="1">
      <c r="B26" s="652"/>
      <c r="C26" s="322"/>
      <c r="D26" s="325"/>
      <c r="E26" s="322"/>
    </row>
    <row r="29" spans="2:6" ht="19.5" customHeight="1">
      <c r="B29" s="320"/>
      <c r="C29" s="320"/>
      <c r="D29" s="320"/>
      <c r="E29" s="320"/>
    </row>
    <row r="30" spans="2:6" ht="18" customHeight="1">
      <c r="B30" s="652"/>
      <c r="C30" s="322"/>
      <c r="D30" s="322"/>
      <c r="E30" s="322"/>
    </row>
    <row r="31" spans="2:6" ht="18" customHeight="1">
      <c r="B31" s="652"/>
      <c r="C31" s="322"/>
      <c r="D31" s="322"/>
      <c r="E31" s="322"/>
    </row>
    <row r="32" spans="2:6" ht="18" customHeight="1">
      <c r="B32" s="652"/>
      <c r="C32" s="322"/>
      <c r="D32" s="322"/>
      <c r="E32" s="322"/>
    </row>
    <row r="33" spans="2:5" ht="18" customHeight="1">
      <c r="B33" s="652"/>
      <c r="C33" s="322"/>
      <c r="D33" s="322"/>
      <c r="E33" s="322"/>
    </row>
    <row r="34" spans="2:5" ht="18" customHeight="1">
      <c r="B34" s="652"/>
      <c r="C34" s="325"/>
      <c r="D34" s="325"/>
      <c r="E34" s="325"/>
    </row>
    <row r="35" spans="2:5" ht="18" customHeight="1">
      <c r="B35" s="652"/>
      <c r="C35" s="325"/>
      <c r="D35" s="325"/>
      <c r="E35" s="325"/>
    </row>
  </sheetData>
  <mergeCells count="9">
    <mergeCell ref="B25:B26"/>
    <mergeCell ref="B30:B31"/>
    <mergeCell ref="B32:B33"/>
    <mergeCell ref="B34:B35"/>
    <mergeCell ref="B12:B13"/>
    <mergeCell ref="B14:B15"/>
    <mergeCell ref="B16:B17"/>
    <mergeCell ref="B21:B22"/>
    <mergeCell ref="B23:B24"/>
  </mergeCells>
  <phoneticPr fontId="60"/>
  <pageMargins left="0.7" right="0.7" top="0.75" bottom="0.75" header="0.511811023622047" footer="0.511811023622047"/>
  <pageSetup paperSize="9"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002060"/>
  </sheetPr>
  <dimension ref="A1:A22"/>
  <sheetViews>
    <sheetView showGridLines="0" zoomScaleNormal="100" workbookViewId="0">
      <selection activeCell="K16" sqref="K16"/>
    </sheetView>
  </sheetViews>
  <sheetFormatPr defaultColWidth="8.5" defaultRowHeight="18"/>
  <sheetData>
    <row r="1" spans="1:1" ht="18" customHeight="1">
      <c r="A1" s="6" t="s">
        <v>422</v>
      </c>
    </row>
    <row r="2" spans="1:1" ht="14.25" customHeight="1">
      <c r="A2" t="s">
        <v>423</v>
      </c>
    </row>
    <row r="3" spans="1:1" ht="14.25" customHeight="1">
      <c r="A3" t="s">
        <v>424</v>
      </c>
    </row>
    <row r="4" spans="1:1" ht="14.25" customHeight="1">
      <c r="A4" t="s">
        <v>425</v>
      </c>
    </row>
    <row r="5" spans="1:1" ht="14.25" customHeight="1">
      <c r="A5" t="s">
        <v>426</v>
      </c>
    </row>
    <row r="6" spans="1:1" ht="14.25" customHeight="1">
      <c r="A6" t="s">
        <v>427</v>
      </c>
    </row>
    <row r="7" spans="1:1" ht="14.25" customHeight="1">
      <c r="A7" t="s">
        <v>428</v>
      </c>
    </row>
    <row r="8" spans="1:1" ht="14.25" customHeight="1">
      <c r="A8" t="s">
        <v>429</v>
      </c>
    </row>
    <row r="9" spans="1:1" ht="14.25" customHeight="1">
      <c r="A9" t="s">
        <v>430</v>
      </c>
    </row>
    <row r="10" spans="1:1" ht="14.25" customHeight="1">
      <c r="A10" t="s">
        <v>431</v>
      </c>
    </row>
    <row r="11" spans="1:1" ht="14.25" customHeight="1">
      <c r="A11" t="s">
        <v>432</v>
      </c>
    </row>
    <row r="12" spans="1:1" ht="14.25" customHeight="1">
      <c r="A12" t="s">
        <v>433</v>
      </c>
    </row>
    <row r="14" spans="1:1" ht="14.25" customHeight="1">
      <c r="A14" s="6" t="s">
        <v>434</v>
      </c>
    </row>
    <row r="15" spans="1:1" ht="14.25" customHeight="1">
      <c r="A15" s="6" t="s">
        <v>435</v>
      </c>
    </row>
    <row r="16" spans="1:1" ht="14.25" customHeight="1">
      <c r="A16" s="6" t="s">
        <v>436</v>
      </c>
    </row>
    <row r="17" spans="1:1" ht="14.25" customHeight="1">
      <c r="A17" s="6" t="s">
        <v>437</v>
      </c>
    </row>
    <row r="18" spans="1:1" ht="14.25" customHeight="1">
      <c r="A18" s="6" t="s">
        <v>438</v>
      </c>
    </row>
    <row r="19" spans="1:1" ht="14.25" customHeight="1">
      <c r="A19" s="6" t="s">
        <v>439</v>
      </c>
    </row>
    <row r="20" spans="1:1" ht="14.25" customHeight="1">
      <c r="A20" s="6" t="s">
        <v>440</v>
      </c>
    </row>
    <row r="21" spans="1:1" ht="14.25" customHeight="1">
      <c r="A21" s="6" t="s">
        <v>441</v>
      </c>
    </row>
    <row r="22" spans="1:1" ht="14.25" customHeight="1">
      <c r="A22" s="6" t="s">
        <v>442</v>
      </c>
    </row>
  </sheetData>
  <phoneticPr fontId="60"/>
  <pageMargins left="0.7" right="0.7" top="0.75" bottom="0.75" header="0.511811023622047" footer="0.511811023622047"/>
  <pageSetup paperSize="9"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B1:DL29"/>
  <sheetViews>
    <sheetView showGridLines="0" zoomScaleNormal="100" workbookViewId="0">
      <pane xSplit="3" topLeftCell="D1" activePane="topRight" state="frozen"/>
      <selection pane="topRight" activeCell="S25" sqref="S25"/>
    </sheetView>
  </sheetViews>
  <sheetFormatPr defaultColWidth="8.75" defaultRowHeight="18"/>
  <cols>
    <col min="1" max="1" width="6.1640625" style="326" customWidth="1"/>
    <col min="2" max="2" width="5.4140625" style="327" customWidth="1"/>
    <col min="3" max="3" width="25.25" style="327" customWidth="1"/>
    <col min="4" max="113" width="3.1640625" style="328" customWidth="1"/>
    <col min="114" max="114" width="3.1640625" style="326" customWidth="1"/>
    <col min="115" max="115" width="5.25" style="326" customWidth="1"/>
    <col min="116" max="16384" width="8.75" style="326"/>
  </cols>
  <sheetData>
    <row r="1" spans="2:113" ht="19.5" customHeight="1">
      <c r="D1" s="329"/>
      <c r="E1" s="329"/>
      <c r="F1" s="329"/>
      <c r="G1" s="329"/>
      <c r="H1" s="329"/>
      <c r="I1" s="329"/>
      <c r="J1" s="329"/>
      <c r="K1" s="329"/>
      <c r="L1" s="329"/>
      <c r="M1" s="329"/>
      <c r="N1" s="329"/>
      <c r="O1" s="329"/>
      <c r="P1" s="329"/>
      <c r="Q1" s="329"/>
      <c r="R1" s="329"/>
      <c r="S1" s="329"/>
      <c r="T1" s="329"/>
      <c r="U1" s="329"/>
      <c r="V1" s="329"/>
      <c r="W1" s="329"/>
      <c r="X1" s="329"/>
      <c r="Y1" s="329"/>
      <c r="Z1" s="329"/>
      <c r="AA1" s="329"/>
      <c r="AB1" s="329"/>
      <c r="AC1" s="329"/>
      <c r="AD1" s="329"/>
      <c r="AE1" s="329"/>
      <c r="AF1" s="329"/>
      <c r="AG1" s="329"/>
      <c r="AH1" s="329"/>
      <c r="AI1" s="329"/>
      <c r="AJ1" s="329"/>
      <c r="AK1" s="329"/>
      <c r="AL1" s="329"/>
      <c r="AM1" s="329"/>
      <c r="AN1" s="329"/>
      <c r="AO1" s="329"/>
      <c r="AP1" s="329"/>
      <c r="AQ1" s="329"/>
      <c r="AR1" s="329"/>
      <c r="AS1" s="329"/>
      <c r="AT1" s="329"/>
      <c r="AU1" s="329"/>
      <c r="AV1" s="329"/>
      <c r="AW1" s="329"/>
      <c r="AX1" s="329"/>
      <c r="AY1" s="329"/>
      <c r="AZ1" s="329"/>
      <c r="BA1" s="329"/>
      <c r="BB1" s="329"/>
      <c r="BC1" s="329"/>
      <c r="BD1" s="329"/>
      <c r="BE1" s="329"/>
      <c r="BF1" s="329"/>
      <c r="BG1" s="329"/>
      <c r="BH1" s="329"/>
      <c r="BI1" s="329"/>
      <c r="BJ1" s="329"/>
      <c r="BK1" s="329"/>
      <c r="BL1" s="329"/>
      <c r="BM1" s="329"/>
      <c r="BN1" s="329"/>
      <c r="BO1" s="329"/>
      <c r="BP1" s="329"/>
      <c r="BQ1" s="329"/>
      <c r="BR1" s="329"/>
      <c r="BS1" s="329"/>
      <c r="BT1" s="329"/>
      <c r="BU1" s="329"/>
      <c r="BV1" s="329"/>
      <c r="BW1" s="329"/>
      <c r="BX1" s="329"/>
      <c r="BY1" s="329"/>
      <c r="BZ1" s="329"/>
      <c r="CA1" s="329"/>
      <c r="CB1" s="329"/>
      <c r="CC1" s="329"/>
      <c r="CD1" s="329"/>
      <c r="CE1" s="329"/>
      <c r="CF1" s="329"/>
      <c r="CG1" s="329"/>
      <c r="CH1" s="329"/>
      <c r="CI1" s="329"/>
      <c r="CJ1" s="329"/>
      <c r="CK1" s="329"/>
      <c r="CL1" s="329"/>
      <c r="CM1" s="329"/>
      <c r="CN1" s="329"/>
      <c r="CO1" s="329"/>
      <c r="CP1" s="329"/>
      <c r="CQ1" s="329"/>
      <c r="CR1" s="329"/>
      <c r="CS1" s="329"/>
      <c r="CT1" s="329"/>
      <c r="CU1" s="329"/>
      <c r="CV1" s="329"/>
      <c r="CW1" s="329"/>
      <c r="CX1" s="329"/>
      <c r="CY1" s="329"/>
      <c r="CZ1" s="329"/>
      <c r="DA1" s="329"/>
      <c r="DB1" s="329"/>
      <c r="DC1" s="329"/>
      <c r="DD1" s="329"/>
      <c r="DE1" s="329"/>
      <c r="DF1" s="329"/>
      <c r="DG1" s="329"/>
      <c r="DH1" s="329"/>
      <c r="DI1" s="329"/>
    </row>
    <row r="2" spans="2:113" ht="6.75" customHeight="1"/>
    <row r="3" spans="2:113" ht="18.75" customHeight="1">
      <c r="B3" s="655" t="s">
        <v>443</v>
      </c>
      <c r="C3" s="655"/>
      <c r="D3" s="655" t="s">
        <v>444</v>
      </c>
      <c r="E3" s="655"/>
      <c r="F3" s="655"/>
      <c r="G3" s="655"/>
      <c r="H3" s="655"/>
      <c r="I3" s="655"/>
      <c r="J3" s="655"/>
      <c r="K3" s="655"/>
      <c r="L3" s="655"/>
      <c r="M3" s="655"/>
      <c r="N3" s="655"/>
      <c r="O3" s="655"/>
      <c r="P3" s="655"/>
      <c r="Q3" s="655"/>
      <c r="R3" s="655"/>
      <c r="S3" s="655"/>
      <c r="T3" s="655"/>
      <c r="U3" s="655" t="s">
        <v>445</v>
      </c>
      <c r="V3" s="655"/>
      <c r="W3" s="655"/>
      <c r="X3" s="655"/>
      <c r="Y3" s="655"/>
      <c r="Z3" s="655"/>
      <c r="AA3" s="655"/>
      <c r="AB3" s="655"/>
      <c r="AC3" s="655"/>
      <c r="AD3" s="655"/>
      <c r="AE3" s="655"/>
      <c r="AF3" s="655"/>
      <c r="AG3" s="655"/>
      <c r="AH3" s="655"/>
      <c r="AI3" s="655"/>
      <c r="AJ3" s="655"/>
      <c r="AK3" s="655"/>
      <c r="AL3" s="655"/>
      <c r="AM3" s="655"/>
      <c r="AN3" s="655"/>
      <c r="AO3" s="655"/>
      <c r="AP3" s="655"/>
      <c r="AQ3" s="655"/>
      <c r="AR3" s="655"/>
      <c r="AS3" s="655"/>
      <c r="AT3" s="655"/>
      <c r="AU3" s="655"/>
      <c r="AV3" s="655"/>
      <c r="AW3" s="655"/>
      <c r="AX3" s="655"/>
      <c r="AY3" s="655"/>
      <c r="AZ3" s="655" t="s">
        <v>446</v>
      </c>
      <c r="BA3" s="655"/>
      <c r="BB3" s="655"/>
      <c r="BC3" s="655"/>
      <c r="BD3" s="655"/>
      <c r="BE3" s="655"/>
      <c r="BF3" s="655"/>
      <c r="BG3" s="655"/>
      <c r="BH3" s="655"/>
      <c r="BI3" s="655"/>
      <c r="BJ3" s="655"/>
      <c r="BK3" s="655"/>
      <c r="BL3" s="655"/>
      <c r="BM3" s="655"/>
      <c r="BN3" s="655"/>
      <c r="BO3" s="655"/>
      <c r="BP3" s="655"/>
      <c r="BQ3" s="655"/>
      <c r="BR3" s="655"/>
      <c r="BS3" s="655"/>
      <c r="BT3" s="655"/>
      <c r="BU3" s="655"/>
      <c r="BV3" s="655"/>
      <c r="BW3" s="655"/>
      <c r="BX3" s="655"/>
      <c r="BY3" s="655"/>
      <c r="BZ3" s="655"/>
      <c r="CA3" s="655"/>
      <c r="CB3" s="655"/>
      <c r="CC3" s="655"/>
      <c r="CD3" s="655"/>
      <c r="CE3" s="655" t="s">
        <v>447</v>
      </c>
      <c r="CF3" s="655"/>
      <c r="CG3" s="655"/>
      <c r="CH3" s="655"/>
      <c r="CI3" s="655"/>
      <c r="CJ3" s="655"/>
      <c r="CK3" s="655"/>
      <c r="CL3" s="655"/>
      <c r="CM3" s="655"/>
      <c r="CN3" s="655"/>
      <c r="CO3" s="655"/>
      <c r="CP3" s="655"/>
      <c r="CQ3" s="655"/>
      <c r="CR3" s="655"/>
      <c r="CS3" s="655"/>
      <c r="CT3" s="655"/>
      <c r="CU3" s="655"/>
      <c r="CV3" s="655"/>
      <c r="CW3" s="655"/>
      <c r="CX3" s="655"/>
      <c r="CY3" s="655"/>
      <c r="CZ3" s="655"/>
      <c r="DA3" s="655"/>
      <c r="DB3" s="655"/>
      <c r="DC3" s="655"/>
      <c r="DD3" s="655"/>
      <c r="DE3" s="655"/>
      <c r="DF3" s="655"/>
      <c r="DG3" s="655"/>
      <c r="DH3" s="655"/>
      <c r="DI3" s="655"/>
    </row>
    <row r="4" spans="2:113" ht="18.75" customHeight="1">
      <c r="B4" s="655"/>
      <c r="C4" s="655"/>
      <c r="D4" s="330">
        <v>12</v>
      </c>
      <c r="E4" s="331">
        <v>13</v>
      </c>
      <c r="F4" s="332">
        <v>14</v>
      </c>
      <c r="G4" s="330">
        <v>15</v>
      </c>
      <c r="H4" s="330">
        <v>16</v>
      </c>
      <c r="I4" s="330">
        <v>17</v>
      </c>
      <c r="J4" s="330">
        <v>18</v>
      </c>
      <c r="K4" s="330">
        <v>19</v>
      </c>
      <c r="L4" s="330">
        <v>20</v>
      </c>
      <c r="M4" s="330">
        <v>21</v>
      </c>
      <c r="N4" s="330">
        <v>22</v>
      </c>
      <c r="O4" s="330">
        <v>23</v>
      </c>
      <c r="P4" s="330">
        <v>24</v>
      </c>
      <c r="Q4" s="330">
        <v>25</v>
      </c>
      <c r="R4" s="330">
        <v>26</v>
      </c>
      <c r="S4" s="330">
        <v>27</v>
      </c>
      <c r="T4" s="330">
        <v>28</v>
      </c>
      <c r="U4" s="330">
        <v>1</v>
      </c>
      <c r="V4" s="330">
        <v>2</v>
      </c>
      <c r="W4" s="330">
        <v>3</v>
      </c>
      <c r="X4" s="330">
        <v>4</v>
      </c>
      <c r="Y4" s="330">
        <v>5</v>
      </c>
      <c r="Z4" s="330">
        <v>6</v>
      </c>
      <c r="AA4" s="330">
        <v>7</v>
      </c>
      <c r="AB4" s="330">
        <v>8</v>
      </c>
      <c r="AC4" s="330">
        <v>9</v>
      </c>
      <c r="AD4" s="330">
        <v>10</v>
      </c>
      <c r="AE4" s="330">
        <v>11</v>
      </c>
      <c r="AF4" s="330">
        <v>12</v>
      </c>
      <c r="AG4" s="330">
        <v>13</v>
      </c>
      <c r="AH4" s="330">
        <v>14</v>
      </c>
      <c r="AI4" s="330">
        <v>15</v>
      </c>
      <c r="AJ4" s="330">
        <v>16</v>
      </c>
      <c r="AK4" s="330">
        <v>17</v>
      </c>
      <c r="AL4" s="330">
        <v>18</v>
      </c>
      <c r="AM4" s="330">
        <v>19</v>
      </c>
      <c r="AN4" s="330">
        <v>20</v>
      </c>
      <c r="AO4" s="330">
        <v>21</v>
      </c>
      <c r="AP4" s="330">
        <v>22</v>
      </c>
      <c r="AQ4" s="330">
        <v>23</v>
      </c>
      <c r="AR4" s="330">
        <v>24</v>
      </c>
      <c r="AS4" s="330">
        <v>25</v>
      </c>
      <c r="AT4" s="330">
        <v>26</v>
      </c>
      <c r="AU4" s="330">
        <v>27</v>
      </c>
      <c r="AV4" s="330">
        <v>28</v>
      </c>
      <c r="AW4" s="330">
        <v>29</v>
      </c>
      <c r="AX4" s="330">
        <v>30</v>
      </c>
      <c r="AY4" s="330">
        <v>31</v>
      </c>
      <c r="AZ4" s="330">
        <v>1</v>
      </c>
      <c r="BA4" s="330">
        <v>2</v>
      </c>
      <c r="BB4" s="330">
        <v>3</v>
      </c>
      <c r="BC4" s="330">
        <v>4</v>
      </c>
      <c r="BD4" s="330">
        <v>5</v>
      </c>
      <c r="BE4" s="330">
        <v>6</v>
      </c>
      <c r="BF4" s="330">
        <v>7</v>
      </c>
      <c r="BG4" s="330">
        <v>8</v>
      </c>
      <c r="BH4" s="330">
        <v>9</v>
      </c>
      <c r="BI4" s="330">
        <v>10</v>
      </c>
      <c r="BJ4" s="330">
        <v>11</v>
      </c>
      <c r="BK4" s="330">
        <v>12</v>
      </c>
      <c r="BL4" s="330">
        <v>13</v>
      </c>
      <c r="BM4" s="330">
        <v>14</v>
      </c>
      <c r="BN4" s="330">
        <v>15</v>
      </c>
      <c r="BO4" s="330">
        <v>16</v>
      </c>
      <c r="BP4" s="330">
        <v>17</v>
      </c>
      <c r="BQ4" s="330">
        <v>18</v>
      </c>
      <c r="BR4" s="330">
        <v>19</v>
      </c>
      <c r="BS4" s="330">
        <v>20</v>
      </c>
      <c r="BT4" s="330">
        <v>21</v>
      </c>
      <c r="BU4" s="330">
        <v>22</v>
      </c>
      <c r="BV4" s="330">
        <v>23</v>
      </c>
      <c r="BW4" s="330">
        <v>24</v>
      </c>
      <c r="BX4" s="330">
        <v>25</v>
      </c>
      <c r="BY4" s="330">
        <v>26</v>
      </c>
      <c r="BZ4" s="330">
        <v>27</v>
      </c>
      <c r="CA4" s="330">
        <v>28</v>
      </c>
      <c r="CB4" s="330">
        <v>29</v>
      </c>
      <c r="CC4" s="330">
        <v>30</v>
      </c>
      <c r="CD4" s="330">
        <v>31</v>
      </c>
      <c r="CE4" s="330">
        <v>1</v>
      </c>
      <c r="CF4" s="330">
        <v>2</v>
      </c>
      <c r="CG4" s="330">
        <v>3</v>
      </c>
      <c r="CH4" s="330">
        <v>4</v>
      </c>
      <c r="CI4" s="330">
        <v>5</v>
      </c>
      <c r="CJ4" s="330">
        <v>6</v>
      </c>
      <c r="CK4" s="330">
        <v>7</v>
      </c>
      <c r="CL4" s="330">
        <v>8</v>
      </c>
      <c r="CM4" s="330">
        <v>9</v>
      </c>
      <c r="CN4" s="330">
        <v>10</v>
      </c>
      <c r="CO4" s="330">
        <v>11</v>
      </c>
      <c r="CP4" s="330">
        <v>12</v>
      </c>
      <c r="CQ4" s="330">
        <v>13</v>
      </c>
      <c r="CR4" s="330">
        <v>14</v>
      </c>
      <c r="CS4" s="330">
        <v>15</v>
      </c>
      <c r="CT4" s="330">
        <v>16</v>
      </c>
      <c r="CU4" s="330">
        <v>17</v>
      </c>
      <c r="CV4" s="330">
        <v>18</v>
      </c>
      <c r="CW4" s="330">
        <v>19</v>
      </c>
      <c r="CX4" s="330">
        <v>20</v>
      </c>
      <c r="CY4" s="330">
        <v>21</v>
      </c>
      <c r="CZ4" s="330">
        <v>22</v>
      </c>
      <c r="DA4" s="330">
        <v>23</v>
      </c>
      <c r="DB4" s="330">
        <v>24</v>
      </c>
      <c r="DC4" s="330">
        <v>25</v>
      </c>
      <c r="DD4" s="330">
        <v>26</v>
      </c>
      <c r="DE4" s="330">
        <v>27</v>
      </c>
      <c r="DF4" s="330">
        <v>28</v>
      </c>
      <c r="DG4" s="330">
        <v>29</v>
      </c>
      <c r="DH4" s="330">
        <v>30</v>
      </c>
      <c r="DI4" s="330">
        <v>31</v>
      </c>
    </row>
    <row r="5" spans="2:113" ht="18.75" customHeight="1">
      <c r="B5" s="653" t="s">
        <v>448</v>
      </c>
      <c r="C5" s="333" t="s">
        <v>449</v>
      </c>
      <c r="D5" s="334"/>
      <c r="E5" s="335"/>
      <c r="F5" s="335"/>
      <c r="G5" s="335"/>
      <c r="H5" s="335"/>
      <c r="I5" s="335"/>
      <c r="J5" s="335"/>
      <c r="K5" s="335"/>
      <c r="L5" s="335"/>
      <c r="M5" s="335"/>
      <c r="N5" s="335"/>
      <c r="O5" s="335"/>
      <c r="P5" s="335"/>
      <c r="Q5" s="335"/>
      <c r="R5" s="335"/>
      <c r="S5" s="335"/>
      <c r="T5" s="335"/>
      <c r="U5" s="335"/>
      <c r="V5" s="335"/>
      <c r="W5" s="335"/>
      <c r="X5" s="335"/>
      <c r="Y5" s="335"/>
      <c r="Z5" s="335"/>
      <c r="AA5" s="335"/>
      <c r="AB5" s="335"/>
      <c r="AC5" s="335"/>
      <c r="AD5" s="335"/>
      <c r="AE5" s="335"/>
      <c r="AF5" s="335"/>
      <c r="AG5" s="335"/>
      <c r="AH5" s="335"/>
      <c r="AI5" s="335"/>
      <c r="AJ5" s="335"/>
      <c r="AK5" s="335"/>
      <c r="AL5" s="335"/>
      <c r="AM5" s="335"/>
      <c r="AN5" s="335"/>
      <c r="AO5" s="335"/>
      <c r="AP5" s="335"/>
      <c r="AQ5" s="335"/>
      <c r="AR5" s="335"/>
      <c r="AS5" s="335"/>
      <c r="AT5" s="335"/>
      <c r="AU5" s="335"/>
      <c r="AV5" s="335"/>
      <c r="AW5" s="335"/>
      <c r="AX5" s="335"/>
      <c r="AY5" s="335"/>
      <c r="AZ5" s="335"/>
      <c r="BA5" s="335"/>
      <c r="BB5" s="335"/>
      <c r="BC5" s="335"/>
      <c r="BD5" s="335"/>
      <c r="BE5" s="335"/>
      <c r="BF5" s="335"/>
      <c r="BG5" s="335"/>
      <c r="BH5" s="335"/>
      <c r="BI5" s="335"/>
      <c r="BJ5" s="335"/>
      <c r="BK5" s="335"/>
      <c r="BL5" s="335"/>
      <c r="BM5" s="335"/>
      <c r="BN5" s="335"/>
      <c r="BO5" s="335"/>
      <c r="BP5" s="335"/>
      <c r="BQ5" s="335"/>
      <c r="BR5" s="335"/>
      <c r="BS5" s="335"/>
      <c r="BT5" s="335"/>
      <c r="BU5" s="335"/>
      <c r="BV5" s="335"/>
      <c r="BW5" s="335"/>
      <c r="BX5" s="335"/>
      <c r="BY5" s="335"/>
      <c r="BZ5" s="335"/>
      <c r="CA5" s="335"/>
      <c r="CB5" s="335"/>
      <c r="CC5" s="335"/>
      <c r="CD5" s="335"/>
      <c r="CE5" s="335"/>
      <c r="CF5" s="335"/>
      <c r="CG5" s="335"/>
      <c r="CH5" s="335"/>
      <c r="CI5" s="335"/>
      <c r="CJ5" s="335"/>
      <c r="CK5" s="335"/>
      <c r="CL5" s="335"/>
      <c r="CM5" s="335"/>
      <c r="CN5" s="335"/>
      <c r="CO5" s="335"/>
      <c r="CP5" s="335"/>
      <c r="CQ5" s="335"/>
      <c r="CR5" s="335"/>
      <c r="CS5" s="335"/>
      <c r="CT5" s="335"/>
      <c r="CU5" s="335"/>
      <c r="CV5" s="335"/>
      <c r="CW5" s="335"/>
      <c r="CX5" s="335"/>
      <c r="CY5" s="335"/>
      <c r="CZ5" s="335"/>
      <c r="DA5" s="335"/>
      <c r="DB5" s="335"/>
      <c r="DC5" s="335"/>
      <c r="DD5" s="335"/>
      <c r="DE5" s="335"/>
      <c r="DF5" s="335"/>
      <c r="DG5" s="335"/>
      <c r="DH5" s="335"/>
      <c r="DI5" s="335"/>
    </row>
    <row r="6" spans="2:113" ht="18.75" customHeight="1">
      <c r="B6" s="653"/>
      <c r="C6" s="333" t="s">
        <v>450</v>
      </c>
      <c r="D6" s="335"/>
      <c r="E6" s="334"/>
      <c r="F6" s="334"/>
      <c r="G6" s="335"/>
      <c r="H6" s="335"/>
      <c r="I6" s="335"/>
      <c r="J6" s="335"/>
      <c r="K6" s="335"/>
      <c r="L6" s="335"/>
      <c r="M6" s="335"/>
      <c r="N6" s="335"/>
      <c r="O6" s="335"/>
      <c r="P6" s="335"/>
      <c r="Q6" s="335"/>
      <c r="R6" s="335"/>
      <c r="S6" s="335"/>
      <c r="T6" s="335"/>
      <c r="U6" s="335"/>
      <c r="V6" s="335"/>
      <c r="W6" s="335"/>
      <c r="X6" s="335"/>
      <c r="Y6" s="335"/>
      <c r="Z6" s="335"/>
      <c r="AA6" s="335"/>
      <c r="AB6" s="335"/>
      <c r="AC6" s="335"/>
      <c r="AD6" s="335"/>
      <c r="AE6" s="335"/>
      <c r="AF6" s="335"/>
      <c r="AG6" s="335"/>
      <c r="AH6" s="335"/>
      <c r="AI6" s="335"/>
      <c r="AJ6" s="335"/>
      <c r="AK6" s="335"/>
      <c r="AL6" s="335"/>
      <c r="AM6" s="335"/>
      <c r="AN6" s="335"/>
      <c r="AO6" s="335"/>
      <c r="AP6" s="335"/>
      <c r="AQ6" s="335"/>
      <c r="AR6" s="335"/>
      <c r="AS6" s="335"/>
      <c r="AT6" s="335"/>
      <c r="AU6" s="335"/>
      <c r="AV6" s="335"/>
      <c r="AW6" s="335"/>
      <c r="AX6" s="335"/>
      <c r="AY6" s="335"/>
      <c r="AZ6" s="335"/>
      <c r="BA6" s="335"/>
      <c r="BB6" s="335"/>
      <c r="BC6" s="335"/>
      <c r="BD6" s="335"/>
      <c r="BE6" s="335"/>
      <c r="BF6" s="335"/>
      <c r="BG6" s="335"/>
      <c r="BH6" s="335"/>
      <c r="BI6" s="335"/>
      <c r="BJ6" s="335"/>
      <c r="BK6" s="335"/>
      <c r="BL6" s="335"/>
      <c r="BM6" s="335"/>
      <c r="BN6" s="335"/>
      <c r="BO6" s="335"/>
      <c r="BP6" s="335"/>
      <c r="BQ6" s="335"/>
      <c r="BR6" s="335"/>
      <c r="BS6" s="335"/>
      <c r="BT6" s="335"/>
      <c r="BU6" s="335"/>
      <c r="BV6" s="335"/>
      <c r="BW6" s="335"/>
      <c r="BX6" s="335"/>
      <c r="BY6" s="335"/>
      <c r="BZ6" s="335"/>
      <c r="CA6" s="335"/>
      <c r="CB6" s="335"/>
      <c r="CC6" s="335"/>
      <c r="CD6" s="335"/>
      <c r="CE6" s="335"/>
      <c r="CF6" s="335"/>
      <c r="CG6" s="335"/>
      <c r="CH6" s="335"/>
      <c r="CI6" s="335"/>
      <c r="CJ6" s="335"/>
      <c r="CK6" s="335"/>
      <c r="CL6" s="335"/>
      <c r="CM6" s="335"/>
      <c r="CN6" s="335"/>
      <c r="CO6" s="335"/>
      <c r="CP6" s="335"/>
      <c r="CQ6" s="335"/>
      <c r="CR6" s="335"/>
      <c r="CS6" s="335"/>
      <c r="CT6" s="335"/>
      <c r="CU6" s="335"/>
      <c r="CV6" s="335"/>
      <c r="CW6" s="335"/>
      <c r="CX6" s="335"/>
      <c r="CY6" s="335"/>
      <c r="CZ6" s="335"/>
      <c r="DA6" s="335"/>
      <c r="DB6" s="335"/>
      <c r="DC6" s="335"/>
      <c r="DD6" s="335"/>
      <c r="DE6" s="335"/>
      <c r="DF6" s="335"/>
      <c r="DG6" s="335"/>
      <c r="DH6" s="335"/>
      <c r="DI6" s="335"/>
    </row>
    <row r="7" spans="2:113" ht="18.75" customHeight="1">
      <c r="B7" s="653"/>
      <c r="C7" s="333" t="s">
        <v>451</v>
      </c>
      <c r="D7" s="335"/>
      <c r="E7" s="335"/>
      <c r="F7" s="335"/>
      <c r="G7" s="334"/>
      <c r="H7" s="335"/>
      <c r="I7" s="335"/>
      <c r="J7" s="335"/>
      <c r="K7" s="335"/>
      <c r="L7" s="335"/>
      <c r="M7" s="335"/>
      <c r="N7" s="335"/>
      <c r="O7" s="335"/>
      <c r="P7" s="335"/>
      <c r="Q7" s="335"/>
      <c r="R7" s="335"/>
      <c r="S7" s="335"/>
      <c r="T7" s="335"/>
      <c r="U7" s="335"/>
      <c r="V7" s="335"/>
      <c r="W7" s="335"/>
      <c r="X7" s="335"/>
      <c r="Y7" s="335"/>
      <c r="Z7" s="335"/>
      <c r="AA7" s="335"/>
      <c r="AB7" s="335"/>
      <c r="AC7" s="335"/>
      <c r="AD7" s="335"/>
      <c r="AE7" s="335"/>
      <c r="AF7" s="335"/>
      <c r="AG7" s="335"/>
      <c r="AH7" s="335"/>
      <c r="AI7" s="335"/>
      <c r="AJ7" s="335"/>
      <c r="AK7" s="335"/>
      <c r="AL7" s="335"/>
      <c r="AM7" s="335"/>
      <c r="AN7" s="335"/>
      <c r="AO7" s="335"/>
      <c r="AP7" s="335"/>
      <c r="AQ7" s="335"/>
      <c r="AR7" s="335"/>
      <c r="AS7" s="335"/>
      <c r="AT7" s="335"/>
      <c r="AU7" s="335"/>
      <c r="AV7" s="335"/>
      <c r="AW7" s="335"/>
      <c r="AX7" s="335"/>
      <c r="AY7" s="335"/>
      <c r="AZ7" s="335"/>
      <c r="BA7" s="335"/>
      <c r="BB7" s="335"/>
      <c r="BC7" s="335"/>
      <c r="BD7" s="335"/>
      <c r="BE7" s="335"/>
      <c r="BF7" s="335"/>
      <c r="BG7" s="335"/>
      <c r="BH7" s="335"/>
      <c r="BI7" s="335"/>
      <c r="BJ7" s="335"/>
      <c r="BK7" s="335"/>
      <c r="BL7" s="335"/>
      <c r="BM7" s="335"/>
      <c r="BN7" s="335"/>
      <c r="BO7" s="335"/>
      <c r="BP7" s="335"/>
      <c r="BQ7" s="335"/>
      <c r="BR7" s="335"/>
      <c r="BS7" s="335"/>
      <c r="BT7" s="335"/>
      <c r="BU7" s="335"/>
      <c r="BV7" s="335"/>
      <c r="BW7" s="335"/>
      <c r="BX7" s="335"/>
      <c r="BY7" s="335"/>
      <c r="BZ7" s="335"/>
      <c r="CA7" s="335"/>
      <c r="CB7" s="335"/>
      <c r="CC7" s="335"/>
      <c r="CD7" s="335"/>
      <c r="CE7" s="335"/>
      <c r="CF7" s="335"/>
      <c r="CG7" s="335"/>
      <c r="CH7" s="335"/>
      <c r="CI7" s="335"/>
      <c r="CJ7" s="335"/>
      <c r="CK7" s="335"/>
      <c r="CL7" s="335"/>
      <c r="CM7" s="335"/>
      <c r="CN7" s="335"/>
      <c r="CO7" s="335"/>
      <c r="CP7" s="335"/>
      <c r="CQ7" s="335"/>
      <c r="CR7" s="335"/>
      <c r="CS7" s="335"/>
      <c r="CT7" s="335"/>
      <c r="CU7" s="335"/>
      <c r="CV7" s="335"/>
      <c r="CW7" s="335"/>
      <c r="CX7" s="335"/>
      <c r="CY7" s="335"/>
      <c r="CZ7" s="335"/>
      <c r="DA7" s="335"/>
      <c r="DB7" s="335"/>
      <c r="DC7" s="335"/>
      <c r="DD7" s="335"/>
      <c r="DE7" s="335"/>
      <c r="DF7" s="335"/>
      <c r="DG7" s="335"/>
      <c r="DH7" s="335"/>
      <c r="DI7" s="335"/>
    </row>
    <row r="8" spans="2:113" ht="18.75" customHeight="1">
      <c r="B8" s="653"/>
      <c r="C8" s="333" t="s">
        <v>452</v>
      </c>
      <c r="D8" s="335"/>
      <c r="E8" s="335"/>
      <c r="F8" s="335"/>
      <c r="G8" s="334"/>
      <c r="H8" s="335"/>
      <c r="I8" s="335"/>
      <c r="J8" s="335"/>
      <c r="K8" s="335"/>
      <c r="L8" s="335"/>
      <c r="M8" s="335"/>
      <c r="N8" s="335"/>
      <c r="O8" s="335"/>
      <c r="P8" s="335"/>
      <c r="Q8" s="335"/>
      <c r="R8" s="335"/>
      <c r="S8" s="335"/>
      <c r="T8" s="335"/>
      <c r="U8" s="336"/>
      <c r="V8" s="336"/>
      <c r="W8" s="336"/>
      <c r="X8" s="336"/>
      <c r="Y8" s="336"/>
      <c r="Z8" s="336"/>
      <c r="AA8" s="336"/>
      <c r="AB8" s="336"/>
      <c r="AC8" s="336"/>
      <c r="AD8" s="336"/>
      <c r="AE8" s="336"/>
      <c r="AF8" s="336"/>
      <c r="AG8" s="336"/>
      <c r="AH8" s="336"/>
      <c r="AI8" s="336"/>
      <c r="AJ8" s="336"/>
      <c r="AK8" s="336"/>
      <c r="AL8" s="336"/>
      <c r="AM8" s="336"/>
      <c r="AN8" s="336"/>
      <c r="AO8" s="336"/>
      <c r="AP8" s="336"/>
      <c r="AQ8" s="336"/>
      <c r="AR8" s="336"/>
      <c r="AS8" s="336"/>
      <c r="AT8" s="336"/>
      <c r="AU8" s="336"/>
      <c r="AV8" s="336"/>
      <c r="AW8" s="336"/>
      <c r="AX8" s="336"/>
      <c r="AY8" s="335"/>
      <c r="AZ8" s="336"/>
      <c r="BA8" s="336"/>
      <c r="BB8" s="336"/>
      <c r="BC8" s="336"/>
      <c r="BD8" s="336"/>
      <c r="BE8" s="336"/>
      <c r="BF8" s="336"/>
      <c r="BG8" s="336"/>
      <c r="BH8" s="336"/>
      <c r="BI8" s="336"/>
      <c r="BJ8" s="336"/>
      <c r="BK8" s="336"/>
      <c r="BL8" s="336"/>
      <c r="BM8" s="336"/>
      <c r="BN8" s="336"/>
      <c r="BO8" s="336"/>
      <c r="BP8" s="336"/>
      <c r="BQ8" s="336"/>
      <c r="BR8" s="336"/>
      <c r="BS8" s="336"/>
      <c r="BT8" s="336"/>
      <c r="BU8" s="336"/>
      <c r="BV8" s="336"/>
      <c r="BW8" s="336"/>
      <c r="BX8" s="336"/>
      <c r="BY8" s="336"/>
      <c r="BZ8" s="336"/>
      <c r="CA8" s="336"/>
      <c r="CB8" s="336"/>
      <c r="CC8" s="336"/>
      <c r="CD8" s="335"/>
      <c r="CE8" s="336"/>
      <c r="CF8" s="336"/>
      <c r="CG8" s="336"/>
      <c r="CH8" s="336"/>
      <c r="CI8" s="336"/>
      <c r="CJ8" s="336"/>
      <c r="CK8" s="336"/>
      <c r="CL8" s="336"/>
      <c r="CM8" s="336"/>
      <c r="CN8" s="336"/>
      <c r="CO8" s="336"/>
      <c r="CP8" s="336"/>
      <c r="CQ8" s="336"/>
      <c r="CR8" s="336"/>
      <c r="CS8" s="336"/>
      <c r="CT8" s="336"/>
      <c r="CU8" s="336"/>
      <c r="CV8" s="336"/>
      <c r="CW8" s="336"/>
      <c r="CX8" s="336"/>
      <c r="CY8" s="336"/>
      <c r="CZ8" s="336"/>
      <c r="DA8" s="336"/>
      <c r="DB8" s="336"/>
      <c r="DC8" s="336"/>
      <c r="DD8" s="336"/>
      <c r="DE8" s="336"/>
      <c r="DF8" s="336"/>
      <c r="DG8" s="336"/>
      <c r="DH8" s="336"/>
      <c r="DI8" s="335"/>
    </row>
    <row r="9" spans="2:113" ht="18.75" customHeight="1">
      <c r="B9" s="654" t="s">
        <v>453</v>
      </c>
      <c r="C9" s="333" t="s">
        <v>454</v>
      </c>
      <c r="D9" s="335"/>
      <c r="E9" s="335"/>
      <c r="F9" s="335"/>
      <c r="G9" s="335"/>
      <c r="H9" s="334"/>
      <c r="I9" s="335"/>
      <c r="J9" s="335"/>
      <c r="K9" s="335"/>
      <c r="L9" s="335"/>
      <c r="M9" s="335"/>
      <c r="N9" s="335"/>
      <c r="O9" s="335"/>
      <c r="P9" s="335"/>
      <c r="Q9" s="335"/>
      <c r="R9" s="335"/>
      <c r="S9" s="335"/>
      <c r="T9" s="335"/>
      <c r="U9" s="335"/>
      <c r="V9" s="335"/>
      <c r="W9" s="335"/>
      <c r="X9" s="335"/>
      <c r="Y9" s="335"/>
      <c r="Z9" s="335"/>
      <c r="AA9" s="335"/>
      <c r="AB9" s="335"/>
      <c r="AC9" s="335"/>
      <c r="AD9" s="335"/>
      <c r="AE9" s="335"/>
      <c r="AF9" s="335"/>
      <c r="AG9" s="335"/>
      <c r="AH9" s="335"/>
      <c r="AI9" s="335"/>
      <c r="AJ9" s="335"/>
      <c r="AK9" s="335"/>
      <c r="AL9" s="335"/>
      <c r="AM9" s="335"/>
      <c r="AN9" s="335"/>
      <c r="AO9" s="335"/>
      <c r="AP9" s="335"/>
      <c r="AQ9" s="335"/>
      <c r="AR9" s="335"/>
      <c r="AS9" s="335"/>
      <c r="AT9" s="335"/>
      <c r="AU9" s="335"/>
      <c r="AV9" s="335"/>
      <c r="AW9" s="335"/>
      <c r="AX9" s="335"/>
      <c r="AY9" s="335"/>
      <c r="AZ9" s="335"/>
      <c r="BA9" s="335"/>
      <c r="BB9" s="335"/>
      <c r="BC9" s="335"/>
      <c r="BD9" s="335"/>
      <c r="BE9" s="335"/>
      <c r="BF9" s="335"/>
      <c r="BG9" s="335"/>
      <c r="BH9" s="335"/>
      <c r="BI9" s="335"/>
      <c r="BJ9" s="335"/>
      <c r="BK9" s="335"/>
      <c r="BL9" s="335"/>
      <c r="BM9" s="335"/>
      <c r="BN9" s="335"/>
      <c r="BO9" s="335"/>
      <c r="BP9" s="335"/>
      <c r="BQ9" s="335"/>
      <c r="BR9" s="335"/>
      <c r="BS9" s="335"/>
      <c r="BT9" s="335"/>
      <c r="BU9" s="335"/>
      <c r="BV9" s="335"/>
      <c r="BW9" s="335"/>
      <c r="BX9" s="335"/>
      <c r="BY9" s="335"/>
      <c r="BZ9" s="335"/>
      <c r="CA9" s="335"/>
      <c r="CB9" s="335"/>
      <c r="CC9" s="335"/>
      <c r="CD9" s="335"/>
      <c r="CE9" s="335"/>
      <c r="CF9" s="335"/>
      <c r="CG9" s="335"/>
      <c r="CH9" s="335"/>
      <c r="CI9" s="335"/>
      <c r="CJ9" s="335"/>
      <c r="CK9" s="335"/>
      <c r="CL9" s="335"/>
      <c r="CM9" s="335"/>
      <c r="CN9" s="335"/>
      <c r="CO9" s="335"/>
      <c r="CP9" s="335"/>
      <c r="CQ9" s="335"/>
      <c r="CR9" s="335"/>
      <c r="CS9" s="335"/>
      <c r="CT9" s="335"/>
      <c r="CU9" s="335"/>
      <c r="CV9" s="335"/>
      <c r="CW9" s="335"/>
      <c r="CX9" s="335"/>
      <c r="CY9" s="335"/>
      <c r="CZ9" s="335"/>
      <c r="DA9" s="335"/>
      <c r="DB9" s="335"/>
      <c r="DC9" s="335"/>
      <c r="DD9" s="335"/>
      <c r="DE9" s="335"/>
      <c r="DF9" s="335"/>
      <c r="DG9" s="335"/>
      <c r="DH9" s="335"/>
      <c r="DI9" s="335"/>
    </row>
    <row r="10" spans="2:113" ht="18.75" customHeight="1">
      <c r="B10" s="654"/>
      <c r="C10" s="333" t="s">
        <v>455</v>
      </c>
      <c r="D10" s="335"/>
      <c r="E10" s="335"/>
      <c r="F10" s="335"/>
      <c r="G10" s="335"/>
      <c r="H10" s="335"/>
      <c r="I10" s="334"/>
      <c r="J10" s="335"/>
      <c r="K10" s="335"/>
      <c r="L10" s="335"/>
      <c r="M10" s="335"/>
      <c r="N10" s="335"/>
      <c r="O10" s="335"/>
      <c r="P10" s="335"/>
      <c r="Q10" s="335"/>
      <c r="R10" s="335"/>
      <c r="S10" s="335"/>
      <c r="T10" s="335"/>
      <c r="U10" s="335"/>
      <c r="V10" s="335"/>
      <c r="W10" s="335"/>
      <c r="X10" s="335"/>
      <c r="Y10" s="335"/>
      <c r="Z10" s="335"/>
      <c r="AA10" s="335"/>
      <c r="AB10" s="335"/>
      <c r="AC10" s="335"/>
      <c r="AD10" s="335"/>
      <c r="AE10" s="335"/>
      <c r="AF10" s="335"/>
      <c r="AG10" s="335"/>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c r="BD10" s="335"/>
      <c r="BE10" s="335"/>
      <c r="BF10" s="335"/>
      <c r="BG10" s="335"/>
      <c r="BH10" s="335"/>
      <c r="BI10" s="335"/>
      <c r="BJ10" s="335"/>
      <c r="BK10" s="335"/>
      <c r="BL10" s="335"/>
      <c r="BM10" s="335"/>
      <c r="BN10" s="335"/>
      <c r="BO10" s="335"/>
      <c r="BP10" s="335"/>
      <c r="BQ10" s="335"/>
      <c r="BR10" s="335"/>
      <c r="BS10" s="335"/>
      <c r="BT10" s="335"/>
      <c r="BU10" s="335"/>
      <c r="BV10" s="335"/>
      <c r="BW10" s="335"/>
      <c r="BX10" s="335"/>
      <c r="BY10" s="335"/>
      <c r="BZ10" s="335"/>
      <c r="CA10" s="335"/>
      <c r="CB10" s="335"/>
      <c r="CC10" s="335"/>
      <c r="CD10" s="335"/>
      <c r="CE10" s="335"/>
      <c r="CF10" s="335"/>
      <c r="CG10" s="335"/>
      <c r="CH10" s="335"/>
      <c r="CI10" s="335"/>
      <c r="CJ10" s="335"/>
      <c r="CK10" s="335"/>
      <c r="CL10" s="335"/>
      <c r="CM10" s="335"/>
      <c r="CN10" s="335"/>
      <c r="CO10" s="335"/>
      <c r="CP10" s="335"/>
      <c r="CQ10" s="335"/>
      <c r="CR10" s="335"/>
      <c r="CS10" s="335"/>
      <c r="CT10" s="335"/>
      <c r="CU10" s="335"/>
      <c r="CV10" s="335"/>
      <c r="CW10" s="335"/>
      <c r="CX10" s="335"/>
      <c r="CY10" s="335"/>
      <c r="CZ10" s="335"/>
      <c r="DA10" s="335"/>
      <c r="DB10" s="335"/>
      <c r="DC10" s="335"/>
      <c r="DD10" s="335"/>
      <c r="DE10" s="335"/>
      <c r="DF10" s="335"/>
      <c r="DG10" s="335"/>
      <c r="DH10" s="335"/>
      <c r="DI10" s="335"/>
    </row>
    <row r="11" spans="2:113" ht="18.75" customHeight="1">
      <c r="B11" s="654"/>
      <c r="C11" s="333" t="s">
        <v>456</v>
      </c>
      <c r="D11" s="335"/>
      <c r="E11" s="335"/>
      <c r="F11" s="335"/>
      <c r="G11" s="335"/>
      <c r="H11" s="335"/>
      <c r="I11" s="335"/>
      <c r="J11" s="334"/>
      <c r="K11" s="334"/>
      <c r="L11" s="334"/>
      <c r="M11" s="334"/>
      <c r="N11" s="334"/>
      <c r="O11" s="334"/>
      <c r="P11" s="334"/>
      <c r="Q11" s="334"/>
      <c r="R11" s="334"/>
      <c r="S11" s="334"/>
      <c r="T11" s="334"/>
      <c r="U11" s="334"/>
      <c r="V11" s="334"/>
      <c r="W11" s="334"/>
      <c r="X11" s="334"/>
      <c r="Y11" s="334"/>
      <c r="Z11" s="334"/>
      <c r="AA11" s="334"/>
      <c r="AB11" s="334"/>
      <c r="AC11" s="334"/>
      <c r="AD11" s="334"/>
      <c r="AE11" s="334"/>
      <c r="AF11" s="334"/>
      <c r="AG11" s="334"/>
      <c r="AH11" s="334"/>
      <c r="AI11" s="334"/>
      <c r="AJ11" s="334"/>
      <c r="AK11" s="334"/>
      <c r="AL11" s="334"/>
      <c r="AM11" s="334"/>
      <c r="AN11" s="334"/>
      <c r="AO11" s="334"/>
      <c r="AP11" s="334"/>
      <c r="AQ11" s="335"/>
      <c r="AR11" s="335"/>
      <c r="AS11" s="335"/>
      <c r="AT11" s="335"/>
      <c r="AU11" s="335"/>
      <c r="AV11" s="335"/>
      <c r="AW11" s="335"/>
      <c r="AX11" s="335"/>
      <c r="AY11" s="335"/>
      <c r="AZ11" s="335"/>
      <c r="BA11" s="335"/>
      <c r="BB11" s="335"/>
      <c r="BC11" s="335"/>
      <c r="BD11" s="335"/>
      <c r="BE11" s="335"/>
      <c r="BF11" s="335"/>
      <c r="BG11" s="335"/>
      <c r="BH11" s="335"/>
      <c r="BI11" s="335"/>
      <c r="BJ11" s="335"/>
      <c r="BK11" s="335"/>
      <c r="BL11" s="335"/>
      <c r="BM11" s="335"/>
      <c r="BN11" s="335"/>
      <c r="BO11" s="335"/>
      <c r="BP11" s="335"/>
      <c r="BQ11" s="335"/>
      <c r="BR11" s="335"/>
      <c r="BS11" s="335"/>
      <c r="BT11" s="335"/>
      <c r="BU11" s="335"/>
      <c r="BV11" s="335"/>
      <c r="BW11" s="335"/>
      <c r="BX11" s="335"/>
      <c r="BY11" s="335"/>
      <c r="BZ11" s="335"/>
      <c r="CA11" s="335"/>
      <c r="CB11" s="335"/>
      <c r="CC11" s="335"/>
      <c r="CD11" s="335"/>
      <c r="CE11" s="335"/>
      <c r="CF11" s="335"/>
      <c r="CG11" s="335"/>
      <c r="CH11" s="335"/>
      <c r="CI11" s="335"/>
      <c r="CJ11" s="335"/>
      <c r="CK11" s="335"/>
      <c r="CL11" s="335"/>
      <c r="CM11" s="335"/>
      <c r="CN11" s="335"/>
      <c r="CO11" s="335"/>
      <c r="CP11" s="335"/>
      <c r="CQ11" s="335"/>
      <c r="CR11" s="335"/>
      <c r="CS11" s="335"/>
      <c r="CT11" s="335"/>
      <c r="CU11" s="335"/>
      <c r="CV11" s="335"/>
      <c r="CW11" s="335"/>
      <c r="CX11" s="335"/>
      <c r="CY11" s="335"/>
      <c r="CZ11" s="335"/>
      <c r="DA11" s="335"/>
      <c r="DB11" s="335"/>
      <c r="DC11" s="335"/>
      <c r="DD11" s="335"/>
      <c r="DE11" s="335"/>
      <c r="DF11" s="335"/>
      <c r="DG11" s="335"/>
      <c r="DH11" s="335"/>
      <c r="DI11" s="335"/>
    </row>
    <row r="12" spans="2:113" ht="18.75" customHeight="1">
      <c r="B12" s="654"/>
      <c r="C12" s="337" t="s">
        <v>457</v>
      </c>
      <c r="D12" s="335"/>
      <c r="E12" s="335"/>
      <c r="F12" s="335"/>
      <c r="G12" s="335"/>
      <c r="H12" s="335"/>
      <c r="I12" s="335"/>
      <c r="J12" s="335"/>
      <c r="K12" s="335"/>
      <c r="L12" s="338" t="s">
        <v>382</v>
      </c>
      <c r="M12" s="335"/>
      <c r="N12" s="335"/>
      <c r="O12" s="335"/>
      <c r="P12" s="335"/>
      <c r="Q12" s="335"/>
      <c r="R12" s="335"/>
      <c r="S12" s="335"/>
      <c r="T12" s="335"/>
      <c r="U12" s="335"/>
      <c r="V12" s="335"/>
      <c r="W12" s="335"/>
      <c r="X12" s="335"/>
      <c r="Y12" s="335"/>
      <c r="Z12" s="335"/>
      <c r="AA12" s="338" t="s">
        <v>387</v>
      </c>
      <c r="AB12" s="338" t="s">
        <v>458</v>
      </c>
      <c r="AC12" s="335"/>
      <c r="AD12" s="335"/>
      <c r="AE12" s="335"/>
      <c r="AF12" s="335"/>
      <c r="AG12" s="335"/>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c r="BD12" s="335"/>
      <c r="BE12" s="335"/>
      <c r="BF12" s="335"/>
      <c r="BG12" s="335"/>
      <c r="BH12" s="335"/>
      <c r="BI12" s="335"/>
      <c r="BJ12" s="335"/>
      <c r="BK12" s="335"/>
      <c r="BL12" s="335"/>
      <c r="BM12" s="335"/>
      <c r="BN12" s="335"/>
      <c r="BO12" s="335"/>
      <c r="BP12" s="335"/>
      <c r="BQ12" s="335"/>
      <c r="BR12" s="335"/>
      <c r="BS12" s="335"/>
      <c r="BT12" s="335"/>
      <c r="BU12" s="335"/>
      <c r="BV12" s="335"/>
      <c r="BW12" s="335"/>
      <c r="BX12" s="335"/>
      <c r="BY12" s="335"/>
      <c r="BZ12" s="335"/>
      <c r="CA12" s="335"/>
      <c r="CB12" s="335"/>
      <c r="CC12" s="335"/>
      <c r="CD12" s="335"/>
      <c r="CE12" s="335"/>
      <c r="CF12" s="335"/>
      <c r="CG12" s="335"/>
      <c r="CH12" s="335"/>
      <c r="CI12" s="335"/>
      <c r="CJ12" s="335"/>
      <c r="CK12" s="335"/>
      <c r="CL12" s="335"/>
      <c r="CM12" s="335"/>
      <c r="CN12" s="335"/>
      <c r="CO12" s="335"/>
      <c r="CP12" s="335"/>
      <c r="CQ12" s="335"/>
      <c r="CR12" s="335"/>
      <c r="CS12" s="335"/>
      <c r="CT12" s="335"/>
      <c r="CU12" s="335"/>
      <c r="CV12" s="335"/>
      <c r="CW12" s="335"/>
      <c r="CX12" s="335"/>
      <c r="CY12" s="335"/>
      <c r="CZ12" s="335"/>
      <c r="DA12" s="335"/>
      <c r="DB12" s="335"/>
      <c r="DC12" s="335"/>
      <c r="DD12" s="335"/>
      <c r="DE12" s="335"/>
      <c r="DF12" s="335"/>
      <c r="DG12" s="335"/>
      <c r="DH12" s="335"/>
      <c r="DI12" s="335"/>
    </row>
    <row r="13" spans="2:113" ht="18.75" customHeight="1">
      <c r="B13" s="654"/>
      <c r="C13" s="333" t="s">
        <v>459</v>
      </c>
      <c r="D13" s="335"/>
      <c r="E13" s="335"/>
      <c r="F13" s="335"/>
      <c r="G13" s="335"/>
      <c r="H13" s="335"/>
      <c r="I13" s="335"/>
      <c r="J13" s="335"/>
      <c r="K13" s="335"/>
      <c r="L13" s="335"/>
      <c r="M13" s="335"/>
      <c r="N13" s="335"/>
      <c r="O13" s="335"/>
      <c r="P13" s="335"/>
      <c r="Q13" s="335"/>
      <c r="R13" s="335"/>
      <c r="S13" s="335"/>
      <c r="T13" s="335"/>
      <c r="U13" s="335"/>
      <c r="V13" s="335"/>
      <c r="W13" s="335"/>
      <c r="X13" s="335"/>
      <c r="Y13" s="335"/>
      <c r="Z13" s="335"/>
      <c r="AA13" s="335"/>
      <c r="AB13" s="335"/>
      <c r="AC13" s="335"/>
      <c r="AD13" s="335"/>
      <c r="AE13" s="335"/>
      <c r="AF13" s="335"/>
      <c r="AG13" s="335"/>
      <c r="AH13" s="335"/>
      <c r="AI13" s="335"/>
      <c r="AJ13" s="335"/>
      <c r="AK13" s="335"/>
      <c r="AL13" s="335"/>
      <c r="AM13" s="335"/>
      <c r="AN13" s="335"/>
      <c r="AO13" s="335"/>
      <c r="AP13" s="335"/>
      <c r="AQ13" s="335"/>
      <c r="AR13" s="335"/>
      <c r="AS13" s="335"/>
      <c r="AT13" s="335"/>
      <c r="AU13" s="335"/>
      <c r="AV13" s="335"/>
      <c r="AW13" s="335"/>
      <c r="AX13" s="338" t="s">
        <v>387</v>
      </c>
      <c r="AY13" s="338" t="s">
        <v>458</v>
      </c>
      <c r="AZ13" s="335"/>
      <c r="BA13" s="335"/>
      <c r="BB13" s="335"/>
      <c r="BC13" s="335"/>
      <c r="BD13" s="335"/>
      <c r="BE13" s="335"/>
      <c r="BF13" s="335"/>
      <c r="BG13" s="335"/>
      <c r="BH13" s="335"/>
      <c r="BI13" s="335"/>
      <c r="BJ13" s="335"/>
      <c r="BK13" s="335"/>
      <c r="BL13" s="335"/>
      <c r="BM13" s="335"/>
      <c r="BN13" s="335"/>
      <c r="BO13" s="335"/>
      <c r="BP13" s="335"/>
      <c r="BQ13" s="335"/>
      <c r="BR13" s="335"/>
      <c r="BS13" s="335"/>
      <c r="BT13" s="335"/>
      <c r="BU13" s="335"/>
      <c r="BV13" s="335"/>
      <c r="BW13" s="335"/>
      <c r="BX13" s="335"/>
      <c r="BY13" s="335"/>
      <c r="BZ13" s="335"/>
      <c r="CA13" s="335"/>
      <c r="CB13" s="335"/>
      <c r="CC13" s="335"/>
      <c r="CD13" s="335"/>
      <c r="CE13" s="335"/>
      <c r="CF13" s="335"/>
      <c r="CG13" s="335"/>
      <c r="CH13" s="335"/>
      <c r="CI13" s="335"/>
      <c r="CJ13" s="335"/>
      <c r="CK13" s="335"/>
      <c r="CL13" s="335"/>
      <c r="CM13" s="335"/>
      <c r="CN13" s="335"/>
      <c r="CO13" s="335"/>
      <c r="CP13" s="335"/>
      <c r="CQ13" s="335"/>
      <c r="CR13" s="335"/>
      <c r="CS13" s="335"/>
      <c r="CT13" s="335"/>
      <c r="CU13" s="335"/>
      <c r="CV13" s="335"/>
      <c r="CW13" s="335"/>
      <c r="CX13" s="335"/>
      <c r="CY13" s="335"/>
      <c r="CZ13" s="335"/>
      <c r="DA13" s="335"/>
      <c r="DB13" s="335"/>
      <c r="DC13" s="335"/>
      <c r="DD13" s="335"/>
      <c r="DE13" s="335"/>
      <c r="DF13" s="335"/>
      <c r="DG13" s="335"/>
      <c r="DH13" s="335"/>
      <c r="DI13" s="335"/>
    </row>
    <row r="14" spans="2:113" ht="18" customHeight="1">
      <c r="B14" s="653" t="s">
        <v>460</v>
      </c>
      <c r="C14" s="333" t="s">
        <v>461</v>
      </c>
      <c r="D14" s="335"/>
      <c r="E14" s="335"/>
      <c r="F14" s="335"/>
      <c r="G14" s="335"/>
      <c r="H14" s="335"/>
      <c r="I14" s="335"/>
      <c r="J14" s="335"/>
      <c r="K14" s="335"/>
      <c r="L14" s="335"/>
      <c r="M14" s="335"/>
      <c r="N14" s="335"/>
      <c r="O14" s="335"/>
      <c r="P14" s="335"/>
      <c r="Q14" s="335"/>
      <c r="R14" s="335"/>
      <c r="S14" s="335"/>
      <c r="T14" s="335"/>
      <c r="U14" s="335"/>
      <c r="V14" s="335"/>
      <c r="W14" s="335"/>
      <c r="X14" s="335"/>
      <c r="Y14" s="335"/>
      <c r="Z14" s="335"/>
      <c r="AA14" s="335"/>
      <c r="AB14" s="335"/>
      <c r="AC14" s="335"/>
      <c r="AD14" s="335"/>
      <c r="AE14" s="335"/>
      <c r="AF14" s="335"/>
      <c r="AG14" s="335"/>
      <c r="AH14" s="335"/>
      <c r="AI14" s="335"/>
      <c r="AJ14" s="335"/>
      <c r="AK14" s="335"/>
      <c r="AL14" s="335"/>
      <c r="AM14" s="335"/>
      <c r="AN14" s="335"/>
      <c r="AO14" s="335"/>
      <c r="AP14" s="334"/>
      <c r="AQ14" s="334"/>
      <c r="AR14" s="334"/>
      <c r="AS14" s="334"/>
      <c r="AT14" s="334"/>
      <c r="AU14" s="334"/>
      <c r="AV14" s="334"/>
      <c r="AW14" s="334"/>
      <c r="AX14" s="334"/>
      <c r="AY14" s="334"/>
      <c r="AZ14" s="334"/>
      <c r="BA14" s="334"/>
      <c r="BB14" s="334"/>
      <c r="BC14" s="334"/>
      <c r="BD14" s="334"/>
      <c r="BE14" s="334"/>
      <c r="BF14" s="334"/>
      <c r="BG14" s="334"/>
      <c r="BH14" s="334"/>
      <c r="BI14" s="334"/>
      <c r="BJ14" s="334"/>
      <c r="BK14" s="334"/>
      <c r="BL14" s="334"/>
      <c r="BM14" s="334"/>
      <c r="BN14" s="334"/>
      <c r="BO14" s="334"/>
      <c r="BP14" s="334"/>
      <c r="BQ14" s="334"/>
      <c r="BR14" s="334"/>
      <c r="BS14" s="334"/>
      <c r="BT14" s="334"/>
      <c r="BU14" s="334"/>
      <c r="BV14" s="334"/>
      <c r="BW14" s="334"/>
      <c r="BX14" s="334"/>
      <c r="BY14" s="334"/>
      <c r="BZ14" s="335"/>
      <c r="CA14" s="335"/>
      <c r="CB14" s="335"/>
      <c r="CC14" s="335"/>
      <c r="CD14" s="335"/>
      <c r="CE14" s="335"/>
      <c r="CF14" s="335"/>
      <c r="CG14" s="335"/>
      <c r="CH14" s="335"/>
      <c r="CI14" s="335"/>
      <c r="CJ14" s="335"/>
      <c r="CK14" s="335"/>
      <c r="CL14" s="335"/>
      <c r="CM14" s="335"/>
      <c r="CN14" s="335"/>
      <c r="CO14" s="335"/>
      <c r="CP14" s="335"/>
      <c r="CQ14" s="335"/>
      <c r="CR14" s="335"/>
      <c r="CS14" s="335"/>
      <c r="CT14" s="335"/>
      <c r="CU14" s="335"/>
      <c r="CV14" s="335"/>
      <c r="CW14" s="335"/>
      <c r="CX14" s="335"/>
      <c r="CY14" s="335"/>
      <c r="CZ14" s="335"/>
      <c r="DA14" s="335"/>
      <c r="DB14" s="335"/>
      <c r="DC14" s="335"/>
      <c r="DD14" s="335"/>
      <c r="DE14" s="335"/>
      <c r="DF14" s="335"/>
      <c r="DG14" s="335"/>
      <c r="DH14" s="335"/>
      <c r="DI14" s="335"/>
    </row>
    <row r="15" spans="2:113" ht="18.75" customHeight="1">
      <c r="B15" s="653"/>
      <c r="C15" s="333" t="s">
        <v>462</v>
      </c>
      <c r="D15" s="335"/>
      <c r="E15" s="335"/>
      <c r="F15" s="335"/>
      <c r="G15" s="335"/>
      <c r="H15" s="335"/>
      <c r="I15" s="335"/>
      <c r="J15" s="335"/>
      <c r="K15" s="335"/>
      <c r="L15" s="335"/>
      <c r="M15" s="335"/>
      <c r="N15" s="335"/>
      <c r="O15" s="335"/>
      <c r="P15" s="335"/>
      <c r="Q15" s="335"/>
      <c r="R15" s="335"/>
      <c r="S15" s="335"/>
      <c r="T15" s="335"/>
      <c r="U15" s="335"/>
      <c r="V15" s="335"/>
      <c r="W15" s="335"/>
      <c r="X15" s="335"/>
      <c r="Y15" s="335"/>
      <c r="Z15" s="335"/>
      <c r="AA15" s="335"/>
      <c r="AB15" s="335"/>
      <c r="AC15" s="335"/>
      <c r="AD15" s="335"/>
      <c r="AE15" s="335"/>
      <c r="AF15" s="335"/>
      <c r="AG15" s="335"/>
      <c r="AH15" s="335"/>
      <c r="AI15" s="335"/>
      <c r="AJ15" s="335"/>
      <c r="AK15" s="335"/>
      <c r="AL15" s="335"/>
      <c r="AM15" s="335"/>
      <c r="AN15" s="335"/>
      <c r="AO15" s="335"/>
      <c r="AP15" s="335"/>
      <c r="AQ15" s="335"/>
      <c r="AR15" s="335"/>
      <c r="AS15" s="335"/>
      <c r="AT15" s="335"/>
      <c r="AU15" s="335"/>
      <c r="AV15" s="335"/>
      <c r="AW15" s="335"/>
      <c r="AX15" s="335"/>
      <c r="AY15" s="335"/>
      <c r="AZ15" s="335"/>
      <c r="BA15" s="335"/>
      <c r="BB15" s="335"/>
      <c r="BC15" s="335"/>
      <c r="BD15" s="335"/>
      <c r="BE15" s="335"/>
      <c r="BF15" s="335"/>
      <c r="BG15" s="335"/>
      <c r="BH15" s="335"/>
      <c r="BI15" s="335"/>
      <c r="BJ15" s="335"/>
      <c r="BK15" s="335"/>
      <c r="BL15" s="335"/>
      <c r="BM15" s="335"/>
      <c r="BN15" s="335"/>
      <c r="BO15" s="335"/>
      <c r="BP15" s="335"/>
      <c r="BQ15" s="335"/>
      <c r="BR15" s="335"/>
      <c r="BS15" s="335"/>
      <c r="BT15" s="335"/>
      <c r="BU15" s="335"/>
      <c r="BV15" s="335"/>
      <c r="BW15" s="335"/>
      <c r="BX15" s="335"/>
      <c r="BY15" s="335"/>
      <c r="BZ15" s="335"/>
      <c r="CA15" s="335"/>
      <c r="CB15" s="335"/>
      <c r="CC15" s="335"/>
      <c r="CD15" s="334"/>
      <c r="CE15" s="335"/>
      <c r="CF15" s="335"/>
      <c r="CG15" s="335"/>
      <c r="CH15" s="335"/>
      <c r="CI15" s="335"/>
      <c r="CJ15" s="335"/>
      <c r="CK15" s="335"/>
      <c r="CL15" s="335"/>
      <c r="CM15" s="335"/>
      <c r="CN15" s="335"/>
      <c r="CO15" s="335"/>
      <c r="CP15" s="335"/>
      <c r="CQ15" s="335"/>
      <c r="CR15" s="335"/>
      <c r="CS15" s="335"/>
      <c r="CT15" s="335"/>
      <c r="CU15" s="335"/>
      <c r="CV15" s="335"/>
      <c r="CW15" s="335"/>
      <c r="CX15" s="335"/>
      <c r="CY15" s="335"/>
      <c r="CZ15" s="335"/>
      <c r="DA15" s="335"/>
      <c r="DB15" s="335"/>
      <c r="DC15" s="335"/>
      <c r="DD15" s="335"/>
      <c r="DE15" s="335"/>
      <c r="DF15" s="335"/>
      <c r="DG15" s="335"/>
      <c r="DH15" s="335"/>
      <c r="DI15" s="335"/>
    </row>
    <row r="16" spans="2:113" ht="18.75" customHeight="1">
      <c r="B16" s="653"/>
      <c r="C16" s="333" t="s">
        <v>463</v>
      </c>
      <c r="D16" s="335"/>
      <c r="E16" s="335"/>
      <c r="F16" s="335"/>
      <c r="G16" s="335"/>
      <c r="H16" s="335"/>
      <c r="I16" s="335"/>
      <c r="J16" s="335"/>
      <c r="K16" s="335"/>
      <c r="L16" s="335"/>
      <c r="M16" s="335"/>
      <c r="N16" s="335"/>
      <c r="O16" s="335"/>
      <c r="P16" s="335"/>
      <c r="Q16" s="335"/>
      <c r="R16" s="335"/>
      <c r="S16" s="335"/>
      <c r="T16" s="335"/>
      <c r="U16" s="335"/>
      <c r="V16" s="335"/>
      <c r="W16" s="335"/>
      <c r="X16" s="335"/>
      <c r="Y16" s="335"/>
      <c r="Z16" s="335"/>
      <c r="AA16" s="335"/>
      <c r="AB16" s="335"/>
      <c r="AC16" s="335"/>
      <c r="AD16" s="335"/>
      <c r="AE16" s="335"/>
      <c r="AF16" s="335"/>
      <c r="AG16" s="335"/>
      <c r="AH16" s="335"/>
      <c r="AI16" s="335"/>
      <c r="AJ16" s="335"/>
      <c r="AK16" s="335"/>
      <c r="AL16" s="335"/>
      <c r="AM16" s="335"/>
      <c r="AN16" s="335"/>
      <c r="AO16" s="335"/>
      <c r="AP16" s="335"/>
      <c r="AQ16" s="335"/>
      <c r="AR16" s="335"/>
      <c r="AS16" s="335"/>
      <c r="AT16" s="335"/>
      <c r="AU16" s="335"/>
      <c r="AV16" s="335"/>
      <c r="AW16" s="335"/>
      <c r="AX16" s="335"/>
      <c r="AY16" s="335"/>
      <c r="AZ16" s="335"/>
      <c r="BA16" s="335"/>
      <c r="BB16" s="335"/>
      <c r="BC16" s="335"/>
      <c r="BD16" s="335"/>
      <c r="BE16" s="335"/>
      <c r="BF16" s="335"/>
      <c r="BG16" s="335"/>
      <c r="BH16" s="335"/>
      <c r="BI16" s="335"/>
      <c r="BJ16" s="335"/>
      <c r="BK16" s="335"/>
      <c r="BL16" s="335"/>
      <c r="BM16" s="335"/>
      <c r="BN16" s="335"/>
      <c r="BO16" s="335"/>
      <c r="BP16" s="335"/>
      <c r="BQ16" s="335"/>
      <c r="BR16" s="335"/>
      <c r="BS16" s="335"/>
      <c r="BT16" s="335"/>
      <c r="BU16" s="335"/>
      <c r="BV16" s="335"/>
      <c r="BW16" s="335"/>
      <c r="BX16" s="335"/>
      <c r="BY16" s="335"/>
      <c r="BZ16" s="335"/>
      <c r="CA16" s="335"/>
      <c r="CB16" s="335"/>
      <c r="CC16" s="335"/>
      <c r="CD16" s="335"/>
      <c r="CE16" s="334"/>
      <c r="CF16" s="334"/>
      <c r="CG16" s="334"/>
      <c r="CH16" s="334"/>
      <c r="CI16" s="334"/>
      <c r="CJ16" s="334"/>
      <c r="CK16" s="334"/>
      <c r="CL16" s="334"/>
      <c r="CM16" s="334"/>
      <c r="CN16" s="334"/>
      <c r="CO16" s="334"/>
      <c r="CP16" s="334"/>
      <c r="CQ16" s="334"/>
      <c r="CR16" s="334"/>
      <c r="CS16" s="334"/>
      <c r="CT16" s="334"/>
      <c r="CU16" s="334"/>
      <c r="CV16" s="334"/>
      <c r="CW16" s="334"/>
      <c r="CX16" s="334"/>
      <c r="CY16" s="334"/>
      <c r="CZ16" s="334"/>
      <c r="DA16" s="335"/>
      <c r="DB16" s="335"/>
      <c r="DC16" s="335"/>
      <c r="DD16" s="335"/>
      <c r="DE16" s="335"/>
      <c r="DF16" s="335"/>
      <c r="DG16" s="335"/>
      <c r="DH16" s="335"/>
      <c r="DI16" s="335"/>
    </row>
    <row r="17" spans="2:116" ht="18.75" customHeight="1">
      <c r="B17" s="653"/>
      <c r="C17" s="337" t="s">
        <v>464</v>
      </c>
      <c r="D17" s="335"/>
      <c r="E17" s="335"/>
      <c r="F17" s="335"/>
      <c r="G17" s="335"/>
      <c r="H17" s="335"/>
      <c r="I17" s="335"/>
      <c r="J17" s="335"/>
      <c r="K17" s="335"/>
      <c r="L17" s="335"/>
      <c r="M17" s="335"/>
      <c r="N17" s="335"/>
      <c r="O17" s="335"/>
      <c r="P17" s="335"/>
      <c r="Q17" s="335"/>
      <c r="R17" s="335"/>
      <c r="S17" s="335"/>
      <c r="T17" s="335"/>
      <c r="U17" s="335"/>
      <c r="V17" s="335"/>
      <c r="W17" s="335"/>
      <c r="X17" s="335"/>
      <c r="Y17" s="335"/>
      <c r="Z17" s="335"/>
      <c r="AA17" s="335"/>
      <c r="AB17" s="335"/>
      <c r="AC17" s="335"/>
      <c r="AD17" s="335"/>
      <c r="AE17" s="335"/>
      <c r="AF17" s="335"/>
      <c r="AG17" s="335"/>
      <c r="AH17" s="335"/>
      <c r="AI17" s="335"/>
      <c r="AJ17" s="335"/>
      <c r="AK17" s="335"/>
      <c r="AL17" s="335"/>
      <c r="AM17" s="335"/>
      <c r="AN17" s="335"/>
      <c r="AO17" s="335"/>
      <c r="AP17" s="335"/>
      <c r="AQ17" s="335"/>
      <c r="AR17" s="335"/>
      <c r="AS17" s="335"/>
      <c r="AT17" s="335"/>
      <c r="AU17" s="335"/>
      <c r="AV17" s="335"/>
      <c r="AW17" s="335"/>
      <c r="AX17" s="335"/>
      <c r="AY17" s="335"/>
      <c r="AZ17" s="335"/>
      <c r="BA17" s="335"/>
      <c r="BB17" s="335"/>
      <c r="BC17" s="335"/>
      <c r="BD17" s="335"/>
      <c r="BE17" s="335"/>
      <c r="BF17" s="335"/>
      <c r="BG17" s="335"/>
      <c r="BH17" s="335"/>
      <c r="BI17" s="335"/>
      <c r="BJ17" s="335"/>
      <c r="BK17" s="335"/>
      <c r="BL17" s="335"/>
      <c r="BM17" s="335"/>
      <c r="BN17" s="335"/>
      <c r="BO17" s="335"/>
      <c r="BP17" s="335"/>
      <c r="BQ17" s="335"/>
      <c r="BR17" s="335"/>
      <c r="BS17" s="335"/>
      <c r="BT17" s="335"/>
      <c r="BU17" s="335"/>
      <c r="BV17" s="335"/>
      <c r="BW17" s="335"/>
      <c r="BX17" s="335"/>
      <c r="BY17" s="335"/>
      <c r="BZ17" s="335"/>
      <c r="CA17" s="335"/>
      <c r="CB17" s="335"/>
      <c r="CC17" s="335"/>
      <c r="CD17" s="335"/>
      <c r="CE17" s="335"/>
      <c r="CF17" s="335"/>
      <c r="CG17" s="335"/>
      <c r="CH17" s="335"/>
      <c r="CI17" s="335"/>
      <c r="CJ17" s="335"/>
      <c r="CK17" s="335"/>
      <c r="CL17" s="335"/>
      <c r="CM17" s="335"/>
      <c r="CN17" s="335"/>
      <c r="CO17" s="335"/>
      <c r="CP17" s="335"/>
      <c r="CQ17" s="335"/>
      <c r="CR17" s="335"/>
      <c r="CS17" s="335"/>
      <c r="CT17" s="335"/>
      <c r="CU17" s="335"/>
      <c r="CV17" s="335"/>
      <c r="CW17" s="335"/>
      <c r="CX17" s="335"/>
      <c r="CY17" s="335"/>
      <c r="CZ17" s="335"/>
      <c r="DA17" s="334"/>
      <c r="DB17" s="335"/>
      <c r="DC17" s="335"/>
      <c r="DD17" s="335"/>
      <c r="DE17" s="335"/>
      <c r="DF17" s="335"/>
      <c r="DG17" s="335"/>
      <c r="DH17" s="335"/>
      <c r="DI17" s="335"/>
    </row>
    <row r="18" spans="2:116" ht="18" customHeight="1">
      <c r="B18" s="653"/>
      <c r="C18" s="337" t="s">
        <v>465</v>
      </c>
      <c r="D18" s="335"/>
      <c r="E18" s="335"/>
      <c r="F18" s="335"/>
      <c r="G18" s="335"/>
      <c r="H18" s="335"/>
      <c r="I18" s="335"/>
      <c r="J18" s="335"/>
      <c r="K18" s="335"/>
      <c r="L18" s="335"/>
      <c r="M18" s="335"/>
      <c r="N18" s="335"/>
      <c r="O18" s="335"/>
      <c r="P18" s="335"/>
      <c r="Q18" s="335"/>
      <c r="R18" s="335"/>
      <c r="S18" s="335"/>
      <c r="T18" s="335"/>
      <c r="U18" s="335"/>
      <c r="V18" s="335"/>
      <c r="W18" s="335"/>
      <c r="X18" s="335"/>
      <c r="Y18" s="335"/>
      <c r="Z18" s="335"/>
      <c r="AA18" s="335"/>
      <c r="AB18" s="335"/>
      <c r="AC18" s="335"/>
      <c r="AD18" s="335"/>
      <c r="AE18" s="335"/>
      <c r="AF18" s="335"/>
      <c r="AG18" s="335"/>
      <c r="AH18" s="335"/>
      <c r="AI18" s="335"/>
      <c r="AJ18" s="335"/>
      <c r="AK18" s="335"/>
      <c r="AL18" s="335"/>
      <c r="AM18" s="335"/>
      <c r="AN18" s="335"/>
      <c r="AO18" s="335"/>
      <c r="AP18" s="335"/>
      <c r="AQ18" s="335"/>
      <c r="AR18" s="335"/>
      <c r="AS18" s="335"/>
      <c r="AT18" s="335"/>
      <c r="AU18" s="335"/>
      <c r="AV18" s="335"/>
      <c r="AW18" s="335"/>
      <c r="AX18" s="335"/>
      <c r="AY18" s="335"/>
      <c r="AZ18" s="335"/>
      <c r="BA18" s="335"/>
      <c r="BB18" s="335"/>
      <c r="BC18" s="335"/>
      <c r="BD18" s="335"/>
      <c r="BE18" s="335"/>
      <c r="BF18" s="335"/>
      <c r="BG18" s="335"/>
      <c r="BH18" s="335"/>
      <c r="BI18" s="335"/>
      <c r="BJ18" s="335"/>
      <c r="BK18" s="335"/>
      <c r="BL18" s="335"/>
      <c r="BM18" s="335"/>
      <c r="BN18" s="335"/>
      <c r="BO18" s="335"/>
      <c r="BP18" s="335"/>
      <c r="BQ18" s="335"/>
      <c r="BR18" s="335"/>
      <c r="BS18" s="335"/>
      <c r="BT18" s="335"/>
      <c r="BU18" s="335"/>
      <c r="BV18" s="335"/>
      <c r="BW18" s="335"/>
      <c r="BX18" s="335"/>
      <c r="BY18" s="335"/>
      <c r="BZ18" s="335"/>
      <c r="CA18" s="335"/>
      <c r="CB18" s="335"/>
      <c r="CC18" s="335"/>
      <c r="CD18" s="335"/>
      <c r="CE18" s="335"/>
      <c r="CF18" s="335"/>
      <c r="CG18" s="335"/>
      <c r="CH18" s="335"/>
      <c r="CI18" s="335"/>
      <c r="CJ18" s="335"/>
      <c r="CK18" s="335"/>
      <c r="CL18" s="335"/>
      <c r="CM18" s="335"/>
      <c r="CN18" s="335"/>
      <c r="CO18" s="335"/>
      <c r="CP18" s="335"/>
      <c r="CQ18" s="335"/>
      <c r="CR18" s="335"/>
      <c r="CS18" s="335"/>
      <c r="CT18" s="335"/>
      <c r="CU18" s="335"/>
      <c r="CV18" s="335"/>
      <c r="CW18" s="335"/>
      <c r="CX18" s="335"/>
      <c r="CY18" s="335"/>
      <c r="CZ18" s="335"/>
      <c r="DA18" s="334"/>
      <c r="DB18" s="335"/>
      <c r="DC18" s="335"/>
      <c r="DD18" s="335"/>
      <c r="DE18" s="335"/>
      <c r="DF18" s="335"/>
      <c r="DG18" s="335"/>
      <c r="DH18" s="335"/>
      <c r="DI18" s="335"/>
    </row>
    <row r="19" spans="2:116" ht="18.75" customHeight="1">
      <c r="B19" s="654" t="s">
        <v>466</v>
      </c>
      <c r="C19" s="337" t="s">
        <v>467</v>
      </c>
      <c r="D19" s="335"/>
      <c r="E19" s="335"/>
      <c r="F19" s="335"/>
      <c r="G19" s="335"/>
      <c r="H19" s="335"/>
      <c r="I19" s="335"/>
      <c r="J19" s="335"/>
      <c r="K19" s="335"/>
      <c r="L19" s="335"/>
      <c r="M19" s="335"/>
      <c r="N19" s="335"/>
      <c r="O19" s="335"/>
      <c r="P19" s="335"/>
      <c r="Q19" s="335"/>
      <c r="R19" s="335"/>
      <c r="S19" s="335"/>
      <c r="T19" s="335"/>
      <c r="U19" s="335"/>
      <c r="V19" s="335"/>
      <c r="W19" s="335"/>
      <c r="X19" s="335"/>
      <c r="Y19" s="335"/>
      <c r="Z19" s="335"/>
      <c r="AA19" s="335"/>
      <c r="AB19" s="335"/>
      <c r="AC19" s="335"/>
      <c r="AD19" s="335"/>
      <c r="AE19" s="335"/>
      <c r="AF19" s="335"/>
      <c r="AG19" s="335"/>
      <c r="AH19" s="335"/>
      <c r="AI19" s="335"/>
      <c r="AJ19" s="335"/>
      <c r="AK19" s="335"/>
      <c r="AL19" s="335"/>
      <c r="AM19" s="335"/>
      <c r="AN19" s="335"/>
      <c r="AO19" s="335"/>
      <c r="AP19" s="335"/>
      <c r="AQ19" s="335"/>
      <c r="AR19" s="335"/>
      <c r="AS19" s="335"/>
      <c r="AT19" s="335"/>
      <c r="AU19" s="335"/>
      <c r="AV19" s="335"/>
      <c r="AW19" s="335"/>
      <c r="AX19" s="335"/>
      <c r="AY19" s="335"/>
      <c r="AZ19" s="335"/>
      <c r="BA19" s="335"/>
      <c r="BB19" s="335"/>
      <c r="BC19" s="335"/>
      <c r="BD19" s="335"/>
      <c r="BE19" s="335"/>
      <c r="BF19" s="335"/>
      <c r="BG19" s="335"/>
      <c r="BH19" s="335"/>
      <c r="BI19" s="335"/>
      <c r="BJ19" s="335"/>
      <c r="BK19" s="335"/>
      <c r="BL19" s="335"/>
      <c r="BM19" s="335"/>
      <c r="BN19" s="335"/>
      <c r="BO19" s="335"/>
      <c r="BP19" s="335"/>
      <c r="BQ19" s="335"/>
      <c r="BR19" s="335"/>
      <c r="BS19" s="335"/>
      <c r="BT19" s="335"/>
      <c r="BU19" s="335"/>
      <c r="BV19" s="335"/>
      <c r="BW19" s="335"/>
      <c r="BX19" s="335"/>
      <c r="BY19" s="335"/>
      <c r="BZ19" s="335"/>
      <c r="CA19" s="335"/>
      <c r="CB19" s="335"/>
      <c r="CC19" s="335"/>
      <c r="CD19" s="335"/>
      <c r="CE19" s="335"/>
      <c r="CF19" s="335"/>
      <c r="CG19" s="335"/>
      <c r="CH19" s="335"/>
      <c r="CI19" s="335"/>
      <c r="CJ19" s="335"/>
      <c r="CK19" s="335"/>
      <c r="CL19" s="335"/>
      <c r="CM19" s="335"/>
      <c r="CN19" s="335"/>
      <c r="CO19" s="335"/>
      <c r="CP19" s="335"/>
      <c r="CQ19" s="335"/>
      <c r="CR19" s="335"/>
      <c r="CS19" s="335"/>
      <c r="CT19" s="335"/>
      <c r="CU19" s="335"/>
      <c r="CV19" s="335"/>
      <c r="CW19" s="335"/>
      <c r="CX19" s="335"/>
      <c r="CY19" s="335"/>
      <c r="CZ19" s="335"/>
      <c r="DA19" s="334"/>
      <c r="DB19" s="334"/>
      <c r="DC19" s="334"/>
      <c r="DD19" s="334"/>
      <c r="DE19" s="334"/>
      <c r="DF19" s="334"/>
      <c r="DG19" s="334"/>
      <c r="DH19" s="334"/>
      <c r="DI19" s="334"/>
    </row>
    <row r="20" spans="2:116" ht="18.75" customHeight="1">
      <c r="B20" s="654"/>
      <c r="C20" s="337" t="s">
        <v>468</v>
      </c>
      <c r="D20" s="335"/>
      <c r="E20" s="335"/>
      <c r="F20" s="335"/>
      <c r="G20" s="335"/>
      <c r="H20" s="335"/>
      <c r="I20" s="335"/>
      <c r="J20" s="335"/>
      <c r="K20" s="335"/>
      <c r="L20" s="335"/>
      <c r="M20" s="335"/>
      <c r="N20" s="335"/>
      <c r="O20" s="335"/>
      <c r="P20" s="335"/>
      <c r="Q20" s="335"/>
      <c r="R20" s="335"/>
      <c r="S20" s="335"/>
      <c r="T20" s="335"/>
      <c r="U20" s="335"/>
      <c r="V20" s="335"/>
      <c r="W20" s="335"/>
      <c r="X20" s="335"/>
      <c r="Y20" s="335"/>
      <c r="Z20" s="335"/>
      <c r="AA20" s="335"/>
      <c r="AB20" s="335"/>
      <c r="AC20" s="335"/>
      <c r="AD20" s="335"/>
      <c r="AE20" s="335"/>
      <c r="AF20" s="335"/>
      <c r="AG20" s="335"/>
      <c r="AH20" s="335"/>
      <c r="AI20" s="335"/>
      <c r="AJ20" s="335"/>
      <c r="AK20" s="335"/>
      <c r="AL20" s="335"/>
      <c r="AM20" s="335"/>
      <c r="AN20" s="335"/>
      <c r="AO20" s="335"/>
      <c r="AP20" s="335"/>
      <c r="AQ20" s="335"/>
      <c r="AR20" s="335"/>
      <c r="AS20" s="335"/>
      <c r="AT20" s="335"/>
      <c r="AU20" s="335"/>
      <c r="AV20" s="335"/>
      <c r="AW20" s="335"/>
      <c r="AX20" s="335"/>
      <c r="AY20" s="335"/>
      <c r="AZ20" s="335"/>
      <c r="BA20" s="335"/>
      <c r="BB20" s="335"/>
      <c r="BC20" s="335"/>
      <c r="BD20" s="335"/>
      <c r="BE20" s="335"/>
      <c r="BF20" s="335"/>
      <c r="BG20" s="335"/>
      <c r="BH20" s="335"/>
      <c r="BI20" s="335"/>
      <c r="BJ20" s="335"/>
      <c r="BK20" s="335"/>
      <c r="BL20" s="335"/>
      <c r="BM20" s="335"/>
      <c r="BN20" s="335"/>
      <c r="BO20" s="335"/>
      <c r="BP20" s="335"/>
      <c r="BQ20" s="335"/>
      <c r="BR20" s="335"/>
      <c r="BS20" s="335"/>
      <c r="BT20" s="335"/>
      <c r="BU20" s="335"/>
      <c r="BV20" s="335"/>
      <c r="BW20" s="335"/>
      <c r="BX20" s="335"/>
      <c r="BY20" s="335"/>
      <c r="BZ20" s="335"/>
      <c r="CA20" s="335"/>
      <c r="CB20" s="335"/>
      <c r="CC20" s="335"/>
      <c r="CD20" s="335"/>
      <c r="CE20" s="335"/>
      <c r="CF20" s="335"/>
      <c r="CG20" s="335"/>
      <c r="CH20" s="335"/>
      <c r="CI20" s="335"/>
      <c r="CJ20" s="335"/>
      <c r="CK20" s="335"/>
      <c r="CL20" s="335"/>
      <c r="CM20" s="335"/>
      <c r="CN20" s="335"/>
      <c r="CO20" s="335"/>
      <c r="CP20" s="335"/>
      <c r="CQ20" s="335"/>
      <c r="CR20" s="335"/>
      <c r="CS20" s="335"/>
      <c r="CT20" s="335"/>
      <c r="CU20" s="335"/>
      <c r="CV20" s="335"/>
      <c r="CW20" s="335"/>
      <c r="CX20" s="335"/>
      <c r="CY20" s="335"/>
      <c r="CZ20" s="335"/>
      <c r="DA20" s="334"/>
      <c r="DB20" s="334"/>
      <c r="DC20" s="334"/>
      <c r="DD20" s="334"/>
      <c r="DE20" s="334"/>
      <c r="DF20" s="334"/>
      <c r="DG20" s="334"/>
      <c r="DH20" s="334"/>
      <c r="DI20" s="334"/>
    </row>
    <row r="21" spans="2:116" ht="18.75" customHeight="1">
      <c r="B21" s="654"/>
      <c r="C21" s="339" t="s">
        <v>469</v>
      </c>
      <c r="D21" s="335"/>
      <c r="E21" s="335"/>
      <c r="F21" s="335"/>
      <c r="G21" s="335"/>
      <c r="H21" s="335"/>
      <c r="I21" s="335"/>
      <c r="J21" s="335"/>
      <c r="K21" s="335"/>
      <c r="L21" s="335"/>
      <c r="M21" s="335"/>
      <c r="N21" s="335"/>
      <c r="O21" s="335"/>
      <c r="P21" s="335"/>
      <c r="Q21" s="335"/>
      <c r="R21" s="335"/>
      <c r="S21" s="335"/>
      <c r="T21" s="335"/>
      <c r="U21" s="335"/>
      <c r="V21" s="335"/>
      <c r="W21" s="335"/>
      <c r="X21" s="335"/>
      <c r="Y21" s="335"/>
      <c r="Z21" s="335"/>
      <c r="AA21" s="335"/>
      <c r="AB21" s="335"/>
      <c r="AC21" s="335"/>
      <c r="AD21" s="335"/>
      <c r="AE21" s="335"/>
      <c r="AF21" s="335"/>
      <c r="AG21" s="335"/>
      <c r="AH21" s="335"/>
      <c r="AI21" s="335"/>
      <c r="AJ21" s="335"/>
      <c r="AK21" s="335"/>
      <c r="AL21" s="335"/>
      <c r="AM21" s="335"/>
      <c r="AN21" s="335"/>
      <c r="AO21" s="335"/>
      <c r="AP21" s="335"/>
      <c r="AQ21" s="335"/>
      <c r="AR21" s="335"/>
      <c r="AS21" s="335"/>
      <c r="AT21" s="335"/>
      <c r="AU21" s="335"/>
      <c r="AV21" s="335"/>
      <c r="AW21" s="335"/>
      <c r="AX21" s="335"/>
      <c r="AY21" s="335"/>
      <c r="AZ21" s="335"/>
      <c r="BA21" s="335"/>
      <c r="BB21" s="335"/>
      <c r="BC21" s="335"/>
      <c r="BD21" s="335"/>
      <c r="BE21" s="335"/>
      <c r="BF21" s="335"/>
      <c r="BG21" s="335"/>
      <c r="BH21" s="335"/>
      <c r="BI21" s="335"/>
      <c r="BJ21" s="335"/>
      <c r="BK21" s="335"/>
      <c r="BL21" s="335"/>
      <c r="BM21" s="335"/>
      <c r="BN21" s="335"/>
      <c r="BO21" s="335"/>
      <c r="BP21" s="335"/>
      <c r="BQ21" s="335"/>
      <c r="BR21" s="335"/>
      <c r="BS21" s="335"/>
      <c r="BT21" s="335"/>
      <c r="BU21" s="335"/>
      <c r="BV21" s="335"/>
      <c r="BW21" s="335"/>
      <c r="BX21" s="335"/>
      <c r="BY21" s="335"/>
      <c r="BZ21" s="335"/>
      <c r="CA21" s="335"/>
      <c r="CB21" s="335"/>
      <c r="CC21" s="335"/>
      <c r="CD21" s="335"/>
      <c r="CE21" s="335"/>
      <c r="CF21" s="335"/>
      <c r="CG21" s="335"/>
      <c r="CH21" s="335"/>
      <c r="CI21" s="335"/>
      <c r="CJ21" s="335"/>
      <c r="CK21" s="335"/>
      <c r="CL21" s="335"/>
      <c r="CM21" s="335"/>
      <c r="CN21" s="335"/>
      <c r="CO21" s="335"/>
      <c r="CP21" s="335"/>
      <c r="CQ21" s="335"/>
      <c r="CR21" s="335"/>
      <c r="CS21" s="335"/>
      <c r="CT21" s="335"/>
      <c r="CU21" s="335"/>
      <c r="CV21" s="335"/>
      <c r="CW21" s="335"/>
      <c r="CX21" s="335"/>
      <c r="CY21" s="335"/>
      <c r="CZ21" s="335"/>
      <c r="DA21" s="334"/>
      <c r="DB21" s="334"/>
      <c r="DC21" s="334"/>
      <c r="DD21" s="334"/>
      <c r="DE21" s="334"/>
      <c r="DF21" s="334"/>
      <c r="DG21" s="334"/>
      <c r="DH21" s="334"/>
      <c r="DI21" s="334"/>
      <c r="DK21" s="340" t="s">
        <v>470</v>
      </c>
      <c r="DL21" s="341" t="s">
        <v>471</v>
      </c>
    </row>
    <row r="22" spans="2:116" ht="18.75" customHeight="1">
      <c r="B22" s="339"/>
      <c r="C22" s="339"/>
      <c r="D22" s="335"/>
      <c r="E22" s="335"/>
      <c r="F22" s="335"/>
      <c r="G22" s="335"/>
      <c r="H22" s="335"/>
      <c r="I22" s="335"/>
      <c r="J22" s="335"/>
      <c r="K22" s="335"/>
      <c r="L22" s="335"/>
      <c r="M22" s="335"/>
      <c r="N22" s="335"/>
      <c r="O22" s="335"/>
      <c r="P22" s="335"/>
      <c r="Q22" s="335"/>
      <c r="R22" s="335"/>
      <c r="S22" s="335"/>
      <c r="T22" s="335"/>
      <c r="U22" s="335"/>
      <c r="V22" s="335"/>
      <c r="W22" s="335"/>
      <c r="X22" s="335"/>
      <c r="Y22" s="335"/>
      <c r="Z22" s="335"/>
      <c r="AA22" s="335"/>
      <c r="AB22" s="335"/>
      <c r="AC22" s="335"/>
      <c r="AD22" s="335"/>
      <c r="AE22" s="335"/>
      <c r="AF22" s="335"/>
      <c r="AG22" s="335"/>
      <c r="AH22" s="335"/>
      <c r="AI22" s="335"/>
      <c r="AJ22" s="335"/>
      <c r="AK22" s="335"/>
      <c r="AL22" s="335"/>
      <c r="AM22" s="335"/>
      <c r="AN22" s="335"/>
      <c r="AO22" s="335"/>
      <c r="AP22" s="335"/>
      <c r="AQ22" s="335"/>
      <c r="AR22" s="335"/>
      <c r="AS22" s="335"/>
      <c r="AT22" s="335"/>
      <c r="AU22" s="335"/>
      <c r="AV22" s="335"/>
      <c r="AW22" s="335"/>
      <c r="AX22" s="335"/>
      <c r="AY22" s="335"/>
      <c r="AZ22" s="335"/>
      <c r="BA22" s="335"/>
      <c r="BB22" s="335"/>
      <c r="BC22" s="335"/>
      <c r="BD22" s="335"/>
      <c r="BE22" s="335"/>
      <c r="BF22" s="335"/>
      <c r="BG22" s="335"/>
      <c r="BH22" s="335"/>
      <c r="BI22" s="335"/>
      <c r="BJ22" s="335"/>
      <c r="BK22" s="335"/>
      <c r="BL22" s="335"/>
      <c r="BM22" s="335"/>
      <c r="BN22" s="335"/>
      <c r="BO22" s="335"/>
      <c r="BP22" s="335"/>
      <c r="BQ22" s="335"/>
      <c r="BR22" s="335"/>
      <c r="BS22" s="335"/>
      <c r="BT22" s="335"/>
      <c r="BU22" s="335"/>
      <c r="BV22" s="335"/>
      <c r="BW22" s="335"/>
      <c r="BX22" s="335"/>
      <c r="BY22" s="335"/>
      <c r="BZ22" s="335"/>
      <c r="CA22" s="335"/>
      <c r="CB22" s="335"/>
      <c r="CC22" s="335"/>
      <c r="CD22" s="335"/>
      <c r="CE22" s="335"/>
      <c r="CF22" s="335"/>
      <c r="CG22" s="335"/>
      <c r="CH22" s="335"/>
      <c r="CI22" s="335"/>
      <c r="CJ22" s="335"/>
      <c r="CK22" s="335"/>
      <c r="CL22" s="335"/>
      <c r="CM22" s="335"/>
      <c r="CN22" s="335"/>
      <c r="CO22" s="335"/>
      <c r="CP22" s="335"/>
      <c r="CQ22" s="335"/>
      <c r="CR22" s="335"/>
      <c r="CS22" s="335"/>
      <c r="CT22" s="335"/>
      <c r="CU22" s="335"/>
      <c r="CV22" s="335"/>
      <c r="CW22" s="335"/>
      <c r="CX22" s="335"/>
      <c r="CY22" s="335"/>
      <c r="CZ22" s="335"/>
      <c r="DA22" s="335"/>
      <c r="DB22" s="335"/>
      <c r="DC22" s="335"/>
      <c r="DD22" s="335"/>
      <c r="DE22" s="335"/>
      <c r="DF22" s="335"/>
      <c r="DG22" s="335"/>
      <c r="DH22" s="335"/>
      <c r="DI22" s="335"/>
    </row>
    <row r="23" spans="2:116" ht="18.75" customHeight="1">
      <c r="B23" s="339"/>
      <c r="C23" s="339"/>
      <c r="D23" s="335"/>
      <c r="E23" s="335"/>
      <c r="F23" s="335"/>
      <c r="G23" s="335"/>
      <c r="H23" s="335"/>
      <c r="I23" s="335"/>
      <c r="J23" s="335"/>
      <c r="K23" s="335"/>
      <c r="L23" s="335"/>
      <c r="M23" s="335"/>
      <c r="N23" s="335"/>
      <c r="O23" s="335"/>
      <c r="P23" s="335"/>
      <c r="Q23" s="335"/>
      <c r="R23" s="335"/>
      <c r="S23" s="335"/>
      <c r="T23" s="335"/>
      <c r="U23" s="335"/>
      <c r="V23" s="335"/>
      <c r="W23" s="335"/>
      <c r="X23" s="335"/>
      <c r="Y23" s="335"/>
      <c r="Z23" s="335"/>
      <c r="AA23" s="335"/>
      <c r="AB23" s="335"/>
      <c r="AC23" s="335"/>
      <c r="AD23" s="335"/>
      <c r="AE23" s="335"/>
      <c r="AF23" s="335"/>
      <c r="AG23" s="335"/>
      <c r="AH23" s="335"/>
      <c r="AI23" s="335"/>
      <c r="AJ23" s="335"/>
      <c r="AK23" s="335"/>
      <c r="AL23" s="335"/>
      <c r="AM23" s="335"/>
      <c r="AN23" s="335"/>
      <c r="AO23" s="335"/>
      <c r="AP23" s="335"/>
      <c r="AQ23" s="335"/>
      <c r="AR23" s="335"/>
      <c r="AS23" s="335"/>
      <c r="AT23" s="335"/>
      <c r="AU23" s="335"/>
      <c r="AV23" s="335"/>
      <c r="AW23" s="335"/>
      <c r="AX23" s="335"/>
      <c r="AY23" s="335"/>
      <c r="AZ23" s="335"/>
      <c r="BA23" s="335"/>
      <c r="BB23" s="335"/>
      <c r="BC23" s="335"/>
      <c r="BD23" s="335"/>
      <c r="BE23" s="335"/>
      <c r="BF23" s="335"/>
      <c r="BG23" s="335"/>
      <c r="BH23" s="335"/>
      <c r="BI23" s="335"/>
      <c r="BJ23" s="335"/>
      <c r="BK23" s="335"/>
      <c r="BL23" s="335"/>
      <c r="BM23" s="335"/>
      <c r="BN23" s="335"/>
      <c r="BO23" s="335"/>
      <c r="BP23" s="335"/>
      <c r="BQ23" s="335"/>
      <c r="BR23" s="335"/>
      <c r="BS23" s="335"/>
      <c r="BT23" s="335"/>
      <c r="BU23" s="335"/>
      <c r="BV23" s="335"/>
      <c r="BW23" s="335"/>
      <c r="BX23" s="335"/>
      <c r="BY23" s="335"/>
      <c r="BZ23" s="335"/>
      <c r="CA23" s="335"/>
      <c r="CB23" s="335"/>
      <c r="CC23" s="335"/>
      <c r="CD23" s="335"/>
      <c r="CE23" s="335"/>
      <c r="CF23" s="335"/>
      <c r="CG23" s="335"/>
      <c r="CH23" s="335"/>
      <c r="CI23" s="335"/>
      <c r="CJ23" s="335"/>
      <c r="CK23" s="335"/>
      <c r="CL23" s="335"/>
      <c r="CM23" s="335"/>
      <c r="CN23" s="335"/>
      <c r="CO23" s="335"/>
      <c r="CP23" s="335"/>
      <c r="CQ23" s="335"/>
      <c r="CR23" s="335"/>
      <c r="CS23" s="335"/>
      <c r="CT23" s="335"/>
      <c r="CU23" s="335"/>
      <c r="CV23" s="335"/>
      <c r="CW23" s="335"/>
      <c r="CX23" s="335"/>
      <c r="CY23" s="335"/>
      <c r="CZ23" s="335"/>
      <c r="DA23" s="335"/>
      <c r="DB23" s="335"/>
      <c r="DC23" s="335"/>
      <c r="DD23" s="335"/>
      <c r="DE23" s="335"/>
      <c r="DF23" s="335"/>
      <c r="DG23" s="335"/>
      <c r="DH23" s="335"/>
      <c r="DI23" s="335"/>
    </row>
    <row r="24" spans="2:116" ht="18.75" customHeight="1">
      <c r="B24" s="339"/>
      <c r="C24" s="339"/>
      <c r="D24" s="335"/>
      <c r="E24" s="335"/>
      <c r="F24" s="335"/>
      <c r="G24" s="335"/>
      <c r="H24" s="335"/>
      <c r="I24" s="335"/>
      <c r="J24" s="335"/>
      <c r="K24" s="335"/>
      <c r="L24" s="335"/>
      <c r="M24" s="335"/>
      <c r="N24" s="335"/>
      <c r="O24" s="335"/>
      <c r="P24" s="335"/>
      <c r="Q24" s="335"/>
      <c r="R24" s="335"/>
      <c r="S24" s="335"/>
      <c r="T24" s="335"/>
      <c r="U24" s="335"/>
      <c r="V24" s="335"/>
      <c r="W24" s="335"/>
      <c r="X24" s="335"/>
      <c r="Y24" s="335"/>
      <c r="Z24" s="335"/>
      <c r="AA24" s="335"/>
      <c r="AB24" s="335"/>
      <c r="AC24" s="335"/>
      <c r="AD24" s="335"/>
      <c r="AE24" s="335"/>
      <c r="AF24" s="335"/>
      <c r="AG24" s="335"/>
      <c r="AH24" s="335"/>
      <c r="AI24" s="335"/>
      <c r="AJ24" s="335"/>
      <c r="AK24" s="335"/>
      <c r="AL24" s="335"/>
      <c r="AM24" s="335"/>
      <c r="AN24" s="335"/>
      <c r="AO24" s="335"/>
      <c r="AP24" s="335"/>
      <c r="AQ24" s="335"/>
      <c r="AR24" s="335"/>
      <c r="AS24" s="335"/>
      <c r="AT24" s="335"/>
      <c r="AU24" s="335"/>
      <c r="AV24" s="335"/>
      <c r="AW24" s="335"/>
      <c r="AX24" s="335"/>
      <c r="AY24" s="335"/>
      <c r="AZ24" s="335"/>
      <c r="BA24" s="335"/>
      <c r="BB24" s="335"/>
      <c r="BC24" s="335"/>
      <c r="BD24" s="335"/>
      <c r="BE24" s="335"/>
      <c r="BF24" s="335"/>
      <c r="BG24" s="335"/>
      <c r="BH24" s="335"/>
      <c r="BI24" s="335"/>
      <c r="BJ24" s="335"/>
      <c r="BK24" s="335"/>
      <c r="BL24" s="335"/>
      <c r="BM24" s="335"/>
      <c r="BN24" s="335"/>
      <c r="BO24" s="335"/>
      <c r="BP24" s="335"/>
      <c r="BQ24" s="335"/>
      <c r="BR24" s="335"/>
      <c r="BS24" s="335"/>
      <c r="BT24" s="335"/>
      <c r="BU24" s="335"/>
      <c r="BV24" s="335"/>
      <c r="BW24" s="335"/>
      <c r="BX24" s="335"/>
      <c r="BY24" s="335"/>
      <c r="BZ24" s="335"/>
      <c r="CA24" s="335"/>
      <c r="CB24" s="335"/>
      <c r="CC24" s="335"/>
      <c r="CD24" s="335"/>
      <c r="CE24" s="335"/>
      <c r="CF24" s="335"/>
      <c r="CG24" s="335"/>
      <c r="CH24" s="335"/>
      <c r="CI24" s="335"/>
      <c r="CJ24" s="335"/>
      <c r="CK24" s="335"/>
      <c r="CL24" s="335"/>
      <c r="CM24" s="335"/>
      <c r="CN24" s="335"/>
      <c r="CO24" s="335"/>
      <c r="CP24" s="335"/>
      <c r="CQ24" s="335"/>
      <c r="CR24" s="335"/>
      <c r="CS24" s="335"/>
      <c r="CT24" s="335"/>
      <c r="CU24" s="335"/>
      <c r="CV24" s="335"/>
      <c r="CW24" s="335"/>
      <c r="CX24" s="335"/>
      <c r="CY24" s="335"/>
      <c r="CZ24" s="335"/>
      <c r="DA24" s="335"/>
      <c r="DB24" s="335"/>
      <c r="DC24" s="335"/>
      <c r="DD24" s="335"/>
      <c r="DE24" s="335"/>
      <c r="DF24" s="335"/>
      <c r="DG24" s="335"/>
      <c r="DH24" s="335"/>
      <c r="DI24" s="335"/>
    </row>
    <row r="25" spans="2:116" ht="18.75" customHeight="1">
      <c r="B25" s="339"/>
      <c r="C25" s="339"/>
      <c r="D25" s="335"/>
      <c r="E25" s="335"/>
      <c r="F25" s="335"/>
      <c r="G25" s="335"/>
      <c r="H25" s="335"/>
      <c r="I25" s="335"/>
      <c r="J25" s="335"/>
      <c r="K25" s="335"/>
      <c r="L25" s="335"/>
      <c r="M25" s="335"/>
      <c r="N25" s="335"/>
      <c r="O25" s="335"/>
      <c r="P25" s="335"/>
      <c r="Q25" s="335"/>
      <c r="R25" s="335"/>
      <c r="S25" s="335"/>
      <c r="T25" s="335"/>
      <c r="U25" s="335"/>
      <c r="V25" s="335"/>
      <c r="W25" s="335"/>
      <c r="X25" s="335"/>
      <c r="Y25" s="335"/>
      <c r="Z25" s="335"/>
      <c r="AA25" s="335"/>
      <c r="AB25" s="335"/>
      <c r="AC25" s="335"/>
      <c r="AD25" s="335"/>
      <c r="AE25" s="335"/>
      <c r="AF25" s="335"/>
      <c r="AG25" s="335"/>
      <c r="AH25" s="335"/>
      <c r="AI25" s="335"/>
      <c r="AJ25" s="335"/>
      <c r="AK25" s="335"/>
      <c r="AL25" s="335"/>
      <c r="AM25" s="335"/>
      <c r="AN25" s="335"/>
      <c r="AO25" s="335"/>
      <c r="AP25" s="335"/>
      <c r="AQ25" s="335"/>
      <c r="AR25" s="335"/>
      <c r="AS25" s="335"/>
      <c r="AT25" s="335"/>
      <c r="AU25" s="335"/>
      <c r="AV25" s="335"/>
      <c r="AW25" s="335"/>
      <c r="AX25" s="335"/>
      <c r="AY25" s="335"/>
      <c r="AZ25" s="335"/>
      <c r="BA25" s="335"/>
      <c r="BB25" s="335"/>
      <c r="BC25" s="335"/>
      <c r="BD25" s="335"/>
      <c r="BE25" s="335"/>
      <c r="BF25" s="335"/>
      <c r="BG25" s="335"/>
      <c r="BH25" s="335"/>
      <c r="BI25" s="335"/>
      <c r="BJ25" s="335"/>
      <c r="BK25" s="335"/>
      <c r="BL25" s="335"/>
      <c r="BM25" s="335"/>
      <c r="BN25" s="335"/>
      <c r="BO25" s="335"/>
      <c r="BP25" s="335"/>
      <c r="BQ25" s="335"/>
      <c r="BR25" s="335"/>
      <c r="BS25" s="335"/>
      <c r="BT25" s="335"/>
      <c r="BU25" s="335"/>
      <c r="BV25" s="335"/>
      <c r="BW25" s="335"/>
      <c r="BX25" s="335"/>
      <c r="BY25" s="335"/>
      <c r="BZ25" s="335"/>
      <c r="CA25" s="335"/>
      <c r="CB25" s="335"/>
      <c r="CC25" s="335"/>
      <c r="CD25" s="335"/>
      <c r="CE25" s="335"/>
      <c r="CF25" s="335"/>
      <c r="CG25" s="335"/>
      <c r="CH25" s="335"/>
      <c r="CI25" s="335"/>
      <c r="CJ25" s="335"/>
      <c r="CK25" s="335"/>
      <c r="CL25" s="335"/>
      <c r="CM25" s="335"/>
      <c r="CN25" s="335"/>
      <c r="CO25" s="335"/>
      <c r="CP25" s="335"/>
      <c r="CQ25" s="335"/>
      <c r="CR25" s="335"/>
      <c r="CS25" s="335"/>
      <c r="CT25" s="335"/>
      <c r="CU25" s="335"/>
      <c r="CV25" s="335"/>
      <c r="CW25" s="335"/>
      <c r="CX25" s="335"/>
      <c r="CY25" s="335"/>
      <c r="CZ25" s="335"/>
      <c r="DA25" s="335"/>
      <c r="DB25" s="335"/>
      <c r="DC25" s="335"/>
      <c r="DD25" s="335"/>
      <c r="DE25" s="335"/>
      <c r="DF25" s="335"/>
      <c r="DG25" s="335"/>
      <c r="DH25" s="335"/>
      <c r="DI25" s="335"/>
    </row>
    <row r="28" spans="2:116" ht="18.75" customHeight="1">
      <c r="C28" s="342"/>
    </row>
    <row r="29" spans="2:116" ht="18.75" customHeight="1">
      <c r="C29" s="343"/>
    </row>
  </sheetData>
  <mergeCells count="9">
    <mergeCell ref="D3:T3"/>
    <mergeCell ref="U3:AY3"/>
    <mergeCell ref="AZ3:CD3"/>
    <mergeCell ref="CE3:DI3"/>
    <mergeCell ref="B5:B8"/>
    <mergeCell ref="B9:B13"/>
    <mergeCell ref="B14:B18"/>
    <mergeCell ref="B19:B21"/>
    <mergeCell ref="B3:C4"/>
  </mergeCells>
  <phoneticPr fontId="60"/>
  <pageMargins left="0.7" right="0.7" top="0.75" bottom="0.75" header="0.511811023622047" footer="0.511811023622047"/>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337"/>
  <sheetViews>
    <sheetView showGridLines="0" zoomScaleNormal="100" workbookViewId="0">
      <pane ySplit="3" topLeftCell="A215" activePane="bottomLeft" state="frozen"/>
      <selection pane="bottomLeft" activeCell="E354" sqref="E354"/>
    </sheetView>
  </sheetViews>
  <sheetFormatPr defaultColWidth="8.75" defaultRowHeight="18"/>
  <cols>
    <col min="1" max="1" width="8.4140625" style="6" customWidth="1"/>
    <col min="2" max="2" width="10.25" style="344" customWidth="1"/>
    <col min="3" max="3" width="7.4140625" style="345" customWidth="1"/>
    <col min="4" max="6" width="30.6640625" style="6" customWidth="1"/>
    <col min="7" max="16384" width="8.75" style="6"/>
  </cols>
  <sheetData>
    <row r="1" spans="1:6" ht="9" customHeight="1">
      <c r="C1" s="346"/>
      <c r="D1" s="346"/>
      <c r="E1" s="346"/>
      <c r="F1" s="346"/>
    </row>
    <row r="2" spans="1:6" ht="18" customHeight="1">
      <c r="A2" s="346"/>
      <c r="B2" s="347" t="s">
        <v>472</v>
      </c>
      <c r="C2" s="346"/>
      <c r="D2" s="346"/>
      <c r="E2" s="346"/>
      <c r="F2" s="346"/>
    </row>
    <row r="3" spans="1:6" ht="23.25" customHeight="1">
      <c r="B3" s="348" t="s">
        <v>473</v>
      </c>
      <c r="C3" s="348" t="s">
        <v>474</v>
      </c>
      <c r="D3" s="349" t="s">
        <v>475</v>
      </c>
      <c r="E3" s="349" t="s">
        <v>476</v>
      </c>
      <c r="F3" s="350" t="s">
        <v>477</v>
      </c>
    </row>
    <row r="4" spans="1:6" ht="18.75" customHeight="1">
      <c r="A4" s="351" t="s">
        <v>478</v>
      </c>
      <c r="B4" s="352">
        <v>45931</v>
      </c>
      <c r="C4" s="352" t="str">
        <f t="shared" ref="C4:C67" si="0">TEXT(B4,"aaa")</f>
        <v>水</v>
      </c>
      <c r="D4" s="659" t="s">
        <v>479</v>
      </c>
      <c r="E4" s="659"/>
      <c r="F4" s="659"/>
    </row>
    <row r="5" spans="1:6" ht="18.75" customHeight="1">
      <c r="B5" s="337">
        <f t="shared" ref="B5:B68" si="1">B4+1</f>
        <v>45932</v>
      </c>
      <c r="C5" s="337" t="str">
        <f t="shared" si="0"/>
        <v>木</v>
      </c>
      <c r="D5" s="353"/>
      <c r="E5" s="354" t="s">
        <v>480</v>
      </c>
      <c r="F5" s="353"/>
    </row>
    <row r="6" spans="1:6" ht="18.75" customHeight="1">
      <c r="B6" s="337">
        <f t="shared" si="1"/>
        <v>45933</v>
      </c>
      <c r="C6" s="337" t="str">
        <f t="shared" si="0"/>
        <v>金</v>
      </c>
      <c r="D6" s="353"/>
      <c r="E6" s="354" t="s">
        <v>481</v>
      </c>
      <c r="F6" s="355" t="s">
        <v>482</v>
      </c>
    </row>
    <row r="7" spans="1:6" ht="18" customHeight="1">
      <c r="B7" s="356">
        <f t="shared" si="1"/>
        <v>45934</v>
      </c>
      <c r="C7" s="356" t="str">
        <f t="shared" si="0"/>
        <v>土</v>
      </c>
      <c r="D7" s="353"/>
      <c r="E7" s="353"/>
      <c r="F7" s="353"/>
    </row>
    <row r="8" spans="1:6" ht="18.75" customHeight="1">
      <c r="B8" s="357">
        <f t="shared" si="1"/>
        <v>45935</v>
      </c>
      <c r="C8" s="357" t="str">
        <f t="shared" si="0"/>
        <v>日</v>
      </c>
      <c r="D8" s="353"/>
      <c r="E8" s="353"/>
      <c r="F8" s="353"/>
    </row>
    <row r="9" spans="1:6" ht="18.75" customHeight="1">
      <c r="B9" s="337">
        <f t="shared" si="1"/>
        <v>45936</v>
      </c>
      <c r="C9" s="337" t="str">
        <f t="shared" si="0"/>
        <v>月</v>
      </c>
      <c r="D9" s="353"/>
      <c r="E9" s="353"/>
      <c r="F9" s="353"/>
    </row>
    <row r="10" spans="1:6" ht="18.75" customHeight="1">
      <c r="B10" s="337">
        <f t="shared" si="1"/>
        <v>45937</v>
      </c>
      <c r="C10" s="337" t="str">
        <f t="shared" si="0"/>
        <v>火</v>
      </c>
      <c r="D10" s="353"/>
      <c r="E10" s="353"/>
      <c r="F10" s="353"/>
    </row>
    <row r="11" spans="1:6" ht="18.75" customHeight="1">
      <c r="B11" s="337">
        <f t="shared" si="1"/>
        <v>45938</v>
      </c>
      <c r="C11" s="337" t="str">
        <f t="shared" si="0"/>
        <v>水</v>
      </c>
      <c r="D11" s="660" t="s">
        <v>449</v>
      </c>
      <c r="E11" s="660"/>
      <c r="F11" s="660"/>
    </row>
    <row r="12" spans="1:6" ht="18.75" customHeight="1">
      <c r="B12" s="337">
        <f t="shared" si="1"/>
        <v>45939</v>
      </c>
      <c r="C12" s="337" t="str">
        <f t="shared" si="0"/>
        <v>木</v>
      </c>
      <c r="D12" s="353"/>
      <c r="E12" s="353"/>
      <c r="F12" s="353"/>
    </row>
    <row r="13" spans="1:6" ht="18.75" customHeight="1">
      <c r="B13" s="337">
        <f t="shared" si="1"/>
        <v>45940</v>
      </c>
      <c r="C13" s="337" t="str">
        <f t="shared" si="0"/>
        <v>金</v>
      </c>
      <c r="D13" s="353"/>
      <c r="E13" s="353"/>
      <c r="F13" s="353"/>
    </row>
    <row r="14" spans="1:6" ht="18" customHeight="1">
      <c r="B14" s="356">
        <f t="shared" si="1"/>
        <v>45941</v>
      </c>
      <c r="C14" s="356" t="str">
        <f t="shared" si="0"/>
        <v>土</v>
      </c>
      <c r="D14" s="353"/>
      <c r="E14" s="353"/>
      <c r="F14" s="353"/>
    </row>
    <row r="15" spans="1:6" ht="18.75" customHeight="1">
      <c r="B15" s="357">
        <f t="shared" si="1"/>
        <v>45942</v>
      </c>
      <c r="C15" s="357" t="str">
        <f t="shared" si="0"/>
        <v>日</v>
      </c>
      <c r="D15" s="353"/>
      <c r="E15" s="353"/>
      <c r="F15" s="353"/>
    </row>
    <row r="16" spans="1:6" ht="18.75" customHeight="1">
      <c r="B16" s="358">
        <f t="shared" si="1"/>
        <v>45943</v>
      </c>
      <c r="C16" s="358" t="str">
        <f t="shared" si="0"/>
        <v>月</v>
      </c>
      <c r="D16" s="353"/>
      <c r="E16" s="353"/>
      <c r="F16" s="353"/>
    </row>
    <row r="17" spans="2:6" ht="18.75" customHeight="1">
      <c r="B17" s="337">
        <f t="shared" si="1"/>
        <v>45944</v>
      </c>
      <c r="C17" s="337" t="str">
        <f t="shared" si="0"/>
        <v>火</v>
      </c>
      <c r="D17" s="353"/>
      <c r="E17" s="354" t="s">
        <v>451</v>
      </c>
      <c r="F17" s="353"/>
    </row>
    <row r="18" spans="2:6" ht="18.75" customHeight="1">
      <c r="B18" s="337">
        <f t="shared" si="1"/>
        <v>45945</v>
      </c>
      <c r="C18" s="337" t="str">
        <f t="shared" si="0"/>
        <v>水</v>
      </c>
      <c r="D18" s="353"/>
      <c r="E18" s="354" t="s">
        <v>483</v>
      </c>
      <c r="F18" s="353"/>
    </row>
    <row r="19" spans="2:6" ht="18.75" customHeight="1">
      <c r="B19" s="337">
        <f t="shared" si="1"/>
        <v>45946</v>
      </c>
      <c r="C19" s="337" t="str">
        <f t="shared" si="0"/>
        <v>木</v>
      </c>
      <c r="D19" s="353"/>
      <c r="E19" s="353"/>
      <c r="F19" s="353"/>
    </row>
    <row r="20" spans="2:6" ht="18.75" customHeight="1">
      <c r="B20" s="337">
        <f t="shared" si="1"/>
        <v>45947</v>
      </c>
      <c r="C20" s="337" t="str">
        <f t="shared" si="0"/>
        <v>金</v>
      </c>
      <c r="D20" s="354" t="s">
        <v>484</v>
      </c>
      <c r="E20" s="359" t="s">
        <v>485</v>
      </c>
      <c r="F20" s="354" t="s">
        <v>486</v>
      </c>
    </row>
    <row r="21" spans="2:6" ht="18" customHeight="1">
      <c r="B21" s="356">
        <f t="shared" si="1"/>
        <v>45948</v>
      </c>
      <c r="C21" s="356" t="str">
        <f t="shared" si="0"/>
        <v>土</v>
      </c>
      <c r="D21" s="353"/>
      <c r="E21" s="353"/>
      <c r="F21" s="353"/>
    </row>
    <row r="22" spans="2:6" ht="18.75" customHeight="1">
      <c r="B22" s="357">
        <f t="shared" si="1"/>
        <v>45949</v>
      </c>
      <c r="C22" s="357" t="str">
        <f t="shared" si="0"/>
        <v>日</v>
      </c>
      <c r="D22" s="353"/>
      <c r="E22" s="353"/>
      <c r="F22" s="353"/>
    </row>
    <row r="23" spans="2:6" ht="18.75" customHeight="1">
      <c r="B23" s="337">
        <f t="shared" si="1"/>
        <v>45950</v>
      </c>
      <c r="C23" s="337" t="str">
        <f t="shared" si="0"/>
        <v>月</v>
      </c>
      <c r="D23" s="353"/>
      <c r="E23" s="353"/>
      <c r="F23" s="353"/>
    </row>
    <row r="24" spans="2:6" ht="18.75" customHeight="1">
      <c r="B24" s="337">
        <f t="shared" si="1"/>
        <v>45951</v>
      </c>
      <c r="C24" s="337" t="str">
        <f t="shared" si="0"/>
        <v>火</v>
      </c>
      <c r="D24" s="353"/>
      <c r="E24" s="353"/>
      <c r="F24" s="353"/>
    </row>
    <row r="25" spans="2:6" ht="18.75" customHeight="1">
      <c r="B25" s="337">
        <f t="shared" si="1"/>
        <v>45952</v>
      </c>
      <c r="C25" s="337" t="str">
        <f t="shared" si="0"/>
        <v>水</v>
      </c>
      <c r="D25" s="353"/>
      <c r="E25" s="354" t="s">
        <v>487</v>
      </c>
      <c r="F25" s="353"/>
    </row>
    <row r="26" spans="2:6" ht="18" customHeight="1">
      <c r="B26" s="337">
        <f t="shared" si="1"/>
        <v>45953</v>
      </c>
      <c r="C26" s="337" t="str">
        <f t="shared" si="0"/>
        <v>木</v>
      </c>
      <c r="D26" s="353"/>
      <c r="E26" s="353"/>
      <c r="F26" s="353"/>
    </row>
    <row r="27" spans="2:6" ht="18.75" customHeight="1">
      <c r="B27" s="337">
        <f t="shared" si="1"/>
        <v>45954</v>
      </c>
      <c r="C27" s="337" t="str">
        <f t="shared" si="0"/>
        <v>金</v>
      </c>
      <c r="D27" s="353"/>
      <c r="E27" s="353"/>
      <c r="F27" s="353"/>
    </row>
    <row r="28" spans="2:6" ht="18.75" customHeight="1">
      <c r="B28" s="356">
        <f t="shared" si="1"/>
        <v>45955</v>
      </c>
      <c r="C28" s="356" t="str">
        <f t="shared" si="0"/>
        <v>土</v>
      </c>
      <c r="D28" s="353"/>
      <c r="E28" s="353"/>
      <c r="F28" s="353"/>
    </row>
    <row r="29" spans="2:6" ht="18.75" customHeight="1">
      <c r="B29" s="357">
        <f t="shared" si="1"/>
        <v>45956</v>
      </c>
      <c r="C29" s="357" t="str">
        <f t="shared" si="0"/>
        <v>日</v>
      </c>
      <c r="D29" s="353"/>
      <c r="E29" s="353"/>
      <c r="F29" s="353"/>
    </row>
    <row r="30" spans="2:6" ht="18.75" customHeight="1">
      <c r="B30" s="337">
        <f t="shared" si="1"/>
        <v>45957</v>
      </c>
      <c r="C30" s="337" t="str">
        <f t="shared" si="0"/>
        <v>月</v>
      </c>
      <c r="D30" s="353"/>
      <c r="E30" s="656" t="s">
        <v>488</v>
      </c>
      <c r="F30" s="656"/>
    </row>
    <row r="31" spans="2:6" ht="18.75" customHeight="1">
      <c r="B31" s="337">
        <f t="shared" si="1"/>
        <v>45958</v>
      </c>
      <c r="C31" s="337" t="str">
        <f t="shared" si="0"/>
        <v>火</v>
      </c>
      <c r="D31" s="656" t="s">
        <v>489</v>
      </c>
      <c r="E31" s="354" t="s">
        <v>490</v>
      </c>
      <c r="F31" s="656" t="s">
        <v>489</v>
      </c>
    </row>
    <row r="32" spans="2:6" ht="18.75" customHeight="1">
      <c r="B32" s="337">
        <f t="shared" si="1"/>
        <v>45959</v>
      </c>
      <c r="C32" s="337" t="str">
        <f t="shared" si="0"/>
        <v>水</v>
      </c>
      <c r="D32" s="656"/>
      <c r="E32" s="656" t="s">
        <v>491</v>
      </c>
      <c r="F32" s="656"/>
    </row>
    <row r="33" spans="2:6" ht="18.75" customHeight="1">
      <c r="B33" s="337">
        <f t="shared" si="1"/>
        <v>45960</v>
      </c>
      <c r="C33" s="337" t="str">
        <f t="shared" si="0"/>
        <v>木</v>
      </c>
      <c r="D33" s="656"/>
      <c r="E33" s="656"/>
      <c r="F33" s="656"/>
    </row>
    <row r="34" spans="2:6" ht="18.75" customHeight="1">
      <c r="B34" s="337">
        <f t="shared" si="1"/>
        <v>45961</v>
      </c>
      <c r="C34" s="337" t="str">
        <f t="shared" si="0"/>
        <v>金</v>
      </c>
      <c r="D34" s="656"/>
      <c r="E34" s="656"/>
      <c r="F34" s="656"/>
    </row>
    <row r="35" spans="2:6" ht="18.75" customHeight="1">
      <c r="B35" s="356">
        <f t="shared" si="1"/>
        <v>45962</v>
      </c>
      <c r="C35" s="356" t="str">
        <f t="shared" si="0"/>
        <v>土</v>
      </c>
      <c r="D35" s="353"/>
      <c r="E35" s="353"/>
      <c r="F35" s="353"/>
    </row>
    <row r="36" spans="2:6" ht="18.75" customHeight="1">
      <c r="B36" s="357">
        <f t="shared" si="1"/>
        <v>45963</v>
      </c>
      <c r="C36" s="357" t="str">
        <f t="shared" si="0"/>
        <v>日</v>
      </c>
      <c r="D36" s="353"/>
      <c r="E36" s="353"/>
      <c r="F36" s="353"/>
    </row>
    <row r="37" spans="2:6" ht="18.75" customHeight="1">
      <c r="B37" s="358">
        <f t="shared" si="1"/>
        <v>45964</v>
      </c>
      <c r="C37" s="358" t="str">
        <f t="shared" si="0"/>
        <v>月</v>
      </c>
      <c r="D37" s="353"/>
      <c r="E37" s="353"/>
      <c r="F37" s="353"/>
    </row>
    <row r="38" spans="2:6" ht="18.75" customHeight="1">
      <c r="B38" s="337">
        <f t="shared" si="1"/>
        <v>45965</v>
      </c>
      <c r="C38" s="337" t="str">
        <f t="shared" si="0"/>
        <v>火</v>
      </c>
      <c r="D38" s="656" t="s">
        <v>489</v>
      </c>
      <c r="E38" s="656" t="s">
        <v>491</v>
      </c>
      <c r="F38" s="656" t="s">
        <v>489</v>
      </c>
    </row>
    <row r="39" spans="2:6" ht="18.75" customHeight="1">
      <c r="B39" s="337">
        <f t="shared" si="1"/>
        <v>45966</v>
      </c>
      <c r="C39" s="337" t="str">
        <f t="shared" si="0"/>
        <v>水</v>
      </c>
      <c r="D39" s="656"/>
      <c r="E39" s="656"/>
      <c r="F39" s="656"/>
    </row>
    <row r="40" spans="2:6" ht="18.75" customHeight="1">
      <c r="B40" s="337">
        <f t="shared" si="1"/>
        <v>45967</v>
      </c>
      <c r="C40" s="337" t="str">
        <f t="shared" si="0"/>
        <v>木</v>
      </c>
      <c r="D40" s="656"/>
      <c r="E40" s="656"/>
      <c r="F40" s="656"/>
    </row>
    <row r="41" spans="2:6" ht="18.75" customHeight="1">
      <c r="B41" s="337">
        <f t="shared" si="1"/>
        <v>45968</v>
      </c>
      <c r="C41" s="337" t="str">
        <f t="shared" si="0"/>
        <v>金</v>
      </c>
      <c r="D41" s="656"/>
      <c r="E41" s="656"/>
      <c r="F41" s="656"/>
    </row>
    <row r="42" spans="2:6" ht="18" customHeight="1">
      <c r="B42" s="356">
        <f t="shared" si="1"/>
        <v>45969</v>
      </c>
      <c r="C42" s="356" t="str">
        <f t="shared" si="0"/>
        <v>土</v>
      </c>
      <c r="D42" s="353"/>
      <c r="E42" s="353"/>
      <c r="F42" s="353"/>
    </row>
    <row r="43" spans="2:6" ht="18.75" customHeight="1">
      <c r="B43" s="357">
        <f t="shared" si="1"/>
        <v>45970</v>
      </c>
      <c r="C43" s="357" t="str">
        <f t="shared" si="0"/>
        <v>日</v>
      </c>
      <c r="D43" s="353"/>
      <c r="E43" s="353"/>
      <c r="F43" s="353"/>
    </row>
    <row r="44" spans="2:6" ht="18.75" customHeight="1">
      <c r="B44" s="337">
        <f t="shared" si="1"/>
        <v>45971</v>
      </c>
      <c r="C44" s="337" t="str">
        <f t="shared" si="0"/>
        <v>月</v>
      </c>
      <c r="D44" s="656" t="s">
        <v>489</v>
      </c>
      <c r="E44" s="656" t="s">
        <v>491</v>
      </c>
      <c r="F44" s="656" t="s">
        <v>489</v>
      </c>
    </row>
    <row r="45" spans="2:6" ht="18.75" customHeight="1">
      <c r="B45" s="337">
        <f t="shared" si="1"/>
        <v>45972</v>
      </c>
      <c r="C45" s="337" t="str">
        <f t="shared" si="0"/>
        <v>火</v>
      </c>
      <c r="D45" s="656"/>
      <c r="E45" s="656"/>
      <c r="F45" s="656"/>
    </row>
    <row r="46" spans="2:6" ht="18.75" customHeight="1">
      <c r="B46" s="337">
        <f t="shared" si="1"/>
        <v>45973</v>
      </c>
      <c r="C46" s="337" t="str">
        <f t="shared" si="0"/>
        <v>水</v>
      </c>
      <c r="D46" s="656" t="s">
        <v>492</v>
      </c>
      <c r="E46" s="656"/>
      <c r="F46" s="656"/>
    </row>
    <row r="47" spans="2:6" ht="18.75" customHeight="1">
      <c r="B47" s="337">
        <f t="shared" si="1"/>
        <v>45974</v>
      </c>
      <c r="C47" s="337" t="str">
        <f t="shared" si="0"/>
        <v>木</v>
      </c>
      <c r="D47" s="353"/>
      <c r="E47" s="353"/>
      <c r="F47" s="353"/>
    </row>
    <row r="48" spans="2:6" ht="18.75" customHeight="1">
      <c r="B48" s="337">
        <f t="shared" si="1"/>
        <v>45975</v>
      </c>
      <c r="C48" s="337" t="str">
        <f t="shared" si="0"/>
        <v>金</v>
      </c>
      <c r="D48" s="353"/>
      <c r="E48" s="353"/>
      <c r="F48" s="353"/>
    </row>
    <row r="49" spans="2:6" ht="18.75" customHeight="1">
      <c r="B49" s="356">
        <f t="shared" si="1"/>
        <v>45976</v>
      </c>
      <c r="C49" s="356" t="str">
        <f t="shared" si="0"/>
        <v>土</v>
      </c>
      <c r="D49" s="353"/>
      <c r="E49" s="353"/>
      <c r="F49" s="353"/>
    </row>
    <row r="50" spans="2:6" ht="18.75" customHeight="1">
      <c r="B50" s="357">
        <f t="shared" si="1"/>
        <v>45977</v>
      </c>
      <c r="C50" s="357" t="str">
        <f t="shared" si="0"/>
        <v>日</v>
      </c>
      <c r="D50" s="353"/>
      <c r="E50" s="353"/>
      <c r="F50" s="353"/>
    </row>
    <row r="51" spans="2:6" ht="18.75" customHeight="1">
      <c r="B51" s="337">
        <f t="shared" si="1"/>
        <v>45978</v>
      </c>
      <c r="C51" s="337" t="str">
        <f t="shared" si="0"/>
        <v>月</v>
      </c>
      <c r="D51" s="353"/>
      <c r="E51" s="354" t="s">
        <v>493</v>
      </c>
      <c r="F51" s="354" t="s">
        <v>494</v>
      </c>
    </row>
    <row r="52" spans="2:6" ht="18.75" customHeight="1">
      <c r="B52" s="337">
        <f t="shared" si="1"/>
        <v>45979</v>
      </c>
      <c r="C52" s="337" t="str">
        <f t="shared" si="0"/>
        <v>火</v>
      </c>
      <c r="D52" s="353"/>
      <c r="E52" s="353"/>
      <c r="F52" s="353"/>
    </row>
    <row r="53" spans="2:6" ht="18.75" customHeight="1">
      <c r="B53" s="337">
        <f t="shared" si="1"/>
        <v>45980</v>
      </c>
      <c r="C53" s="337" t="str">
        <f t="shared" si="0"/>
        <v>水</v>
      </c>
      <c r="D53" s="353"/>
      <c r="E53" s="353"/>
      <c r="F53" s="353"/>
    </row>
    <row r="54" spans="2:6" ht="18.75" customHeight="1">
      <c r="B54" s="337">
        <f t="shared" si="1"/>
        <v>45981</v>
      </c>
      <c r="C54" s="337" t="str">
        <f t="shared" si="0"/>
        <v>木</v>
      </c>
      <c r="D54" s="353"/>
      <c r="E54" s="353"/>
      <c r="F54" s="353"/>
    </row>
    <row r="55" spans="2:6" ht="18.75" customHeight="1">
      <c r="B55" s="337">
        <f t="shared" si="1"/>
        <v>45982</v>
      </c>
      <c r="C55" s="337" t="str">
        <f t="shared" si="0"/>
        <v>金</v>
      </c>
      <c r="D55" s="353"/>
      <c r="E55" s="354" t="s">
        <v>495</v>
      </c>
      <c r="F55" s="353"/>
    </row>
    <row r="56" spans="2:6" ht="18.75" customHeight="1">
      <c r="B56" s="356">
        <f t="shared" si="1"/>
        <v>45983</v>
      </c>
      <c r="C56" s="356" t="str">
        <f t="shared" si="0"/>
        <v>土</v>
      </c>
      <c r="D56" s="353"/>
      <c r="E56" s="353"/>
      <c r="F56" s="353"/>
    </row>
    <row r="57" spans="2:6" ht="18.75" customHeight="1">
      <c r="B57" s="358">
        <f t="shared" si="1"/>
        <v>45984</v>
      </c>
      <c r="C57" s="358" t="str">
        <f t="shared" si="0"/>
        <v>日</v>
      </c>
      <c r="D57" s="353"/>
      <c r="E57" s="353"/>
      <c r="F57" s="353"/>
    </row>
    <row r="58" spans="2:6" ht="18.75" customHeight="1">
      <c r="B58" s="358">
        <f t="shared" si="1"/>
        <v>45985</v>
      </c>
      <c r="C58" s="358" t="str">
        <f t="shared" si="0"/>
        <v>月</v>
      </c>
      <c r="D58" s="353"/>
      <c r="E58" s="353"/>
      <c r="F58" s="353"/>
    </row>
    <row r="59" spans="2:6" ht="18.75" customHeight="1">
      <c r="B59" s="337">
        <f t="shared" si="1"/>
        <v>45986</v>
      </c>
      <c r="C59" s="337" t="str">
        <f t="shared" si="0"/>
        <v>火</v>
      </c>
      <c r="D59" s="353"/>
      <c r="E59" s="354" t="s">
        <v>496</v>
      </c>
      <c r="F59" s="353"/>
    </row>
    <row r="60" spans="2:6" ht="18.75" customHeight="1">
      <c r="B60" s="337">
        <f t="shared" si="1"/>
        <v>45987</v>
      </c>
      <c r="C60" s="337" t="str">
        <f t="shared" si="0"/>
        <v>水</v>
      </c>
      <c r="D60" s="656" t="s">
        <v>497</v>
      </c>
      <c r="E60" s="656"/>
      <c r="F60" s="656"/>
    </row>
    <row r="61" spans="2:6" ht="18.75" customHeight="1">
      <c r="B61" s="337">
        <f t="shared" si="1"/>
        <v>45988</v>
      </c>
      <c r="C61" s="337" t="str">
        <f t="shared" si="0"/>
        <v>木</v>
      </c>
      <c r="D61" s="656"/>
      <c r="E61" s="656"/>
      <c r="F61" s="656"/>
    </row>
    <row r="62" spans="2:6" ht="18.75" customHeight="1">
      <c r="B62" s="337">
        <f t="shared" si="1"/>
        <v>45989</v>
      </c>
      <c r="C62" s="337" t="str">
        <f t="shared" si="0"/>
        <v>金</v>
      </c>
      <c r="D62" s="656"/>
      <c r="E62" s="656"/>
      <c r="F62" s="656"/>
    </row>
    <row r="63" spans="2:6" ht="18.75" customHeight="1">
      <c r="B63" s="356">
        <f t="shared" si="1"/>
        <v>45990</v>
      </c>
      <c r="C63" s="356" t="str">
        <f t="shared" si="0"/>
        <v>土</v>
      </c>
      <c r="D63" s="353"/>
      <c r="E63" s="353"/>
      <c r="F63" s="353"/>
    </row>
    <row r="64" spans="2:6" ht="18.75" customHeight="1">
      <c r="B64" s="357">
        <f t="shared" si="1"/>
        <v>45991</v>
      </c>
      <c r="C64" s="357" t="str">
        <f t="shared" si="0"/>
        <v>日</v>
      </c>
      <c r="D64" s="353"/>
      <c r="E64" s="353"/>
      <c r="F64" s="353"/>
    </row>
    <row r="65" spans="2:6" ht="18.75" customHeight="1">
      <c r="B65" s="337">
        <f t="shared" si="1"/>
        <v>45992</v>
      </c>
      <c r="C65" s="337" t="str">
        <f t="shared" si="0"/>
        <v>月</v>
      </c>
      <c r="D65" s="656" t="s">
        <v>497</v>
      </c>
      <c r="E65" s="656"/>
      <c r="F65" s="656"/>
    </row>
    <row r="66" spans="2:6" ht="18.75" customHeight="1">
      <c r="B66" s="337">
        <f t="shared" si="1"/>
        <v>45993</v>
      </c>
      <c r="C66" s="337" t="str">
        <f t="shared" si="0"/>
        <v>火</v>
      </c>
      <c r="D66" s="656"/>
      <c r="E66" s="656"/>
      <c r="F66" s="656"/>
    </row>
    <row r="67" spans="2:6" ht="18.75" customHeight="1">
      <c r="B67" s="337">
        <f t="shared" si="1"/>
        <v>45994</v>
      </c>
      <c r="C67" s="337" t="str">
        <f t="shared" si="0"/>
        <v>水</v>
      </c>
      <c r="D67" s="656"/>
      <c r="E67" s="656"/>
      <c r="F67" s="656"/>
    </row>
    <row r="68" spans="2:6" ht="18.75" customHeight="1">
      <c r="B68" s="337">
        <f t="shared" si="1"/>
        <v>45995</v>
      </c>
      <c r="C68" s="337" t="str">
        <f t="shared" ref="C68:C131" si="2">TEXT(B68,"aaa")</f>
        <v>木</v>
      </c>
      <c r="D68" s="656"/>
      <c r="E68" s="656"/>
      <c r="F68" s="656"/>
    </row>
    <row r="69" spans="2:6" ht="18.75" customHeight="1">
      <c r="B69" s="337">
        <f t="shared" ref="B69:B132" si="3">B68+1</f>
        <v>45996</v>
      </c>
      <c r="C69" s="337" t="str">
        <f t="shared" si="2"/>
        <v>金</v>
      </c>
      <c r="D69" s="656"/>
      <c r="E69" s="656"/>
      <c r="F69" s="656"/>
    </row>
    <row r="70" spans="2:6" ht="18.75" customHeight="1">
      <c r="B70" s="356">
        <f t="shared" si="3"/>
        <v>45997</v>
      </c>
      <c r="C70" s="356" t="str">
        <f t="shared" si="2"/>
        <v>土</v>
      </c>
      <c r="D70" s="353"/>
      <c r="E70" s="353"/>
      <c r="F70" s="353"/>
    </row>
    <row r="71" spans="2:6" ht="18.75" customHeight="1">
      <c r="B71" s="357">
        <f t="shared" si="3"/>
        <v>45998</v>
      </c>
      <c r="C71" s="357" t="str">
        <f t="shared" si="2"/>
        <v>日</v>
      </c>
      <c r="D71" s="353"/>
      <c r="E71" s="353"/>
      <c r="F71" s="353"/>
    </row>
    <row r="72" spans="2:6" ht="18.75" customHeight="1">
      <c r="B72" s="337">
        <f t="shared" si="3"/>
        <v>45999</v>
      </c>
      <c r="C72" s="337" t="str">
        <f t="shared" si="2"/>
        <v>月</v>
      </c>
      <c r="D72" s="656" t="s">
        <v>497</v>
      </c>
      <c r="E72" s="656"/>
      <c r="F72" s="656"/>
    </row>
    <row r="73" spans="2:6" ht="18.75" customHeight="1">
      <c r="B73" s="337">
        <f t="shared" si="3"/>
        <v>46000</v>
      </c>
      <c r="C73" s="337" t="str">
        <f t="shared" si="2"/>
        <v>火</v>
      </c>
      <c r="D73" s="656"/>
      <c r="E73" s="656"/>
      <c r="F73" s="656"/>
    </row>
    <row r="74" spans="2:6" ht="18.75" customHeight="1">
      <c r="B74" s="337">
        <f t="shared" si="3"/>
        <v>46001</v>
      </c>
      <c r="C74" s="337" t="str">
        <f t="shared" si="2"/>
        <v>水</v>
      </c>
      <c r="D74" s="656"/>
      <c r="E74" s="656"/>
      <c r="F74" s="656"/>
    </row>
    <row r="75" spans="2:6" ht="18.75" customHeight="1">
      <c r="B75" s="337">
        <f t="shared" si="3"/>
        <v>46002</v>
      </c>
      <c r="C75" s="337" t="str">
        <f t="shared" si="2"/>
        <v>木</v>
      </c>
      <c r="D75" s="353"/>
      <c r="E75" s="353"/>
      <c r="F75" s="353"/>
    </row>
    <row r="76" spans="2:6" ht="18.75" customHeight="1">
      <c r="B76" s="337">
        <f t="shared" si="3"/>
        <v>46003</v>
      </c>
      <c r="C76" s="337" t="str">
        <f t="shared" si="2"/>
        <v>金</v>
      </c>
      <c r="D76" s="657" t="s">
        <v>498</v>
      </c>
      <c r="E76" s="657"/>
      <c r="F76" s="657"/>
    </row>
    <row r="77" spans="2:6" ht="18.75" customHeight="1">
      <c r="B77" s="356">
        <f t="shared" si="3"/>
        <v>46004</v>
      </c>
      <c r="C77" s="356" t="str">
        <f t="shared" si="2"/>
        <v>土</v>
      </c>
      <c r="D77" s="353"/>
      <c r="E77" s="353"/>
      <c r="F77" s="353"/>
    </row>
    <row r="78" spans="2:6" ht="18.75" customHeight="1">
      <c r="B78" s="357">
        <f t="shared" si="3"/>
        <v>46005</v>
      </c>
      <c r="C78" s="357" t="str">
        <f t="shared" si="2"/>
        <v>日</v>
      </c>
      <c r="D78" s="353"/>
      <c r="E78" s="353"/>
      <c r="F78" s="353"/>
    </row>
    <row r="79" spans="2:6" ht="18.75" customHeight="1">
      <c r="B79" s="337">
        <f t="shared" si="3"/>
        <v>46006</v>
      </c>
      <c r="C79" s="337" t="str">
        <f t="shared" si="2"/>
        <v>月</v>
      </c>
      <c r="D79" s="656" t="s">
        <v>499</v>
      </c>
      <c r="E79" s="353"/>
      <c r="F79" s="656" t="s">
        <v>499</v>
      </c>
    </row>
    <row r="80" spans="2:6" ht="18.75" customHeight="1">
      <c r="B80" s="337">
        <f t="shared" si="3"/>
        <v>46007</v>
      </c>
      <c r="C80" s="337" t="str">
        <f t="shared" si="2"/>
        <v>火</v>
      </c>
      <c r="D80" s="656"/>
      <c r="E80" s="353"/>
      <c r="F80" s="656"/>
    </row>
    <row r="81" spans="1:6" ht="18.75" customHeight="1">
      <c r="B81" s="337">
        <f t="shared" si="3"/>
        <v>46008</v>
      </c>
      <c r="C81" s="337" t="str">
        <f t="shared" si="2"/>
        <v>水</v>
      </c>
      <c r="D81" s="656"/>
      <c r="E81" s="353"/>
      <c r="F81" s="656"/>
    </row>
    <row r="82" spans="1:6" ht="18.75" customHeight="1">
      <c r="B82" s="337">
        <f t="shared" si="3"/>
        <v>46009</v>
      </c>
      <c r="C82" s="337" t="str">
        <f t="shared" si="2"/>
        <v>木</v>
      </c>
      <c r="D82" s="656"/>
      <c r="E82" s="353"/>
      <c r="F82" s="656"/>
    </row>
    <row r="83" spans="1:6" ht="18.75" customHeight="1">
      <c r="B83" s="337">
        <f t="shared" si="3"/>
        <v>46010</v>
      </c>
      <c r="C83" s="337" t="str">
        <f t="shared" si="2"/>
        <v>金</v>
      </c>
      <c r="D83" s="657" t="s">
        <v>500</v>
      </c>
      <c r="E83" s="657"/>
      <c r="F83" s="657"/>
    </row>
    <row r="84" spans="1:6" ht="18.75" customHeight="1">
      <c r="B84" s="356">
        <f t="shared" si="3"/>
        <v>46011</v>
      </c>
      <c r="C84" s="356" t="str">
        <f t="shared" si="2"/>
        <v>土</v>
      </c>
      <c r="D84" s="353"/>
      <c r="E84" s="353"/>
      <c r="F84" s="353"/>
    </row>
    <row r="85" spans="1:6" ht="18.75" customHeight="1">
      <c r="B85" s="357">
        <f t="shared" si="3"/>
        <v>46012</v>
      </c>
      <c r="C85" s="357" t="str">
        <f t="shared" si="2"/>
        <v>日</v>
      </c>
      <c r="D85" s="353"/>
      <c r="E85" s="353"/>
      <c r="F85" s="353"/>
    </row>
    <row r="86" spans="1:6" ht="18.75" customHeight="1">
      <c r="B86" s="337">
        <f t="shared" si="3"/>
        <v>46013</v>
      </c>
      <c r="C86" s="337" t="str">
        <f t="shared" si="2"/>
        <v>月</v>
      </c>
      <c r="D86" s="658" t="s">
        <v>501</v>
      </c>
      <c r="E86" s="658"/>
      <c r="F86" s="353"/>
    </row>
    <row r="87" spans="1:6" ht="18.75" customHeight="1">
      <c r="B87" s="337">
        <f t="shared" si="3"/>
        <v>46014</v>
      </c>
      <c r="C87" s="337" t="str">
        <f t="shared" si="2"/>
        <v>火</v>
      </c>
      <c r="D87" s="353"/>
      <c r="E87" s="353"/>
      <c r="F87" s="353"/>
    </row>
    <row r="88" spans="1:6" ht="18.75" customHeight="1">
      <c r="B88" s="337">
        <f t="shared" si="3"/>
        <v>46015</v>
      </c>
      <c r="C88" s="337" t="str">
        <f t="shared" si="2"/>
        <v>水</v>
      </c>
      <c r="D88" s="353"/>
      <c r="E88" s="353"/>
      <c r="F88" s="353"/>
    </row>
    <row r="89" spans="1:6" ht="18.75" customHeight="1">
      <c r="B89" s="337">
        <f t="shared" si="3"/>
        <v>46016</v>
      </c>
      <c r="C89" s="337" t="str">
        <f t="shared" si="2"/>
        <v>木</v>
      </c>
      <c r="D89" s="353"/>
      <c r="E89" s="353"/>
      <c r="F89" s="353"/>
    </row>
    <row r="90" spans="1:6" ht="18.75" customHeight="1">
      <c r="B90" s="337">
        <f t="shared" si="3"/>
        <v>46017</v>
      </c>
      <c r="C90" s="337" t="str">
        <f t="shared" si="2"/>
        <v>金</v>
      </c>
      <c r="D90" s="353"/>
      <c r="E90" s="353"/>
      <c r="F90" s="353"/>
    </row>
    <row r="91" spans="1:6" ht="18.75" customHeight="1">
      <c r="B91" s="356">
        <f t="shared" si="3"/>
        <v>46018</v>
      </c>
      <c r="C91" s="356" t="str">
        <f t="shared" si="2"/>
        <v>土</v>
      </c>
      <c r="D91" s="353"/>
      <c r="E91" s="353"/>
      <c r="F91" s="353"/>
    </row>
    <row r="92" spans="1:6" ht="18.75" customHeight="1">
      <c r="B92" s="357">
        <f t="shared" si="3"/>
        <v>46019</v>
      </c>
      <c r="C92" s="357" t="str">
        <f t="shared" si="2"/>
        <v>日</v>
      </c>
      <c r="D92" s="353"/>
      <c r="E92" s="353"/>
      <c r="F92" s="353"/>
    </row>
    <row r="93" spans="1:6" ht="18.75" customHeight="1">
      <c r="B93" s="337">
        <f t="shared" si="3"/>
        <v>46020</v>
      </c>
      <c r="C93" s="337" t="str">
        <f t="shared" si="2"/>
        <v>月</v>
      </c>
      <c r="D93" s="353"/>
      <c r="E93" s="353"/>
      <c r="F93" s="353"/>
    </row>
    <row r="94" spans="1:6" ht="18.75" customHeight="1">
      <c r="B94" s="337">
        <f t="shared" si="3"/>
        <v>46021</v>
      </c>
      <c r="C94" s="337" t="str">
        <f t="shared" si="2"/>
        <v>火</v>
      </c>
      <c r="D94" s="353"/>
      <c r="E94" s="353"/>
      <c r="F94" s="353"/>
    </row>
    <row r="95" spans="1:6" ht="18.75" customHeight="1">
      <c r="B95" s="358">
        <f t="shared" si="3"/>
        <v>46022</v>
      </c>
      <c r="C95" s="358" t="str">
        <f t="shared" si="2"/>
        <v>水</v>
      </c>
      <c r="D95" s="353"/>
      <c r="E95" s="353"/>
      <c r="F95" s="353"/>
    </row>
    <row r="96" spans="1:6" ht="18.75" customHeight="1">
      <c r="A96" s="351" t="s">
        <v>502</v>
      </c>
      <c r="B96" s="358">
        <f t="shared" si="3"/>
        <v>46023</v>
      </c>
      <c r="C96" s="358" t="str">
        <f t="shared" si="2"/>
        <v>木</v>
      </c>
      <c r="D96" s="353"/>
      <c r="E96" s="353"/>
      <c r="F96" s="353"/>
    </row>
    <row r="97" spans="2:6" ht="18.75" customHeight="1">
      <c r="B97" s="358">
        <f t="shared" si="3"/>
        <v>46024</v>
      </c>
      <c r="C97" s="358" t="str">
        <f t="shared" si="2"/>
        <v>金</v>
      </c>
      <c r="D97" s="353"/>
      <c r="E97" s="353"/>
      <c r="F97" s="353"/>
    </row>
    <row r="98" spans="2:6" ht="18.75" customHeight="1">
      <c r="B98" s="356">
        <f t="shared" si="3"/>
        <v>46025</v>
      </c>
      <c r="C98" s="356" t="str">
        <f t="shared" si="2"/>
        <v>土</v>
      </c>
      <c r="D98" s="353"/>
      <c r="E98" s="353"/>
      <c r="F98" s="353"/>
    </row>
    <row r="99" spans="2:6" ht="18.75" customHeight="1">
      <c r="B99" s="357">
        <f t="shared" si="3"/>
        <v>46026</v>
      </c>
      <c r="C99" s="357" t="str">
        <f t="shared" si="2"/>
        <v>日</v>
      </c>
      <c r="D99" s="353"/>
      <c r="E99" s="353"/>
      <c r="F99" s="353"/>
    </row>
    <row r="100" spans="2:6" ht="18.75" customHeight="1">
      <c r="B100" s="337">
        <f t="shared" si="3"/>
        <v>46027</v>
      </c>
      <c r="C100" s="337" t="str">
        <f t="shared" si="2"/>
        <v>月</v>
      </c>
      <c r="D100" s="353"/>
      <c r="E100" s="353"/>
      <c r="F100" s="353"/>
    </row>
    <row r="101" spans="2:6" ht="18.75" customHeight="1">
      <c r="B101" s="337">
        <f t="shared" si="3"/>
        <v>46028</v>
      </c>
      <c r="C101" s="337" t="str">
        <f t="shared" si="2"/>
        <v>火</v>
      </c>
      <c r="D101" s="353"/>
      <c r="E101" s="353"/>
      <c r="F101" s="353"/>
    </row>
    <row r="102" spans="2:6" ht="18.75" customHeight="1">
      <c r="B102" s="337">
        <f t="shared" si="3"/>
        <v>46029</v>
      </c>
      <c r="C102" s="337" t="str">
        <f t="shared" si="2"/>
        <v>水</v>
      </c>
      <c r="D102" s="353"/>
      <c r="E102" s="353"/>
      <c r="F102" s="353"/>
    </row>
    <row r="103" spans="2:6" ht="18.75" customHeight="1">
      <c r="B103" s="337">
        <f t="shared" si="3"/>
        <v>46030</v>
      </c>
      <c r="C103" s="337" t="str">
        <f t="shared" si="2"/>
        <v>木</v>
      </c>
      <c r="D103" s="353"/>
      <c r="E103" s="353"/>
      <c r="F103" s="353"/>
    </row>
    <row r="104" spans="2:6" ht="18.75" customHeight="1">
      <c r="B104" s="337">
        <f t="shared" si="3"/>
        <v>46031</v>
      </c>
      <c r="C104" s="337" t="str">
        <f t="shared" si="2"/>
        <v>金</v>
      </c>
      <c r="D104" s="353"/>
      <c r="E104" s="353"/>
      <c r="F104" s="353"/>
    </row>
    <row r="105" spans="2:6" ht="18.75" customHeight="1">
      <c r="B105" s="356">
        <f t="shared" si="3"/>
        <v>46032</v>
      </c>
      <c r="C105" s="356" t="str">
        <f t="shared" si="2"/>
        <v>土</v>
      </c>
      <c r="D105" s="353"/>
      <c r="E105" s="353"/>
      <c r="F105" s="353"/>
    </row>
    <row r="106" spans="2:6" ht="18.75" customHeight="1">
      <c r="B106" s="357">
        <f t="shared" si="3"/>
        <v>46033</v>
      </c>
      <c r="C106" s="357" t="str">
        <f t="shared" si="2"/>
        <v>日</v>
      </c>
      <c r="D106" s="353"/>
      <c r="E106" s="353"/>
      <c r="F106" s="353"/>
    </row>
    <row r="107" spans="2:6" ht="18.75" customHeight="1">
      <c r="B107" s="337">
        <f t="shared" si="3"/>
        <v>46034</v>
      </c>
      <c r="C107" s="337" t="str">
        <f t="shared" si="2"/>
        <v>月</v>
      </c>
      <c r="D107" s="353"/>
      <c r="E107" s="353"/>
      <c r="F107" s="353"/>
    </row>
    <row r="108" spans="2:6" ht="18.75" customHeight="1">
      <c r="B108" s="337">
        <f t="shared" si="3"/>
        <v>46035</v>
      </c>
      <c r="C108" s="337" t="str">
        <f t="shared" si="2"/>
        <v>火</v>
      </c>
      <c r="D108" s="353"/>
      <c r="E108" s="353"/>
      <c r="F108" s="353"/>
    </row>
    <row r="109" spans="2:6" ht="18.75" customHeight="1">
      <c r="B109" s="337">
        <f t="shared" si="3"/>
        <v>46036</v>
      </c>
      <c r="C109" s="337" t="str">
        <f t="shared" si="2"/>
        <v>水</v>
      </c>
      <c r="D109" s="353"/>
      <c r="E109" s="353"/>
      <c r="F109" s="353"/>
    </row>
    <row r="110" spans="2:6" ht="18.75" customHeight="1">
      <c r="B110" s="337">
        <f t="shared" si="3"/>
        <v>46037</v>
      </c>
      <c r="C110" s="337" t="str">
        <f t="shared" si="2"/>
        <v>木</v>
      </c>
      <c r="D110" s="353"/>
      <c r="E110" s="353"/>
      <c r="F110" s="353"/>
    </row>
    <row r="111" spans="2:6" ht="18.75" customHeight="1">
      <c r="B111" s="337">
        <f t="shared" si="3"/>
        <v>46038</v>
      </c>
      <c r="C111" s="337" t="str">
        <f t="shared" si="2"/>
        <v>金</v>
      </c>
      <c r="D111" s="353"/>
      <c r="E111" s="353"/>
      <c r="F111" s="353"/>
    </row>
    <row r="112" spans="2:6" ht="18.75" customHeight="1">
      <c r="B112" s="356">
        <f t="shared" si="3"/>
        <v>46039</v>
      </c>
      <c r="C112" s="356" t="str">
        <f t="shared" si="2"/>
        <v>土</v>
      </c>
      <c r="D112" s="353"/>
      <c r="E112" s="353"/>
      <c r="F112" s="353"/>
    </row>
    <row r="113" spans="2:6" ht="18.75" customHeight="1">
      <c r="B113" s="357">
        <f t="shared" si="3"/>
        <v>46040</v>
      </c>
      <c r="C113" s="357" t="str">
        <f t="shared" si="2"/>
        <v>日</v>
      </c>
      <c r="D113" s="353"/>
      <c r="E113" s="353"/>
      <c r="F113" s="353"/>
    </row>
    <row r="114" spans="2:6" ht="18.75" customHeight="1">
      <c r="B114" s="337">
        <f t="shared" si="3"/>
        <v>46041</v>
      </c>
      <c r="C114" s="337" t="str">
        <f t="shared" si="2"/>
        <v>月</v>
      </c>
      <c r="D114" s="353"/>
      <c r="E114" s="353"/>
      <c r="F114" s="353"/>
    </row>
    <row r="115" spans="2:6" ht="18.75" customHeight="1">
      <c r="B115" s="337">
        <f t="shared" si="3"/>
        <v>46042</v>
      </c>
      <c r="C115" s="337" t="str">
        <f t="shared" si="2"/>
        <v>火</v>
      </c>
      <c r="D115" s="353"/>
      <c r="E115" s="353"/>
      <c r="F115" s="353"/>
    </row>
    <row r="116" spans="2:6" ht="18.75" customHeight="1">
      <c r="B116" s="337">
        <f t="shared" si="3"/>
        <v>46043</v>
      </c>
      <c r="C116" s="337" t="str">
        <f t="shared" si="2"/>
        <v>水</v>
      </c>
      <c r="D116" s="353"/>
      <c r="E116" s="353"/>
      <c r="F116" s="353"/>
    </row>
    <row r="117" spans="2:6" ht="18.75" customHeight="1">
      <c r="B117" s="337">
        <f t="shared" si="3"/>
        <v>46044</v>
      </c>
      <c r="C117" s="337" t="str">
        <f t="shared" si="2"/>
        <v>木</v>
      </c>
      <c r="D117" s="353"/>
      <c r="E117" s="353"/>
      <c r="F117" s="353"/>
    </row>
    <row r="118" spans="2:6" ht="18.75" customHeight="1">
      <c r="B118" s="337">
        <f t="shared" si="3"/>
        <v>46045</v>
      </c>
      <c r="C118" s="337" t="str">
        <f t="shared" si="2"/>
        <v>金</v>
      </c>
      <c r="D118" s="353"/>
      <c r="E118" s="353"/>
      <c r="F118" s="353"/>
    </row>
    <row r="119" spans="2:6" ht="18.75" customHeight="1">
      <c r="B119" s="356">
        <f t="shared" si="3"/>
        <v>46046</v>
      </c>
      <c r="C119" s="356" t="str">
        <f t="shared" si="2"/>
        <v>土</v>
      </c>
      <c r="D119" s="353"/>
      <c r="E119" s="353"/>
      <c r="F119" s="353"/>
    </row>
    <row r="120" spans="2:6" ht="18.75" customHeight="1">
      <c r="B120" s="357">
        <f t="shared" si="3"/>
        <v>46047</v>
      </c>
      <c r="C120" s="357" t="str">
        <f t="shared" si="2"/>
        <v>日</v>
      </c>
      <c r="D120" s="353"/>
      <c r="E120" s="353"/>
      <c r="F120" s="353"/>
    </row>
    <row r="121" spans="2:6" ht="18.75" customHeight="1">
      <c r="B121" s="337">
        <f t="shared" si="3"/>
        <v>46048</v>
      </c>
      <c r="C121" s="337" t="str">
        <f t="shared" si="2"/>
        <v>月</v>
      </c>
      <c r="D121" s="353"/>
      <c r="E121" s="353"/>
      <c r="F121" s="353"/>
    </row>
    <row r="122" spans="2:6" ht="18.75" customHeight="1">
      <c r="B122" s="337">
        <f t="shared" si="3"/>
        <v>46049</v>
      </c>
      <c r="C122" s="337" t="str">
        <f t="shared" si="2"/>
        <v>火</v>
      </c>
      <c r="D122" s="353"/>
      <c r="E122" s="353"/>
      <c r="F122" s="353"/>
    </row>
    <row r="123" spans="2:6" ht="18.75" customHeight="1">
      <c r="B123" s="337">
        <f t="shared" si="3"/>
        <v>46050</v>
      </c>
      <c r="C123" s="337" t="str">
        <f t="shared" si="2"/>
        <v>水</v>
      </c>
      <c r="D123" s="353"/>
      <c r="E123" s="353"/>
      <c r="F123" s="353"/>
    </row>
    <row r="124" spans="2:6" ht="18.75" customHeight="1">
      <c r="B124" s="337">
        <f t="shared" si="3"/>
        <v>46051</v>
      </c>
      <c r="C124" s="337" t="str">
        <f t="shared" si="2"/>
        <v>木</v>
      </c>
      <c r="D124" s="353"/>
      <c r="E124" s="353"/>
      <c r="F124" s="353"/>
    </row>
    <row r="125" spans="2:6" ht="18.75" customHeight="1">
      <c r="B125" s="337">
        <f t="shared" si="3"/>
        <v>46052</v>
      </c>
      <c r="C125" s="337" t="str">
        <f t="shared" si="2"/>
        <v>金</v>
      </c>
      <c r="D125" s="353"/>
      <c r="E125" s="353"/>
      <c r="F125" s="353"/>
    </row>
    <row r="126" spans="2:6" ht="18.75" customHeight="1">
      <c r="B126" s="356">
        <f t="shared" si="3"/>
        <v>46053</v>
      </c>
      <c r="C126" s="356" t="str">
        <f t="shared" si="2"/>
        <v>土</v>
      </c>
      <c r="D126" s="353"/>
      <c r="E126" s="353"/>
      <c r="F126" s="353"/>
    </row>
    <row r="127" spans="2:6" ht="18.75" customHeight="1">
      <c r="B127" s="357">
        <f t="shared" si="3"/>
        <v>46054</v>
      </c>
      <c r="C127" s="357" t="str">
        <f t="shared" si="2"/>
        <v>日</v>
      </c>
      <c r="D127" s="353"/>
      <c r="E127" s="353"/>
      <c r="F127" s="353"/>
    </row>
    <row r="128" spans="2:6" ht="18.75" customHeight="1">
      <c r="B128" s="337">
        <f t="shared" si="3"/>
        <v>46055</v>
      </c>
      <c r="C128" s="337" t="str">
        <f t="shared" si="2"/>
        <v>月</v>
      </c>
      <c r="D128" s="353"/>
      <c r="E128" s="353"/>
      <c r="F128" s="353"/>
    </row>
    <row r="129" spans="2:6" ht="18.75" customHeight="1">
      <c r="B129" s="337">
        <f t="shared" si="3"/>
        <v>46056</v>
      </c>
      <c r="C129" s="337" t="str">
        <f t="shared" si="2"/>
        <v>火</v>
      </c>
      <c r="D129" s="353"/>
      <c r="E129" s="353"/>
      <c r="F129" s="353"/>
    </row>
    <row r="130" spans="2:6" ht="18.75" customHeight="1">
      <c r="B130" s="337">
        <f t="shared" si="3"/>
        <v>46057</v>
      </c>
      <c r="C130" s="337" t="str">
        <f t="shared" si="2"/>
        <v>水</v>
      </c>
      <c r="D130" s="353"/>
      <c r="E130" s="353"/>
      <c r="F130" s="353"/>
    </row>
    <row r="131" spans="2:6" ht="18.75" customHeight="1">
      <c r="B131" s="337">
        <f t="shared" si="3"/>
        <v>46058</v>
      </c>
      <c r="C131" s="337" t="str">
        <f t="shared" si="2"/>
        <v>木</v>
      </c>
      <c r="D131" s="353"/>
      <c r="E131" s="353"/>
      <c r="F131" s="353"/>
    </row>
    <row r="132" spans="2:6" ht="18.75" customHeight="1">
      <c r="B132" s="337">
        <f t="shared" si="3"/>
        <v>46059</v>
      </c>
      <c r="C132" s="337" t="str">
        <f t="shared" ref="C132:C195" si="4">TEXT(B132,"aaa")</f>
        <v>金</v>
      </c>
      <c r="D132" s="353"/>
      <c r="E132" s="353"/>
      <c r="F132" s="353"/>
    </row>
    <row r="133" spans="2:6" ht="18.75" customHeight="1">
      <c r="B133" s="356">
        <f t="shared" ref="B133:B196" si="5">B132+1</f>
        <v>46060</v>
      </c>
      <c r="C133" s="356" t="str">
        <f t="shared" si="4"/>
        <v>土</v>
      </c>
      <c r="D133" s="353"/>
      <c r="E133" s="353"/>
      <c r="F133" s="353"/>
    </row>
    <row r="134" spans="2:6" ht="18.75" customHeight="1">
      <c r="B134" s="357">
        <f t="shared" si="5"/>
        <v>46061</v>
      </c>
      <c r="C134" s="357" t="str">
        <f t="shared" si="4"/>
        <v>日</v>
      </c>
      <c r="D134" s="353"/>
      <c r="E134" s="353"/>
      <c r="F134" s="353"/>
    </row>
    <row r="135" spans="2:6" ht="18.75" customHeight="1">
      <c r="B135" s="337">
        <f t="shared" si="5"/>
        <v>46062</v>
      </c>
      <c r="C135" s="337" t="str">
        <f t="shared" si="4"/>
        <v>月</v>
      </c>
      <c r="D135" s="353"/>
      <c r="E135" s="353"/>
      <c r="F135" s="353"/>
    </row>
    <row r="136" spans="2:6" ht="18.75" customHeight="1">
      <c r="B136" s="337">
        <f t="shared" si="5"/>
        <v>46063</v>
      </c>
      <c r="C136" s="337" t="str">
        <f t="shared" si="4"/>
        <v>火</v>
      </c>
      <c r="D136" s="353"/>
      <c r="E136" s="353"/>
      <c r="F136" s="353"/>
    </row>
    <row r="137" spans="2:6" ht="18.75" customHeight="1">
      <c r="B137" s="358">
        <f t="shared" si="5"/>
        <v>46064</v>
      </c>
      <c r="C137" s="358" t="str">
        <f t="shared" si="4"/>
        <v>水</v>
      </c>
      <c r="D137" s="353"/>
      <c r="E137" s="353"/>
      <c r="F137" s="353"/>
    </row>
    <row r="138" spans="2:6" ht="18.75" customHeight="1">
      <c r="B138" s="337">
        <f t="shared" si="5"/>
        <v>46065</v>
      </c>
      <c r="C138" s="337" t="str">
        <f t="shared" si="4"/>
        <v>木</v>
      </c>
      <c r="D138" s="353"/>
      <c r="E138" s="353"/>
      <c r="F138" s="353"/>
    </row>
    <row r="139" spans="2:6" ht="18.75" customHeight="1">
      <c r="B139" s="337">
        <f t="shared" si="5"/>
        <v>46066</v>
      </c>
      <c r="C139" s="337" t="str">
        <f t="shared" si="4"/>
        <v>金</v>
      </c>
      <c r="D139" s="353"/>
      <c r="E139" s="353"/>
      <c r="F139" s="353"/>
    </row>
    <row r="140" spans="2:6" ht="18.75" customHeight="1">
      <c r="B140" s="356">
        <f t="shared" si="5"/>
        <v>46067</v>
      </c>
      <c r="C140" s="356" t="str">
        <f t="shared" si="4"/>
        <v>土</v>
      </c>
      <c r="D140" s="353"/>
      <c r="E140" s="353"/>
      <c r="F140" s="353"/>
    </row>
    <row r="141" spans="2:6" ht="18.75" customHeight="1">
      <c r="B141" s="357">
        <f t="shared" si="5"/>
        <v>46068</v>
      </c>
      <c r="C141" s="357" t="str">
        <f t="shared" si="4"/>
        <v>日</v>
      </c>
      <c r="D141" s="353"/>
      <c r="E141" s="353"/>
      <c r="F141" s="353"/>
    </row>
    <row r="142" spans="2:6" ht="18.75" customHeight="1">
      <c r="B142" s="337">
        <f t="shared" si="5"/>
        <v>46069</v>
      </c>
      <c r="C142" s="337" t="str">
        <f t="shared" si="4"/>
        <v>月</v>
      </c>
      <c r="D142" s="353"/>
      <c r="E142" s="353"/>
      <c r="F142" s="353"/>
    </row>
    <row r="143" spans="2:6" ht="18.75" customHeight="1">
      <c r="B143" s="337">
        <f t="shared" si="5"/>
        <v>46070</v>
      </c>
      <c r="C143" s="337" t="str">
        <f t="shared" si="4"/>
        <v>火</v>
      </c>
      <c r="D143" s="353"/>
      <c r="E143" s="353"/>
      <c r="F143" s="353"/>
    </row>
    <row r="144" spans="2:6" ht="18.75" customHeight="1">
      <c r="B144" s="337">
        <f t="shared" si="5"/>
        <v>46071</v>
      </c>
      <c r="C144" s="337" t="str">
        <f t="shared" si="4"/>
        <v>水</v>
      </c>
      <c r="D144" s="353"/>
      <c r="E144" s="353"/>
      <c r="F144" s="353"/>
    </row>
    <row r="145" spans="2:6" ht="18.75" customHeight="1">
      <c r="B145" s="337">
        <f t="shared" si="5"/>
        <v>46072</v>
      </c>
      <c r="C145" s="337" t="str">
        <f t="shared" si="4"/>
        <v>木</v>
      </c>
      <c r="D145" s="353"/>
      <c r="E145" s="353"/>
      <c r="F145" s="353"/>
    </row>
    <row r="146" spans="2:6" ht="18.75" customHeight="1">
      <c r="B146" s="337">
        <f t="shared" si="5"/>
        <v>46073</v>
      </c>
      <c r="C146" s="337" t="str">
        <f t="shared" si="4"/>
        <v>金</v>
      </c>
      <c r="D146" s="353"/>
      <c r="E146" s="353"/>
      <c r="F146" s="353"/>
    </row>
    <row r="147" spans="2:6" ht="18.75" customHeight="1">
      <c r="B147" s="356">
        <f t="shared" si="5"/>
        <v>46074</v>
      </c>
      <c r="C147" s="356" t="str">
        <f t="shared" si="4"/>
        <v>土</v>
      </c>
      <c r="D147" s="353"/>
      <c r="E147" s="353"/>
      <c r="F147" s="353"/>
    </row>
    <row r="148" spans="2:6" ht="18.75" customHeight="1">
      <c r="B148" s="357">
        <f t="shared" si="5"/>
        <v>46075</v>
      </c>
      <c r="C148" s="357" t="str">
        <f t="shared" si="4"/>
        <v>日</v>
      </c>
      <c r="D148" s="353"/>
      <c r="E148" s="353"/>
      <c r="F148" s="353"/>
    </row>
    <row r="149" spans="2:6" ht="18.75" customHeight="1">
      <c r="B149" s="358">
        <f t="shared" si="5"/>
        <v>46076</v>
      </c>
      <c r="C149" s="358" t="str">
        <f t="shared" si="4"/>
        <v>月</v>
      </c>
      <c r="D149" s="353"/>
      <c r="E149" s="353"/>
      <c r="F149" s="353"/>
    </row>
    <row r="150" spans="2:6" ht="18.75" customHeight="1">
      <c r="B150" s="337">
        <f t="shared" si="5"/>
        <v>46077</v>
      </c>
      <c r="C150" s="337" t="str">
        <f t="shared" si="4"/>
        <v>火</v>
      </c>
      <c r="D150" s="353"/>
      <c r="E150" s="353"/>
      <c r="F150" s="353"/>
    </row>
    <row r="151" spans="2:6" ht="18.75" customHeight="1">
      <c r="B151" s="337">
        <f t="shared" si="5"/>
        <v>46078</v>
      </c>
      <c r="C151" s="337" t="str">
        <f t="shared" si="4"/>
        <v>水</v>
      </c>
      <c r="D151" s="353"/>
      <c r="E151" s="353"/>
      <c r="F151" s="353"/>
    </row>
    <row r="152" spans="2:6" ht="18.75" customHeight="1">
      <c r="B152" s="337">
        <f t="shared" si="5"/>
        <v>46079</v>
      </c>
      <c r="C152" s="337" t="str">
        <f t="shared" si="4"/>
        <v>木</v>
      </c>
      <c r="D152" s="353"/>
      <c r="E152" s="353"/>
      <c r="F152" s="353"/>
    </row>
    <row r="153" spans="2:6" ht="18.75" customHeight="1">
      <c r="B153" s="337">
        <f t="shared" si="5"/>
        <v>46080</v>
      </c>
      <c r="C153" s="337" t="str">
        <f t="shared" si="4"/>
        <v>金</v>
      </c>
      <c r="D153" s="353"/>
      <c r="E153" s="353"/>
      <c r="F153" s="353"/>
    </row>
    <row r="154" spans="2:6" ht="18.75" customHeight="1">
      <c r="B154" s="356">
        <f t="shared" si="5"/>
        <v>46081</v>
      </c>
      <c r="C154" s="356" t="str">
        <f t="shared" si="4"/>
        <v>土</v>
      </c>
      <c r="D154" s="353"/>
      <c r="E154" s="353"/>
      <c r="F154" s="353"/>
    </row>
    <row r="155" spans="2:6" ht="18.75" customHeight="1">
      <c r="B155" s="357">
        <f t="shared" si="5"/>
        <v>46082</v>
      </c>
      <c r="C155" s="357" t="str">
        <f t="shared" si="4"/>
        <v>日</v>
      </c>
      <c r="D155" s="353"/>
      <c r="E155" s="353"/>
      <c r="F155" s="353"/>
    </row>
    <row r="156" spans="2:6" ht="18.75" customHeight="1">
      <c r="B156" s="337">
        <f t="shared" si="5"/>
        <v>46083</v>
      </c>
      <c r="C156" s="337" t="str">
        <f t="shared" si="4"/>
        <v>月</v>
      </c>
      <c r="D156" s="353"/>
      <c r="E156" s="353"/>
      <c r="F156" s="353"/>
    </row>
    <row r="157" spans="2:6" ht="18.75" customHeight="1">
      <c r="B157" s="337">
        <f t="shared" si="5"/>
        <v>46084</v>
      </c>
      <c r="C157" s="337" t="str">
        <f t="shared" si="4"/>
        <v>火</v>
      </c>
      <c r="D157" s="353"/>
      <c r="E157" s="353"/>
      <c r="F157" s="353"/>
    </row>
    <row r="158" spans="2:6" ht="18.75" customHeight="1">
      <c r="B158" s="337">
        <f t="shared" si="5"/>
        <v>46085</v>
      </c>
      <c r="C158" s="337" t="str">
        <f t="shared" si="4"/>
        <v>水</v>
      </c>
      <c r="D158" s="353"/>
      <c r="E158" s="353"/>
      <c r="F158" s="353"/>
    </row>
    <row r="159" spans="2:6" ht="18.75" customHeight="1">
      <c r="B159" s="337">
        <f t="shared" si="5"/>
        <v>46086</v>
      </c>
      <c r="C159" s="337" t="str">
        <f t="shared" si="4"/>
        <v>木</v>
      </c>
      <c r="D159" s="353"/>
      <c r="E159" s="353"/>
      <c r="F159" s="353"/>
    </row>
    <row r="160" spans="2:6" ht="18.75" customHeight="1">
      <c r="B160" s="337">
        <f t="shared" si="5"/>
        <v>46087</v>
      </c>
      <c r="C160" s="337" t="str">
        <f t="shared" si="4"/>
        <v>金</v>
      </c>
      <c r="D160" s="353"/>
      <c r="E160" s="353"/>
      <c r="F160" s="353"/>
    </row>
    <row r="161" spans="2:6" ht="18.75" customHeight="1">
      <c r="B161" s="356">
        <f t="shared" si="5"/>
        <v>46088</v>
      </c>
      <c r="C161" s="356" t="str">
        <f t="shared" si="4"/>
        <v>土</v>
      </c>
      <c r="D161" s="353"/>
      <c r="E161" s="353"/>
      <c r="F161" s="353"/>
    </row>
    <row r="162" spans="2:6" ht="18.75" customHeight="1">
      <c r="B162" s="357">
        <f t="shared" si="5"/>
        <v>46089</v>
      </c>
      <c r="C162" s="357" t="str">
        <f t="shared" si="4"/>
        <v>日</v>
      </c>
      <c r="D162" s="353"/>
      <c r="E162" s="353"/>
      <c r="F162" s="353"/>
    </row>
    <row r="163" spans="2:6" ht="18.75" customHeight="1">
      <c r="B163" s="337">
        <f t="shared" si="5"/>
        <v>46090</v>
      </c>
      <c r="C163" s="337" t="str">
        <f t="shared" si="4"/>
        <v>月</v>
      </c>
      <c r="D163" s="353"/>
      <c r="E163" s="353"/>
      <c r="F163" s="353"/>
    </row>
    <row r="164" spans="2:6" ht="18.75" customHeight="1">
      <c r="B164" s="337">
        <f t="shared" si="5"/>
        <v>46091</v>
      </c>
      <c r="C164" s="337" t="str">
        <f t="shared" si="4"/>
        <v>火</v>
      </c>
      <c r="D164" s="353"/>
      <c r="E164" s="353"/>
      <c r="F164" s="353"/>
    </row>
    <row r="165" spans="2:6" ht="18.75" customHeight="1">
      <c r="B165" s="337">
        <f t="shared" si="5"/>
        <v>46092</v>
      </c>
      <c r="C165" s="337" t="str">
        <f t="shared" si="4"/>
        <v>水</v>
      </c>
      <c r="D165" s="353"/>
      <c r="E165" s="353"/>
      <c r="F165" s="353"/>
    </row>
    <row r="166" spans="2:6" ht="18.75" customHeight="1">
      <c r="B166" s="337">
        <f t="shared" si="5"/>
        <v>46093</v>
      </c>
      <c r="C166" s="337" t="str">
        <f t="shared" si="4"/>
        <v>木</v>
      </c>
      <c r="D166" s="353"/>
      <c r="E166" s="353"/>
      <c r="F166" s="353"/>
    </row>
    <row r="167" spans="2:6" ht="18.75" customHeight="1">
      <c r="B167" s="337">
        <f t="shared" si="5"/>
        <v>46094</v>
      </c>
      <c r="C167" s="337" t="str">
        <f t="shared" si="4"/>
        <v>金</v>
      </c>
      <c r="D167" s="353"/>
      <c r="E167" s="353"/>
      <c r="F167" s="353"/>
    </row>
    <row r="168" spans="2:6" ht="18.75" customHeight="1">
      <c r="B168" s="356">
        <f t="shared" si="5"/>
        <v>46095</v>
      </c>
      <c r="C168" s="356" t="str">
        <f t="shared" si="4"/>
        <v>土</v>
      </c>
      <c r="D168" s="353"/>
      <c r="E168" s="353"/>
      <c r="F168" s="353"/>
    </row>
    <row r="169" spans="2:6" ht="18.75" customHeight="1">
      <c r="B169" s="357">
        <f t="shared" si="5"/>
        <v>46096</v>
      </c>
      <c r="C169" s="357" t="str">
        <f t="shared" si="4"/>
        <v>日</v>
      </c>
      <c r="D169" s="353"/>
      <c r="E169" s="353"/>
      <c r="F169" s="353"/>
    </row>
    <row r="170" spans="2:6" ht="18.75" customHeight="1">
      <c r="B170" s="337">
        <f t="shared" si="5"/>
        <v>46097</v>
      </c>
      <c r="C170" s="337" t="str">
        <f t="shared" si="4"/>
        <v>月</v>
      </c>
      <c r="D170" s="353"/>
      <c r="E170" s="353"/>
      <c r="F170" s="353"/>
    </row>
    <row r="171" spans="2:6" ht="18.75" customHeight="1">
      <c r="B171" s="337">
        <f t="shared" si="5"/>
        <v>46098</v>
      </c>
      <c r="C171" s="337" t="str">
        <f t="shared" si="4"/>
        <v>火</v>
      </c>
      <c r="D171" s="353"/>
      <c r="E171" s="353"/>
      <c r="F171" s="353"/>
    </row>
    <row r="172" spans="2:6" ht="18.75" customHeight="1">
      <c r="B172" s="337">
        <f t="shared" si="5"/>
        <v>46099</v>
      </c>
      <c r="C172" s="337" t="str">
        <f t="shared" si="4"/>
        <v>水</v>
      </c>
      <c r="D172" s="353"/>
      <c r="E172" s="353"/>
      <c r="F172" s="353"/>
    </row>
    <row r="173" spans="2:6" ht="18.75" customHeight="1">
      <c r="B173" s="337">
        <f t="shared" si="5"/>
        <v>46100</v>
      </c>
      <c r="C173" s="337" t="str">
        <f t="shared" si="4"/>
        <v>木</v>
      </c>
      <c r="D173" s="353"/>
      <c r="E173" s="353"/>
      <c r="F173" s="353"/>
    </row>
    <row r="174" spans="2:6" ht="18.75" customHeight="1">
      <c r="B174" s="358">
        <f t="shared" si="5"/>
        <v>46101</v>
      </c>
      <c r="C174" s="358" t="str">
        <f t="shared" si="4"/>
        <v>金</v>
      </c>
      <c r="D174" s="353"/>
      <c r="E174" s="353"/>
      <c r="F174" s="353"/>
    </row>
    <row r="175" spans="2:6" ht="18.75" customHeight="1">
      <c r="B175" s="356">
        <f t="shared" si="5"/>
        <v>46102</v>
      </c>
      <c r="C175" s="356" t="str">
        <f t="shared" si="4"/>
        <v>土</v>
      </c>
      <c r="D175" s="353"/>
      <c r="E175" s="353"/>
      <c r="F175" s="353"/>
    </row>
    <row r="176" spans="2:6" ht="18.75" customHeight="1">
      <c r="B176" s="357">
        <f t="shared" si="5"/>
        <v>46103</v>
      </c>
      <c r="C176" s="357" t="str">
        <f t="shared" si="4"/>
        <v>日</v>
      </c>
      <c r="D176" s="353"/>
      <c r="E176" s="353"/>
      <c r="F176" s="353"/>
    </row>
    <row r="177" spans="2:6" ht="18.75" customHeight="1">
      <c r="B177" s="337">
        <f t="shared" si="5"/>
        <v>46104</v>
      </c>
      <c r="C177" s="337" t="str">
        <f t="shared" si="4"/>
        <v>月</v>
      </c>
      <c r="D177" s="353"/>
      <c r="E177" s="353"/>
      <c r="F177" s="353"/>
    </row>
    <row r="178" spans="2:6" ht="18.75" customHeight="1">
      <c r="B178" s="337">
        <f t="shared" si="5"/>
        <v>46105</v>
      </c>
      <c r="C178" s="337" t="str">
        <f t="shared" si="4"/>
        <v>火</v>
      </c>
      <c r="D178" s="353"/>
      <c r="E178" s="353"/>
      <c r="F178" s="353"/>
    </row>
    <row r="179" spans="2:6" ht="18.75" customHeight="1">
      <c r="B179" s="337">
        <f t="shared" si="5"/>
        <v>46106</v>
      </c>
      <c r="C179" s="337" t="str">
        <f t="shared" si="4"/>
        <v>水</v>
      </c>
      <c r="D179" s="353"/>
      <c r="E179" s="353"/>
      <c r="F179" s="353"/>
    </row>
    <row r="180" spans="2:6" ht="18.75" customHeight="1">
      <c r="B180" s="337">
        <f t="shared" si="5"/>
        <v>46107</v>
      </c>
      <c r="C180" s="337" t="str">
        <f t="shared" si="4"/>
        <v>木</v>
      </c>
      <c r="D180" s="353"/>
      <c r="E180" s="353"/>
      <c r="F180" s="353"/>
    </row>
    <row r="181" spans="2:6" ht="18.75" customHeight="1">
      <c r="B181" s="337">
        <f t="shared" si="5"/>
        <v>46108</v>
      </c>
      <c r="C181" s="337" t="str">
        <f t="shared" si="4"/>
        <v>金</v>
      </c>
      <c r="D181" s="353"/>
      <c r="E181" s="353"/>
      <c r="F181" s="353"/>
    </row>
    <row r="182" spans="2:6" ht="18.75" customHeight="1">
      <c r="B182" s="356">
        <f t="shared" si="5"/>
        <v>46109</v>
      </c>
      <c r="C182" s="356" t="str">
        <f t="shared" si="4"/>
        <v>土</v>
      </c>
      <c r="D182" s="353"/>
      <c r="E182" s="353"/>
      <c r="F182" s="353"/>
    </row>
    <row r="183" spans="2:6" ht="18.75" customHeight="1">
      <c r="B183" s="357">
        <f t="shared" si="5"/>
        <v>46110</v>
      </c>
      <c r="C183" s="357" t="str">
        <f t="shared" si="4"/>
        <v>日</v>
      </c>
      <c r="D183" s="353"/>
      <c r="E183" s="353"/>
      <c r="F183" s="353"/>
    </row>
    <row r="184" spans="2:6" ht="18.75" customHeight="1">
      <c r="B184" s="337">
        <f t="shared" si="5"/>
        <v>46111</v>
      </c>
      <c r="C184" s="337" t="str">
        <f t="shared" si="4"/>
        <v>月</v>
      </c>
      <c r="D184" s="353"/>
      <c r="E184" s="353"/>
      <c r="F184" s="353"/>
    </row>
    <row r="185" spans="2:6" ht="18.75" customHeight="1">
      <c r="B185" s="337">
        <f t="shared" si="5"/>
        <v>46112</v>
      </c>
      <c r="C185" s="337" t="str">
        <f t="shared" si="4"/>
        <v>火</v>
      </c>
      <c r="D185" s="353"/>
      <c r="E185" s="353"/>
      <c r="F185" s="353"/>
    </row>
    <row r="186" spans="2:6" ht="18.75" customHeight="1">
      <c r="B186" s="337">
        <f t="shared" si="5"/>
        <v>46113</v>
      </c>
      <c r="C186" s="337" t="str">
        <f t="shared" si="4"/>
        <v>水</v>
      </c>
      <c r="D186" s="353"/>
      <c r="E186" s="353"/>
      <c r="F186" s="353"/>
    </row>
    <row r="187" spans="2:6" ht="18.75" customHeight="1">
      <c r="B187" s="337">
        <f t="shared" si="5"/>
        <v>46114</v>
      </c>
      <c r="C187" s="337" t="str">
        <f t="shared" si="4"/>
        <v>木</v>
      </c>
      <c r="D187" s="353"/>
      <c r="E187" s="353"/>
      <c r="F187" s="353"/>
    </row>
    <row r="188" spans="2:6" ht="18.75" customHeight="1">
      <c r="B188" s="337">
        <f t="shared" si="5"/>
        <v>46115</v>
      </c>
      <c r="C188" s="337" t="str">
        <f t="shared" si="4"/>
        <v>金</v>
      </c>
      <c r="D188" s="353"/>
      <c r="E188" s="353"/>
      <c r="F188" s="353"/>
    </row>
    <row r="189" spans="2:6" ht="18.75" customHeight="1">
      <c r="B189" s="356">
        <f t="shared" si="5"/>
        <v>46116</v>
      </c>
      <c r="C189" s="356" t="str">
        <f t="shared" si="4"/>
        <v>土</v>
      </c>
      <c r="D189" s="353"/>
      <c r="E189" s="353"/>
      <c r="F189" s="353"/>
    </row>
    <row r="190" spans="2:6" ht="18.75" customHeight="1">
      <c r="B190" s="357">
        <f t="shared" si="5"/>
        <v>46117</v>
      </c>
      <c r="C190" s="357" t="str">
        <f t="shared" si="4"/>
        <v>日</v>
      </c>
      <c r="D190" s="353"/>
      <c r="E190" s="353"/>
      <c r="F190" s="353"/>
    </row>
    <row r="191" spans="2:6" ht="18.75" customHeight="1">
      <c r="B191" s="337">
        <f t="shared" si="5"/>
        <v>46118</v>
      </c>
      <c r="C191" s="337" t="str">
        <f t="shared" si="4"/>
        <v>月</v>
      </c>
      <c r="D191" s="353"/>
      <c r="E191" s="353"/>
      <c r="F191" s="353"/>
    </row>
    <row r="192" spans="2:6" ht="18.75" customHeight="1">
      <c r="B192" s="337">
        <f t="shared" si="5"/>
        <v>46119</v>
      </c>
      <c r="C192" s="337" t="str">
        <f t="shared" si="4"/>
        <v>火</v>
      </c>
      <c r="D192" s="353"/>
      <c r="E192" s="353"/>
      <c r="F192" s="353"/>
    </row>
    <row r="193" spans="2:6" ht="18.75" customHeight="1">
      <c r="B193" s="337">
        <f t="shared" si="5"/>
        <v>46120</v>
      </c>
      <c r="C193" s="337" t="str">
        <f t="shared" si="4"/>
        <v>水</v>
      </c>
      <c r="D193" s="353"/>
      <c r="E193" s="353"/>
      <c r="F193" s="353"/>
    </row>
    <row r="194" spans="2:6" ht="18.75" customHeight="1">
      <c r="B194" s="337">
        <f t="shared" si="5"/>
        <v>46121</v>
      </c>
      <c r="C194" s="337" t="str">
        <f t="shared" si="4"/>
        <v>木</v>
      </c>
      <c r="D194" s="353"/>
      <c r="E194" s="353"/>
      <c r="F194" s="353"/>
    </row>
    <row r="195" spans="2:6" ht="18.75" customHeight="1">
      <c r="B195" s="337">
        <f t="shared" si="5"/>
        <v>46122</v>
      </c>
      <c r="C195" s="337" t="str">
        <f t="shared" si="4"/>
        <v>金</v>
      </c>
      <c r="D195" s="353"/>
      <c r="E195" s="353"/>
      <c r="F195" s="353"/>
    </row>
    <row r="196" spans="2:6" ht="18.75" customHeight="1">
      <c r="B196" s="356">
        <f t="shared" si="5"/>
        <v>46123</v>
      </c>
      <c r="C196" s="356" t="str">
        <f t="shared" ref="C196:C259" si="6">TEXT(B196,"aaa")</f>
        <v>土</v>
      </c>
      <c r="D196" s="353"/>
      <c r="E196" s="353"/>
      <c r="F196" s="353"/>
    </row>
    <row r="197" spans="2:6" ht="18.75" customHeight="1">
      <c r="B197" s="357">
        <f t="shared" ref="B197:B260" si="7">B196+1</f>
        <v>46124</v>
      </c>
      <c r="C197" s="357" t="str">
        <f t="shared" si="6"/>
        <v>日</v>
      </c>
      <c r="D197" s="353"/>
      <c r="E197" s="353"/>
      <c r="F197" s="353"/>
    </row>
    <row r="198" spans="2:6" ht="18.75" customHeight="1">
      <c r="B198" s="337">
        <f t="shared" si="7"/>
        <v>46125</v>
      </c>
      <c r="C198" s="337" t="str">
        <f t="shared" si="6"/>
        <v>月</v>
      </c>
      <c r="D198" s="353"/>
      <c r="E198" s="353"/>
      <c r="F198" s="353"/>
    </row>
    <row r="199" spans="2:6" ht="18.75" customHeight="1">
      <c r="B199" s="337">
        <f t="shared" si="7"/>
        <v>46126</v>
      </c>
      <c r="C199" s="337" t="str">
        <f t="shared" si="6"/>
        <v>火</v>
      </c>
      <c r="D199" s="353"/>
      <c r="E199" s="353"/>
      <c r="F199" s="353"/>
    </row>
    <row r="200" spans="2:6" ht="18.75" customHeight="1">
      <c r="B200" s="337">
        <f t="shared" si="7"/>
        <v>46127</v>
      </c>
      <c r="C200" s="337" t="str">
        <f t="shared" si="6"/>
        <v>水</v>
      </c>
      <c r="D200" s="353"/>
      <c r="E200" s="353"/>
      <c r="F200" s="353"/>
    </row>
    <row r="201" spans="2:6" ht="18.75" customHeight="1">
      <c r="B201" s="337">
        <f t="shared" si="7"/>
        <v>46128</v>
      </c>
      <c r="C201" s="337" t="str">
        <f t="shared" si="6"/>
        <v>木</v>
      </c>
      <c r="D201" s="353"/>
      <c r="E201" s="353"/>
      <c r="F201" s="353"/>
    </row>
    <row r="202" spans="2:6" ht="18.75" customHeight="1">
      <c r="B202" s="337">
        <f t="shared" si="7"/>
        <v>46129</v>
      </c>
      <c r="C202" s="337" t="str">
        <f t="shared" si="6"/>
        <v>金</v>
      </c>
      <c r="D202" s="353"/>
      <c r="E202" s="353"/>
      <c r="F202" s="353"/>
    </row>
    <row r="203" spans="2:6" ht="18.75" customHeight="1">
      <c r="B203" s="356">
        <f t="shared" si="7"/>
        <v>46130</v>
      </c>
      <c r="C203" s="356" t="str">
        <f t="shared" si="6"/>
        <v>土</v>
      </c>
      <c r="D203" s="353"/>
      <c r="E203" s="353"/>
      <c r="F203" s="353"/>
    </row>
    <row r="204" spans="2:6" ht="18.75" customHeight="1">
      <c r="B204" s="357">
        <f t="shared" si="7"/>
        <v>46131</v>
      </c>
      <c r="C204" s="357" t="str">
        <f t="shared" si="6"/>
        <v>日</v>
      </c>
      <c r="D204" s="353"/>
      <c r="E204" s="353"/>
      <c r="F204" s="353"/>
    </row>
    <row r="205" spans="2:6" ht="18.75" customHeight="1">
      <c r="B205" s="337">
        <f t="shared" si="7"/>
        <v>46132</v>
      </c>
      <c r="C205" s="337" t="str">
        <f t="shared" si="6"/>
        <v>月</v>
      </c>
      <c r="D205" s="353"/>
      <c r="E205" s="353"/>
      <c r="F205" s="353"/>
    </row>
    <row r="206" spans="2:6" ht="18.75" customHeight="1">
      <c r="B206" s="337">
        <f t="shared" si="7"/>
        <v>46133</v>
      </c>
      <c r="C206" s="337" t="str">
        <f t="shared" si="6"/>
        <v>火</v>
      </c>
      <c r="D206" s="353"/>
      <c r="E206" s="353"/>
      <c r="F206" s="353"/>
    </row>
    <row r="207" spans="2:6" ht="18.75" customHeight="1">
      <c r="B207" s="337">
        <f t="shared" si="7"/>
        <v>46134</v>
      </c>
      <c r="C207" s="337" t="str">
        <f t="shared" si="6"/>
        <v>水</v>
      </c>
      <c r="D207" s="353"/>
      <c r="E207" s="353"/>
      <c r="F207" s="353"/>
    </row>
    <row r="208" spans="2:6" ht="18.75" customHeight="1">
      <c r="B208" s="337">
        <f t="shared" si="7"/>
        <v>46135</v>
      </c>
      <c r="C208" s="337" t="str">
        <f t="shared" si="6"/>
        <v>木</v>
      </c>
      <c r="D208" s="353"/>
      <c r="E208" s="353"/>
      <c r="F208" s="353"/>
    </row>
    <row r="209" spans="2:6" ht="18.75" customHeight="1">
      <c r="B209" s="337">
        <f t="shared" si="7"/>
        <v>46136</v>
      </c>
      <c r="C209" s="337" t="str">
        <f t="shared" si="6"/>
        <v>金</v>
      </c>
      <c r="D209" s="353"/>
      <c r="E209" s="353"/>
      <c r="F209" s="353"/>
    </row>
    <row r="210" spans="2:6" ht="18.75" customHeight="1">
      <c r="B210" s="356">
        <f t="shared" si="7"/>
        <v>46137</v>
      </c>
      <c r="C210" s="356" t="str">
        <f t="shared" si="6"/>
        <v>土</v>
      </c>
      <c r="D210" s="353"/>
      <c r="E210" s="353"/>
      <c r="F210" s="353"/>
    </row>
    <row r="211" spans="2:6" ht="18.75" customHeight="1">
      <c r="B211" s="357">
        <f t="shared" si="7"/>
        <v>46138</v>
      </c>
      <c r="C211" s="357" t="str">
        <f t="shared" si="6"/>
        <v>日</v>
      </c>
      <c r="D211" s="353"/>
      <c r="E211" s="353"/>
      <c r="F211" s="353"/>
    </row>
    <row r="212" spans="2:6" ht="18.75" customHeight="1">
      <c r="B212" s="337">
        <f t="shared" si="7"/>
        <v>46139</v>
      </c>
      <c r="C212" s="337" t="str">
        <f t="shared" si="6"/>
        <v>月</v>
      </c>
      <c r="D212" s="353"/>
      <c r="E212" s="353"/>
      <c r="F212" s="353"/>
    </row>
    <row r="213" spans="2:6" ht="18.75" customHeight="1">
      <c r="B213" s="337">
        <f t="shared" si="7"/>
        <v>46140</v>
      </c>
      <c r="C213" s="337" t="str">
        <f t="shared" si="6"/>
        <v>火</v>
      </c>
      <c r="D213" s="353"/>
      <c r="E213" s="353"/>
      <c r="F213" s="353"/>
    </row>
    <row r="214" spans="2:6" ht="18.75" customHeight="1">
      <c r="B214" s="358">
        <f t="shared" si="7"/>
        <v>46141</v>
      </c>
      <c r="C214" s="358" t="str">
        <f t="shared" si="6"/>
        <v>水</v>
      </c>
      <c r="D214" s="353"/>
      <c r="E214" s="353"/>
      <c r="F214" s="353"/>
    </row>
    <row r="215" spans="2:6" ht="18.75" customHeight="1">
      <c r="B215" s="337">
        <f t="shared" si="7"/>
        <v>46142</v>
      </c>
      <c r="C215" s="337" t="str">
        <f t="shared" si="6"/>
        <v>木</v>
      </c>
      <c r="D215" s="353"/>
      <c r="E215" s="353"/>
      <c r="F215" s="353"/>
    </row>
    <row r="216" spans="2:6" ht="18.75" customHeight="1">
      <c r="B216" s="337">
        <f t="shared" si="7"/>
        <v>46143</v>
      </c>
      <c r="C216" s="337" t="str">
        <f t="shared" si="6"/>
        <v>金</v>
      </c>
      <c r="D216" s="353"/>
      <c r="E216" s="353"/>
      <c r="F216" s="353"/>
    </row>
    <row r="217" spans="2:6" ht="18.75" customHeight="1">
      <c r="B217" s="356">
        <f t="shared" si="7"/>
        <v>46144</v>
      </c>
      <c r="C217" s="356" t="str">
        <f t="shared" si="6"/>
        <v>土</v>
      </c>
      <c r="D217" s="353"/>
      <c r="E217" s="353"/>
      <c r="F217" s="353"/>
    </row>
    <row r="218" spans="2:6" ht="18.75" customHeight="1">
      <c r="B218" s="358">
        <f t="shared" si="7"/>
        <v>46145</v>
      </c>
      <c r="C218" s="358" t="str">
        <f t="shared" si="6"/>
        <v>日</v>
      </c>
      <c r="D218" s="353"/>
      <c r="E218" s="353"/>
      <c r="F218" s="353"/>
    </row>
    <row r="219" spans="2:6" ht="18.75" customHeight="1">
      <c r="B219" s="358">
        <f t="shared" si="7"/>
        <v>46146</v>
      </c>
      <c r="C219" s="358" t="str">
        <f t="shared" si="6"/>
        <v>月</v>
      </c>
      <c r="D219" s="353"/>
      <c r="E219" s="353"/>
      <c r="F219" s="353"/>
    </row>
    <row r="220" spans="2:6" ht="18.75" customHeight="1">
      <c r="B220" s="358">
        <f t="shared" si="7"/>
        <v>46147</v>
      </c>
      <c r="C220" s="358" t="str">
        <f t="shared" si="6"/>
        <v>火</v>
      </c>
      <c r="D220" s="353"/>
      <c r="E220" s="353"/>
      <c r="F220" s="353"/>
    </row>
    <row r="221" spans="2:6" ht="18.75" customHeight="1">
      <c r="B221" s="358">
        <f t="shared" si="7"/>
        <v>46148</v>
      </c>
      <c r="C221" s="358" t="str">
        <f t="shared" si="6"/>
        <v>水</v>
      </c>
      <c r="D221" s="353"/>
      <c r="E221" s="353"/>
      <c r="F221" s="353"/>
    </row>
    <row r="222" spans="2:6" ht="18.75" customHeight="1">
      <c r="B222" s="337">
        <f t="shared" si="7"/>
        <v>46149</v>
      </c>
      <c r="C222" s="337" t="str">
        <f t="shared" si="6"/>
        <v>木</v>
      </c>
      <c r="D222" s="353"/>
      <c r="E222" s="353"/>
      <c r="F222" s="353"/>
    </row>
    <row r="223" spans="2:6" ht="18.75" customHeight="1">
      <c r="B223" s="337">
        <f t="shared" si="7"/>
        <v>46150</v>
      </c>
      <c r="C223" s="337" t="str">
        <f t="shared" si="6"/>
        <v>金</v>
      </c>
      <c r="D223" s="353"/>
      <c r="E223" s="353"/>
      <c r="F223" s="353"/>
    </row>
    <row r="224" spans="2:6" ht="18.75" customHeight="1">
      <c r="B224" s="356">
        <f t="shared" si="7"/>
        <v>46151</v>
      </c>
      <c r="C224" s="356" t="str">
        <f t="shared" si="6"/>
        <v>土</v>
      </c>
      <c r="D224" s="353"/>
      <c r="E224" s="353"/>
      <c r="F224" s="353"/>
    </row>
    <row r="225" spans="2:6" ht="18.75" customHeight="1">
      <c r="B225" s="357">
        <f t="shared" si="7"/>
        <v>46152</v>
      </c>
      <c r="C225" s="357" t="str">
        <f t="shared" si="6"/>
        <v>日</v>
      </c>
      <c r="D225" s="353"/>
      <c r="E225" s="353"/>
      <c r="F225" s="353"/>
    </row>
    <row r="226" spans="2:6" ht="18.75" customHeight="1">
      <c r="B226" s="337">
        <f t="shared" si="7"/>
        <v>46153</v>
      </c>
      <c r="C226" s="337" t="str">
        <f t="shared" si="6"/>
        <v>月</v>
      </c>
      <c r="D226" s="353"/>
      <c r="E226" s="353"/>
      <c r="F226" s="353"/>
    </row>
    <row r="227" spans="2:6" ht="18.75" customHeight="1">
      <c r="B227" s="337">
        <f t="shared" si="7"/>
        <v>46154</v>
      </c>
      <c r="C227" s="337" t="str">
        <f t="shared" si="6"/>
        <v>火</v>
      </c>
      <c r="D227" s="353"/>
      <c r="E227" s="353"/>
      <c r="F227" s="353"/>
    </row>
    <row r="228" spans="2:6" ht="18.75" customHeight="1">
      <c r="B228" s="337">
        <f t="shared" si="7"/>
        <v>46155</v>
      </c>
      <c r="C228" s="337" t="str">
        <f t="shared" si="6"/>
        <v>水</v>
      </c>
      <c r="D228" s="353"/>
      <c r="E228" s="353"/>
      <c r="F228" s="353"/>
    </row>
    <row r="229" spans="2:6" ht="18.75" customHeight="1">
      <c r="B229" s="337">
        <f t="shared" si="7"/>
        <v>46156</v>
      </c>
      <c r="C229" s="337" t="str">
        <f t="shared" si="6"/>
        <v>木</v>
      </c>
      <c r="D229" s="353"/>
      <c r="E229" s="353"/>
      <c r="F229" s="353"/>
    </row>
    <row r="230" spans="2:6" ht="18.75" customHeight="1">
      <c r="B230" s="337">
        <f t="shared" si="7"/>
        <v>46157</v>
      </c>
      <c r="C230" s="337" t="str">
        <f t="shared" si="6"/>
        <v>金</v>
      </c>
      <c r="D230" s="353"/>
      <c r="E230" s="353"/>
      <c r="F230" s="353"/>
    </row>
    <row r="231" spans="2:6" ht="18.75" customHeight="1">
      <c r="B231" s="356">
        <f t="shared" si="7"/>
        <v>46158</v>
      </c>
      <c r="C231" s="356" t="str">
        <f t="shared" si="6"/>
        <v>土</v>
      </c>
      <c r="D231" s="353"/>
      <c r="E231" s="353"/>
      <c r="F231" s="353"/>
    </row>
    <row r="232" spans="2:6" ht="18.75" customHeight="1">
      <c r="B232" s="357">
        <f t="shared" si="7"/>
        <v>46159</v>
      </c>
      <c r="C232" s="357" t="str">
        <f t="shared" si="6"/>
        <v>日</v>
      </c>
      <c r="D232" s="353"/>
      <c r="E232" s="353"/>
      <c r="F232" s="353"/>
    </row>
    <row r="233" spans="2:6" ht="18.75" customHeight="1">
      <c r="B233" s="337">
        <f t="shared" si="7"/>
        <v>46160</v>
      </c>
      <c r="C233" s="337" t="str">
        <f t="shared" si="6"/>
        <v>月</v>
      </c>
      <c r="D233" s="353"/>
      <c r="E233" s="353"/>
      <c r="F233" s="353"/>
    </row>
    <row r="234" spans="2:6" ht="18.75" customHeight="1">
      <c r="B234" s="337">
        <f t="shared" si="7"/>
        <v>46161</v>
      </c>
      <c r="C234" s="337" t="str">
        <f t="shared" si="6"/>
        <v>火</v>
      </c>
      <c r="D234" s="353"/>
      <c r="E234" s="353"/>
      <c r="F234" s="353"/>
    </row>
    <row r="235" spans="2:6" ht="18.75" customHeight="1">
      <c r="B235" s="337">
        <f t="shared" si="7"/>
        <v>46162</v>
      </c>
      <c r="C235" s="337" t="str">
        <f t="shared" si="6"/>
        <v>水</v>
      </c>
      <c r="D235" s="353"/>
      <c r="E235" s="353"/>
      <c r="F235" s="353"/>
    </row>
    <row r="236" spans="2:6" ht="18.75" customHeight="1">
      <c r="B236" s="337">
        <f t="shared" si="7"/>
        <v>46163</v>
      </c>
      <c r="C236" s="337" t="str">
        <f t="shared" si="6"/>
        <v>木</v>
      </c>
      <c r="D236" s="353"/>
      <c r="E236" s="353"/>
      <c r="F236" s="353"/>
    </row>
    <row r="237" spans="2:6" ht="18.75" customHeight="1">
      <c r="B237" s="337">
        <f t="shared" si="7"/>
        <v>46164</v>
      </c>
      <c r="C237" s="337" t="str">
        <f t="shared" si="6"/>
        <v>金</v>
      </c>
      <c r="D237" s="353"/>
      <c r="E237" s="353"/>
      <c r="F237" s="353"/>
    </row>
    <row r="238" spans="2:6" ht="18.75" customHeight="1">
      <c r="B238" s="356">
        <f t="shared" si="7"/>
        <v>46165</v>
      </c>
      <c r="C238" s="356" t="str">
        <f t="shared" si="6"/>
        <v>土</v>
      </c>
      <c r="D238" s="353"/>
      <c r="E238" s="353"/>
      <c r="F238" s="353"/>
    </row>
    <row r="239" spans="2:6" ht="18.75" customHeight="1">
      <c r="B239" s="357">
        <f t="shared" si="7"/>
        <v>46166</v>
      </c>
      <c r="C239" s="357" t="str">
        <f t="shared" si="6"/>
        <v>日</v>
      </c>
      <c r="D239" s="353"/>
      <c r="E239" s="353"/>
      <c r="F239" s="353"/>
    </row>
    <row r="240" spans="2:6" ht="18.75" customHeight="1">
      <c r="B240" s="337">
        <f t="shared" si="7"/>
        <v>46167</v>
      </c>
      <c r="C240" s="337" t="str">
        <f t="shared" si="6"/>
        <v>月</v>
      </c>
      <c r="D240" s="353"/>
      <c r="E240" s="353"/>
      <c r="F240" s="353"/>
    </row>
    <row r="241" spans="2:6" ht="18.75" customHeight="1">
      <c r="B241" s="337">
        <f t="shared" si="7"/>
        <v>46168</v>
      </c>
      <c r="C241" s="337" t="str">
        <f t="shared" si="6"/>
        <v>火</v>
      </c>
      <c r="D241" s="353"/>
      <c r="E241" s="353"/>
      <c r="F241" s="353"/>
    </row>
    <row r="242" spans="2:6" ht="18.75" customHeight="1">
      <c r="B242" s="337">
        <f t="shared" si="7"/>
        <v>46169</v>
      </c>
      <c r="C242" s="337" t="str">
        <f t="shared" si="6"/>
        <v>水</v>
      </c>
      <c r="D242" s="353"/>
      <c r="E242" s="353"/>
      <c r="F242" s="353"/>
    </row>
    <row r="243" spans="2:6" ht="18.75" customHeight="1">
      <c r="B243" s="337">
        <f t="shared" si="7"/>
        <v>46170</v>
      </c>
      <c r="C243" s="337" t="str">
        <f t="shared" si="6"/>
        <v>木</v>
      </c>
      <c r="D243" s="353"/>
      <c r="E243" s="353"/>
      <c r="F243" s="353"/>
    </row>
    <row r="244" spans="2:6" ht="18.75" customHeight="1">
      <c r="B244" s="337">
        <f t="shared" si="7"/>
        <v>46171</v>
      </c>
      <c r="C244" s="337" t="str">
        <f t="shared" si="6"/>
        <v>金</v>
      </c>
      <c r="D244" s="353"/>
      <c r="E244" s="353"/>
      <c r="F244" s="353"/>
    </row>
    <row r="245" spans="2:6" ht="18.75" customHeight="1">
      <c r="B245" s="356">
        <f t="shared" si="7"/>
        <v>46172</v>
      </c>
      <c r="C245" s="356" t="str">
        <f t="shared" si="6"/>
        <v>土</v>
      </c>
      <c r="D245" s="353"/>
      <c r="E245" s="353"/>
      <c r="F245" s="353"/>
    </row>
    <row r="246" spans="2:6" ht="18.75" customHeight="1">
      <c r="B246" s="357">
        <f t="shared" si="7"/>
        <v>46173</v>
      </c>
      <c r="C246" s="357" t="str">
        <f t="shared" si="6"/>
        <v>日</v>
      </c>
      <c r="D246" s="353"/>
      <c r="E246" s="353"/>
      <c r="F246" s="353"/>
    </row>
    <row r="247" spans="2:6" ht="18.75" customHeight="1">
      <c r="B247" s="337">
        <f t="shared" si="7"/>
        <v>46174</v>
      </c>
      <c r="C247" s="337" t="str">
        <f t="shared" si="6"/>
        <v>月</v>
      </c>
      <c r="D247" s="353"/>
      <c r="E247" s="353"/>
      <c r="F247" s="353"/>
    </row>
    <row r="248" spans="2:6" ht="18.75" customHeight="1">
      <c r="B248" s="337">
        <f t="shared" si="7"/>
        <v>46175</v>
      </c>
      <c r="C248" s="337" t="str">
        <f t="shared" si="6"/>
        <v>火</v>
      </c>
      <c r="D248" s="353"/>
      <c r="E248" s="353"/>
      <c r="F248" s="353"/>
    </row>
    <row r="249" spans="2:6" ht="18.75" customHeight="1">
      <c r="B249" s="337">
        <f t="shared" si="7"/>
        <v>46176</v>
      </c>
      <c r="C249" s="337" t="str">
        <f t="shared" si="6"/>
        <v>水</v>
      </c>
      <c r="D249" s="353"/>
      <c r="E249" s="353"/>
      <c r="F249" s="353"/>
    </row>
    <row r="250" spans="2:6" ht="18.75" customHeight="1">
      <c r="B250" s="337">
        <f t="shared" si="7"/>
        <v>46177</v>
      </c>
      <c r="C250" s="337" t="str">
        <f t="shared" si="6"/>
        <v>木</v>
      </c>
      <c r="D250" s="353"/>
      <c r="E250" s="353"/>
      <c r="F250" s="353"/>
    </row>
    <row r="251" spans="2:6" ht="18.75" customHeight="1">
      <c r="B251" s="337">
        <f t="shared" si="7"/>
        <v>46178</v>
      </c>
      <c r="C251" s="337" t="str">
        <f t="shared" si="6"/>
        <v>金</v>
      </c>
      <c r="D251" s="353"/>
      <c r="E251" s="353"/>
      <c r="F251" s="353"/>
    </row>
    <row r="252" spans="2:6" ht="18.75" customHeight="1">
      <c r="B252" s="356">
        <f t="shared" si="7"/>
        <v>46179</v>
      </c>
      <c r="C252" s="356" t="str">
        <f t="shared" si="6"/>
        <v>土</v>
      </c>
      <c r="D252" s="353"/>
      <c r="E252" s="353"/>
      <c r="F252" s="353"/>
    </row>
    <row r="253" spans="2:6" ht="18.75" customHeight="1">
      <c r="B253" s="357">
        <f t="shared" si="7"/>
        <v>46180</v>
      </c>
      <c r="C253" s="357" t="str">
        <f t="shared" si="6"/>
        <v>日</v>
      </c>
      <c r="D253" s="353"/>
      <c r="E253" s="353"/>
      <c r="F253" s="353"/>
    </row>
    <row r="254" spans="2:6" ht="18.75" customHeight="1">
      <c r="B254" s="337">
        <f t="shared" si="7"/>
        <v>46181</v>
      </c>
      <c r="C254" s="337" t="str">
        <f t="shared" si="6"/>
        <v>月</v>
      </c>
      <c r="D254" s="353"/>
      <c r="E254" s="353"/>
      <c r="F254" s="353"/>
    </row>
    <row r="255" spans="2:6" ht="18.75" customHeight="1">
      <c r="B255" s="337">
        <f t="shared" si="7"/>
        <v>46182</v>
      </c>
      <c r="C255" s="337" t="str">
        <f t="shared" si="6"/>
        <v>火</v>
      </c>
      <c r="D255" s="353"/>
      <c r="E255" s="353"/>
      <c r="F255" s="353"/>
    </row>
    <row r="256" spans="2:6" ht="18.75" customHeight="1">
      <c r="B256" s="337">
        <f t="shared" si="7"/>
        <v>46183</v>
      </c>
      <c r="C256" s="337" t="str">
        <f t="shared" si="6"/>
        <v>水</v>
      </c>
      <c r="D256" s="353"/>
      <c r="E256" s="353"/>
      <c r="F256" s="353"/>
    </row>
    <row r="257" spans="2:6" ht="18.75" customHeight="1">
      <c r="B257" s="337">
        <f t="shared" si="7"/>
        <v>46184</v>
      </c>
      <c r="C257" s="337" t="str">
        <f t="shared" si="6"/>
        <v>木</v>
      </c>
      <c r="D257" s="353"/>
      <c r="E257" s="353"/>
      <c r="F257" s="353"/>
    </row>
    <row r="258" spans="2:6" ht="18.75" customHeight="1">
      <c r="B258" s="337">
        <f t="shared" si="7"/>
        <v>46185</v>
      </c>
      <c r="C258" s="337" t="str">
        <f t="shared" si="6"/>
        <v>金</v>
      </c>
      <c r="D258" s="353"/>
      <c r="E258" s="353"/>
      <c r="F258" s="353"/>
    </row>
    <row r="259" spans="2:6" ht="18.75" customHeight="1">
      <c r="B259" s="356">
        <f t="shared" si="7"/>
        <v>46186</v>
      </c>
      <c r="C259" s="356" t="str">
        <f t="shared" si="6"/>
        <v>土</v>
      </c>
      <c r="D259" s="353"/>
      <c r="E259" s="353"/>
      <c r="F259" s="353"/>
    </row>
    <row r="260" spans="2:6" ht="18.75" customHeight="1">
      <c r="B260" s="357">
        <f t="shared" si="7"/>
        <v>46187</v>
      </c>
      <c r="C260" s="357" t="str">
        <f t="shared" ref="C260:C323" si="8">TEXT(B260,"aaa")</f>
        <v>日</v>
      </c>
      <c r="D260" s="353"/>
      <c r="E260" s="353"/>
      <c r="F260" s="353"/>
    </row>
    <row r="261" spans="2:6" ht="18.75" customHeight="1">
      <c r="B261" s="337">
        <f t="shared" ref="B261:B324" si="9">B260+1</f>
        <v>46188</v>
      </c>
      <c r="C261" s="337" t="str">
        <f t="shared" si="8"/>
        <v>月</v>
      </c>
      <c r="D261" s="353"/>
      <c r="E261" s="353"/>
      <c r="F261" s="353"/>
    </row>
    <row r="262" spans="2:6" ht="18.75" customHeight="1">
      <c r="B262" s="337">
        <f t="shared" si="9"/>
        <v>46189</v>
      </c>
      <c r="C262" s="337" t="str">
        <f t="shared" si="8"/>
        <v>火</v>
      </c>
      <c r="D262" s="353"/>
      <c r="E262" s="353"/>
      <c r="F262" s="353"/>
    </row>
    <row r="263" spans="2:6" ht="18.75" customHeight="1">
      <c r="B263" s="337">
        <f t="shared" si="9"/>
        <v>46190</v>
      </c>
      <c r="C263" s="337" t="str">
        <f t="shared" si="8"/>
        <v>水</v>
      </c>
      <c r="D263" s="353"/>
      <c r="E263" s="353"/>
      <c r="F263" s="353"/>
    </row>
    <row r="264" spans="2:6" ht="18.75" customHeight="1">
      <c r="B264" s="337">
        <f t="shared" si="9"/>
        <v>46191</v>
      </c>
      <c r="C264" s="337" t="str">
        <f t="shared" si="8"/>
        <v>木</v>
      </c>
      <c r="D264" s="353"/>
      <c r="E264" s="353"/>
      <c r="F264" s="353"/>
    </row>
    <row r="265" spans="2:6" ht="18.75" customHeight="1">
      <c r="B265" s="337">
        <f t="shared" si="9"/>
        <v>46192</v>
      </c>
      <c r="C265" s="337" t="str">
        <f t="shared" si="8"/>
        <v>金</v>
      </c>
      <c r="D265" s="353"/>
      <c r="E265" s="353"/>
      <c r="F265" s="353"/>
    </row>
    <row r="266" spans="2:6" ht="18.75" customHeight="1">
      <c r="B266" s="356">
        <f t="shared" si="9"/>
        <v>46193</v>
      </c>
      <c r="C266" s="356" t="str">
        <f t="shared" si="8"/>
        <v>土</v>
      </c>
      <c r="D266" s="353"/>
      <c r="E266" s="353"/>
      <c r="F266" s="353"/>
    </row>
    <row r="267" spans="2:6" ht="18.75" customHeight="1">
      <c r="B267" s="357">
        <f t="shared" si="9"/>
        <v>46194</v>
      </c>
      <c r="C267" s="357" t="str">
        <f t="shared" si="8"/>
        <v>日</v>
      </c>
      <c r="D267" s="353"/>
      <c r="E267" s="353"/>
      <c r="F267" s="353"/>
    </row>
    <row r="268" spans="2:6" ht="18.75" customHeight="1">
      <c r="B268" s="337">
        <f t="shared" si="9"/>
        <v>46195</v>
      </c>
      <c r="C268" s="337" t="str">
        <f t="shared" si="8"/>
        <v>月</v>
      </c>
      <c r="D268" s="353"/>
      <c r="E268" s="353"/>
      <c r="F268" s="353"/>
    </row>
    <row r="269" spans="2:6" ht="18.75" customHeight="1">
      <c r="B269" s="337">
        <f t="shared" si="9"/>
        <v>46196</v>
      </c>
      <c r="C269" s="337" t="str">
        <f t="shared" si="8"/>
        <v>火</v>
      </c>
      <c r="D269" s="353"/>
      <c r="E269" s="353"/>
      <c r="F269" s="353"/>
    </row>
    <row r="270" spans="2:6" ht="18.75" customHeight="1">
      <c r="B270" s="337">
        <f t="shared" si="9"/>
        <v>46197</v>
      </c>
      <c r="C270" s="337" t="str">
        <f t="shared" si="8"/>
        <v>水</v>
      </c>
      <c r="D270" s="353"/>
      <c r="E270" s="353"/>
      <c r="F270" s="353"/>
    </row>
    <row r="271" spans="2:6" ht="18.75" customHeight="1">
      <c r="B271" s="337">
        <f t="shared" si="9"/>
        <v>46198</v>
      </c>
      <c r="C271" s="337" t="str">
        <f t="shared" si="8"/>
        <v>木</v>
      </c>
      <c r="D271" s="353"/>
      <c r="E271" s="353"/>
      <c r="F271" s="353"/>
    </row>
    <row r="272" spans="2:6" ht="18.75" customHeight="1">
      <c r="B272" s="337">
        <f t="shared" si="9"/>
        <v>46199</v>
      </c>
      <c r="C272" s="337" t="str">
        <f t="shared" si="8"/>
        <v>金</v>
      </c>
      <c r="D272" s="353"/>
      <c r="E272" s="353"/>
      <c r="F272" s="353"/>
    </row>
    <row r="273" spans="2:6" ht="18.75" customHeight="1">
      <c r="B273" s="356">
        <f t="shared" si="9"/>
        <v>46200</v>
      </c>
      <c r="C273" s="356" t="str">
        <f t="shared" si="8"/>
        <v>土</v>
      </c>
      <c r="D273" s="353"/>
      <c r="E273" s="353"/>
      <c r="F273" s="353"/>
    </row>
    <row r="274" spans="2:6" ht="18.75" customHeight="1">
      <c r="B274" s="357">
        <f t="shared" si="9"/>
        <v>46201</v>
      </c>
      <c r="C274" s="357" t="str">
        <f t="shared" si="8"/>
        <v>日</v>
      </c>
      <c r="D274" s="353"/>
      <c r="E274" s="353"/>
      <c r="F274" s="353"/>
    </row>
    <row r="275" spans="2:6" ht="18.75" customHeight="1">
      <c r="B275" s="337">
        <f t="shared" si="9"/>
        <v>46202</v>
      </c>
      <c r="C275" s="337" t="str">
        <f t="shared" si="8"/>
        <v>月</v>
      </c>
      <c r="D275" s="353"/>
      <c r="E275" s="353"/>
      <c r="F275" s="353"/>
    </row>
    <row r="276" spans="2:6" ht="18.75" customHeight="1">
      <c r="B276" s="337">
        <f t="shared" si="9"/>
        <v>46203</v>
      </c>
      <c r="C276" s="337" t="str">
        <f t="shared" si="8"/>
        <v>火</v>
      </c>
      <c r="D276" s="353"/>
      <c r="E276" s="353"/>
      <c r="F276" s="353"/>
    </row>
    <row r="277" spans="2:6" ht="18.75" customHeight="1">
      <c r="B277" s="337">
        <f t="shared" si="9"/>
        <v>46204</v>
      </c>
      <c r="C277" s="337" t="str">
        <f t="shared" si="8"/>
        <v>水</v>
      </c>
      <c r="D277" s="353"/>
      <c r="E277" s="353"/>
      <c r="F277" s="353"/>
    </row>
    <row r="278" spans="2:6" ht="18.75" customHeight="1">
      <c r="B278" s="337">
        <f t="shared" si="9"/>
        <v>46205</v>
      </c>
      <c r="C278" s="337" t="str">
        <f t="shared" si="8"/>
        <v>木</v>
      </c>
      <c r="D278" s="353"/>
      <c r="E278" s="353"/>
      <c r="F278" s="353"/>
    </row>
    <row r="279" spans="2:6" ht="18.75" customHeight="1">
      <c r="B279" s="337">
        <f t="shared" si="9"/>
        <v>46206</v>
      </c>
      <c r="C279" s="337" t="str">
        <f t="shared" si="8"/>
        <v>金</v>
      </c>
      <c r="D279" s="353"/>
      <c r="E279" s="353"/>
      <c r="F279" s="353"/>
    </row>
    <row r="280" spans="2:6" ht="18.75" customHeight="1">
      <c r="B280" s="356">
        <f t="shared" si="9"/>
        <v>46207</v>
      </c>
      <c r="C280" s="356" t="str">
        <f t="shared" si="8"/>
        <v>土</v>
      </c>
      <c r="D280" s="353"/>
      <c r="E280" s="353"/>
      <c r="F280" s="353"/>
    </row>
    <row r="281" spans="2:6" ht="18.75" customHeight="1">
      <c r="B281" s="357">
        <f t="shared" si="9"/>
        <v>46208</v>
      </c>
      <c r="C281" s="357" t="str">
        <f t="shared" si="8"/>
        <v>日</v>
      </c>
      <c r="D281" s="353"/>
      <c r="E281" s="353"/>
      <c r="F281" s="353"/>
    </row>
    <row r="282" spans="2:6" ht="18.75" customHeight="1">
      <c r="B282" s="337">
        <f t="shared" si="9"/>
        <v>46209</v>
      </c>
      <c r="C282" s="337" t="str">
        <f t="shared" si="8"/>
        <v>月</v>
      </c>
      <c r="D282" s="353"/>
      <c r="E282" s="353"/>
      <c r="F282" s="353"/>
    </row>
    <row r="283" spans="2:6" ht="18.75" customHeight="1">
      <c r="B283" s="337">
        <f t="shared" si="9"/>
        <v>46210</v>
      </c>
      <c r="C283" s="337" t="str">
        <f t="shared" si="8"/>
        <v>火</v>
      </c>
      <c r="D283" s="353"/>
      <c r="E283" s="353"/>
      <c r="F283" s="353"/>
    </row>
    <row r="284" spans="2:6" ht="18.75" customHeight="1">
      <c r="B284" s="337">
        <f t="shared" si="9"/>
        <v>46211</v>
      </c>
      <c r="C284" s="337" t="str">
        <f t="shared" si="8"/>
        <v>水</v>
      </c>
      <c r="D284" s="353"/>
      <c r="E284" s="353"/>
      <c r="F284" s="353"/>
    </row>
    <row r="285" spans="2:6" ht="18.75" customHeight="1">
      <c r="B285" s="337">
        <f t="shared" si="9"/>
        <v>46212</v>
      </c>
      <c r="C285" s="337" t="str">
        <f t="shared" si="8"/>
        <v>木</v>
      </c>
      <c r="D285" s="353"/>
      <c r="E285" s="353"/>
      <c r="F285" s="353"/>
    </row>
    <row r="286" spans="2:6" ht="18.75" customHeight="1">
      <c r="B286" s="337">
        <f t="shared" si="9"/>
        <v>46213</v>
      </c>
      <c r="C286" s="337" t="str">
        <f t="shared" si="8"/>
        <v>金</v>
      </c>
      <c r="D286" s="353"/>
      <c r="E286" s="353"/>
      <c r="F286" s="353"/>
    </row>
    <row r="287" spans="2:6" ht="18.75" customHeight="1">
      <c r="B287" s="356">
        <f t="shared" si="9"/>
        <v>46214</v>
      </c>
      <c r="C287" s="356" t="str">
        <f t="shared" si="8"/>
        <v>土</v>
      </c>
      <c r="D287" s="353"/>
      <c r="E287" s="353"/>
      <c r="F287" s="353"/>
    </row>
    <row r="288" spans="2:6" ht="18.75" customHeight="1">
      <c r="B288" s="357">
        <f t="shared" si="9"/>
        <v>46215</v>
      </c>
      <c r="C288" s="357" t="str">
        <f t="shared" si="8"/>
        <v>日</v>
      </c>
      <c r="D288" s="353"/>
      <c r="E288" s="353"/>
      <c r="F288" s="353"/>
    </row>
    <row r="289" spans="2:6" ht="18.75" customHeight="1">
      <c r="B289" s="337">
        <f t="shared" si="9"/>
        <v>46216</v>
      </c>
      <c r="C289" s="337" t="str">
        <f t="shared" si="8"/>
        <v>月</v>
      </c>
      <c r="D289" s="353"/>
      <c r="E289" s="353"/>
      <c r="F289" s="353"/>
    </row>
    <row r="290" spans="2:6" ht="18.75" customHeight="1">
      <c r="B290" s="337">
        <f t="shared" si="9"/>
        <v>46217</v>
      </c>
      <c r="C290" s="337" t="str">
        <f t="shared" si="8"/>
        <v>火</v>
      </c>
      <c r="D290" s="353"/>
      <c r="E290" s="353"/>
      <c r="F290" s="353"/>
    </row>
    <row r="291" spans="2:6" ht="18.75" customHeight="1">
      <c r="B291" s="337">
        <f t="shared" si="9"/>
        <v>46218</v>
      </c>
      <c r="C291" s="337" t="str">
        <f t="shared" si="8"/>
        <v>水</v>
      </c>
      <c r="D291" s="353"/>
      <c r="E291" s="353"/>
      <c r="F291" s="353"/>
    </row>
    <row r="292" spans="2:6" ht="18.75" customHeight="1">
      <c r="B292" s="337">
        <f t="shared" si="9"/>
        <v>46219</v>
      </c>
      <c r="C292" s="337" t="str">
        <f t="shared" si="8"/>
        <v>木</v>
      </c>
      <c r="D292" s="353"/>
      <c r="E292" s="353"/>
      <c r="F292" s="353"/>
    </row>
    <row r="293" spans="2:6" ht="18.75" customHeight="1">
      <c r="B293" s="337">
        <f t="shared" si="9"/>
        <v>46220</v>
      </c>
      <c r="C293" s="337" t="str">
        <f t="shared" si="8"/>
        <v>金</v>
      </c>
      <c r="D293" s="353"/>
      <c r="E293" s="353"/>
      <c r="F293" s="353"/>
    </row>
    <row r="294" spans="2:6" ht="18.75" customHeight="1">
      <c r="B294" s="356">
        <f t="shared" si="9"/>
        <v>46221</v>
      </c>
      <c r="C294" s="356" t="str">
        <f t="shared" si="8"/>
        <v>土</v>
      </c>
      <c r="D294" s="353"/>
      <c r="E294" s="353"/>
      <c r="F294" s="353"/>
    </row>
    <row r="295" spans="2:6" ht="18.75" customHeight="1">
      <c r="B295" s="357">
        <f t="shared" si="9"/>
        <v>46222</v>
      </c>
      <c r="C295" s="357" t="str">
        <f t="shared" si="8"/>
        <v>日</v>
      </c>
      <c r="D295" s="353"/>
      <c r="E295" s="353"/>
      <c r="F295" s="353"/>
    </row>
    <row r="296" spans="2:6" ht="18.75" customHeight="1">
      <c r="B296" s="358">
        <f t="shared" si="9"/>
        <v>46223</v>
      </c>
      <c r="C296" s="358" t="str">
        <f t="shared" si="8"/>
        <v>月</v>
      </c>
      <c r="D296" s="353"/>
      <c r="E296" s="353"/>
      <c r="F296" s="353"/>
    </row>
    <row r="297" spans="2:6" ht="18.75" customHeight="1">
      <c r="B297" s="337">
        <f t="shared" si="9"/>
        <v>46224</v>
      </c>
      <c r="C297" s="337" t="str">
        <f t="shared" si="8"/>
        <v>火</v>
      </c>
      <c r="D297" s="353"/>
      <c r="E297" s="353"/>
      <c r="F297" s="353"/>
    </row>
    <row r="298" spans="2:6" ht="18.75" customHeight="1">
      <c r="B298" s="337">
        <f t="shared" si="9"/>
        <v>46225</v>
      </c>
      <c r="C298" s="337" t="str">
        <f t="shared" si="8"/>
        <v>水</v>
      </c>
      <c r="D298" s="353"/>
      <c r="E298" s="353"/>
      <c r="F298" s="353"/>
    </row>
    <row r="299" spans="2:6" ht="18.75" customHeight="1">
      <c r="B299" s="337">
        <f t="shared" si="9"/>
        <v>46226</v>
      </c>
      <c r="C299" s="337" t="str">
        <f t="shared" si="8"/>
        <v>木</v>
      </c>
      <c r="D299" s="353"/>
      <c r="E299" s="353"/>
      <c r="F299" s="353"/>
    </row>
    <row r="300" spans="2:6" ht="18.75" customHeight="1">
      <c r="B300" s="337">
        <f t="shared" si="9"/>
        <v>46227</v>
      </c>
      <c r="C300" s="337" t="str">
        <f t="shared" si="8"/>
        <v>金</v>
      </c>
      <c r="D300" s="353"/>
      <c r="E300" s="353"/>
      <c r="F300" s="353"/>
    </row>
    <row r="301" spans="2:6" ht="18.75" customHeight="1">
      <c r="B301" s="356">
        <f t="shared" si="9"/>
        <v>46228</v>
      </c>
      <c r="C301" s="356" t="str">
        <f t="shared" si="8"/>
        <v>土</v>
      </c>
      <c r="D301" s="353"/>
      <c r="E301" s="353"/>
      <c r="F301" s="353"/>
    </row>
    <row r="302" spans="2:6" ht="18.75" customHeight="1">
      <c r="B302" s="357">
        <f t="shared" si="9"/>
        <v>46229</v>
      </c>
      <c r="C302" s="357" t="str">
        <f t="shared" si="8"/>
        <v>日</v>
      </c>
      <c r="D302" s="353"/>
      <c r="E302" s="353"/>
      <c r="F302" s="353"/>
    </row>
    <row r="303" spans="2:6" ht="18.75" customHeight="1">
      <c r="B303" s="337">
        <f t="shared" si="9"/>
        <v>46230</v>
      </c>
      <c r="C303" s="337" t="str">
        <f t="shared" si="8"/>
        <v>月</v>
      </c>
      <c r="D303" s="353"/>
      <c r="E303" s="353"/>
      <c r="F303" s="353"/>
    </row>
    <row r="304" spans="2:6" ht="18.75" customHeight="1">
      <c r="B304" s="337">
        <f t="shared" si="9"/>
        <v>46231</v>
      </c>
      <c r="C304" s="337" t="str">
        <f t="shared" si="8"/>
        <v>火</v>
      </c>
      <c r="D304" s="353"/>
      <c r="E304" s="353"/>
      <c r="F304" s="353"/>
    </row>
    <row r="305" spans="2:6" ht="18.75" customHeight="1">
      <c r="B305" s="337">
        <f t="shared" si="9"/>
        <v>46232</v>
      </c>
      <c r="C305" s="337" t="str">
        <f t="shared" si="8"/>
        <v>水</v>
      </c>
      <c r="D305" s="353"/>
      <c r="E305" s="353"/>
      <c r="F305" s="353"/>
    </row>
    <row r="306" spans="2:6" ht="18.75" customHeight="1">
      <c r="B306" s="337">
        <f t="shared" si="9"/>
        <v>46233</v>
      </c>
      <c r="C306" s="337" t="str">
        <f t="shared" si="8"/>
        <v>木</v>
      </c>
      <c r="D306" s="353"/>
      <c r="E306" s="353"/>
      <c r="F306" s="353"/>
    </row>
    <row r="307" spans="2:6" ht="18.75" customHeight="1">
      <c r="B307" s="337">
        <f t="shared" si="9"/>
        <v>46234</v>
      </c>
      <c r="C307" s="337" t="str">
        <f t="shared" si="8"/>
        <v>金</v>
      </c>
      <c r="D307" s="353"/>
      <c r="E307" s="353"/>
      <c r="F307" s="353"/>
    </row>
    <row r="308" spans="2:6" ht="18.75" customHeight="1">
      <c r="B308" s="356">
        <f t="shared" si="9"/>
        <v>46235</v>
      </c>
      <c r="C308" s="356" t="str">
        <f t="shared" si="8"/>
        <v>土</v>
      </c>
      <c r="D308" s="353"/>
      <c r="E308" s="353"/>
      <c r="F308" s="353"/>
    </row>
    <row r="309" spans="2:6" ht="18.75" customHeight="1">
      <c r="B309" s="357">
        <f t="shared" si="9"/>
        <v>46236</v>
      </c>
      <c r="C309" s="357" t="str">
        <f t="shared" si="8"/>
        <v>日</v>
      </c>
      <c r="D309" s="353"/>
      <c r="E309" s="353"/>
      <c r="F309" s="353"/>
    </row>
    <row r="310" spans="2:6" ht="18.75" customHeight="1">
      <c r="B310" s="337">
        <f t="shared" si="9"/>
        <v>46237</v>
      </c>
      <c r="C310" s="337" t="str">
        <f t="shared" si="8"/>
        <v>月</v>
      </c>
      <c r="D310" s="353"/>
      <c r="E310" s="353"/>
      <c r="F310" s="353"/>
    </row>
    <row r="311" spans="2:6" ht="18.75" customHeight="1">
      <c r="B311" s="337">
        <f t="shared" si="9"/>
        <v>46238</v>
      </c>
      <c r="C311" s="337" t="str">
        <f t="shared" si="8"/>
        <v>火</v>
      </c>
      <c r="D311" s="353"/>
      <c r="E311" s="353"/>
      <c r="F311" s="353"/>
    </row>
    <row r="312" spans="2:6" ht="18.75" customHeight="1">
      <c r="B312" s="337">
        <f t="shared" si="9"/>
        <v>46239</v>
      </c>
      <c r="C312" s="337" t="str">
        <f t="shared" si="8"/>
        <v>水</v>
      </c>
      <c r="D312" s="353"/>
      <c r="E312" s="353"/>
      <c r="F312" s="353"/>
    </row>
    <row r="313" spans="2:6" ht="18.75" customHeight="1">
      <c r="B313" s="337">
        <f t="shared" si="9"/>
        <v>46240</v>
      </c>
      <c r="C313" s="337" t="str">
        <f t="shared" si="8"/>
        <v>木</v>
      </c>
      <c r="D313" s="353"/>
      <c r="E313" s="353"/>
      <c r="F313" s="353"/>
    </row>
    <row r="314" spans="2:6" ht="18.75" customHeight="1">
      <c r="B314" s="337">
        <f t="shared" si="9"/>
        <v>46241</v>
      </c>
      <c r="C314" s="337" t="str">
        <f t="shared" si="8"/>
        <v>金</v>
      </c>
      <c r="D314" s="353"/>
      <c r="E314" s="353"/>
      <c r="F314" s="353"/>
    </row>
    <row r="315" spans="2:6" ht="18.75" customHeight="1">
      <c r="B315" s="356">
        <f t="shared" si="9"/>
        <v>46242</v>
      </c>
      <c r="C315" s="356" t="str">
        <f t="shared" si="8"/>
        <v>土</v>
      </c>
      <c r="D315" s="353"/>
      <c r="E315" s="353"/>
      <c r="F315" s="353"/>
    </row>
    <row r="316" spans="2:6" ht="18.75" customHeight="1">
      <c r="B316" s="357">
        <f t="shared" si="9"/>
        <v>46243</v>
      </c>
      <c r="C316" s="357" t="str">
        <f t="shared" si="8"/>
        <v>日</v>
      </c>
      <c r="D316" s="353"/>
      <c r="E316" s="353"/>
      <c r="F316" s="353"/>
    </row>
    <row r="317" spans="2:6" ht="18.75" customHeight="1">
      <c r="B317" s="337">
        <f t="shared" si="9"/>
        <v>46244</v>
      </c>
      <c r="C317" s="337" t="str">
        <f t="shared" si="8"/>
        <v>月</v>
      </c>
      <c r="D317" s="353"/>
      <c r="E317" s="353"/>
      <c r="F317" s="353"/>
    </row>
    <row r="318" spans="2:6" ht="18.75" customHeight="1">
      <c r="B318" s="358">
        <f t="shared" si="9"/>
        <v>46245</v>
      </c>
      <c r="C318" s="358" t="str">
        <f t="shared" si="8"/>
        <v>火</v>
      </c>
      <c r="D318" s="353"/>
      <c r="E318" s="353"/>
      <c r="F318" s="353"/>
    </row>
    <row r="319" spans="2:6" ht="18.75" customHeight="1">
      <c r="B319" s="337">
        <f t="shared" si="9"/>
        <v>46246</v>
      </c>
      <c r="C319" s="337" t="str">
        <f t="shared" si="8"/>
        <v>水</v>
      </c>
      <c r="D319" s="353"/>
      <c r="E319" s="353"/>
      <c r="F319" s="353"/>
    </row>
    <row r="320" spans="2:6" ht="18.75" customHeight="1">
      <c r="B320" s="337">
        <f t="shared" si="9"/>
        <v>46247</v>
      </c>
      <c r="C320" s="337" t="str">
        <f t="shared" si="8"/>
        <v>木</v>
      </c>
      <c r="D320" s="353"/>
      <c r="E320" s="353"/>
      <c r="F320" s="353"/>
    </row>
    <row r="321" spans="2:6" ht="18.75" customHeight="1">
      <c r="B321" s="337">
        <f t="shared" si="9"/>
        <v>46248</v>
      </c>
      <c r="C321" s="337" t="str">
        <f t="shared" si="8"/>
        <v>金</v>
      </c>
      <c r="D321" s="353"/>
      <c r="E321" s="353"/>
      <c r="F321" s="353"/>
    </row>
    <row r="322" spans="2:6" ht="18.75" customHeight="1">
      <c r="B322" s="356">
        <f t="shared" si="9"/>
        <v>46249</v>
      </c>
      <c r="C322" s="356" t="str">
        <f t="shared" si="8"/>
        <v>土</v>
      </c>
      <c r="D322" s="353"/>
      <c r="E322" s="353"/>
      <c r="F322" s="353"/>
    </row>
    <row r="323" spans="2:6" ht="18.75" customHeight="1">
      <c r="B323" s="357">
        <f t="shared" si="9"/>
        <v>46250</v>
      </c>
      <c r="C323" s="357" t="str">
        <f t="shared" si="8"/>
        <v>日</v>
      </c>
      <c r="D323" s="353"/>
      <c r="E323" s="353"/>
      <c r="F323" s="353"/>
    </row>
    <row r="324" spans="2:6" ht="18.75" customHeight="1">
      <c r="B324" s="337">
        <f t="shared" si="9"/>
        <v>46251</v>
      </c>
      <c r="C324" s="337" t="str">
        <f t="shared" ref="C324:C337" si="10">TEXT(B324,"aaa")</f>
        <v>月</v>
      </c>
      <c r="D324" s="353"/>
      <c r="E324" s="353"/>
      <c r="F324" s="353"/>
    </row>
    <row r="325" spans="2:6" ht="18.75" customHeight="1">
      <c r="B325" s="337">
        <f t="shared" ref="B325:B337" si="11">B324+1</f>
        <v>46252</v>
      </c>
      <c r="C325" s="337" t="str">
        <f t="shared" si="10"/>
        <v>火</v>
      </c>
      <c r="D325" s="353"/>
      <c r="E325" s="353"/>
      <c r="F325" s="353"/>
    </row>
    <row r="326" spans="2:6" ht="18.75" customHeight="1">
      <c r="B326" s="337">
        <f t="shared" si="11"/>
        <v>46253</v>
      </c>
      <c r="C326" s="337" t="str">
        <f t="shared" si="10"/>
        <v>水</v>
      </c>
      <c r="D326" s="353"/>
      <c r="E326" s="353"/>
      <c r="F326" s="353"/>
    </row>
    <row r="327" spans="2:6" ht="18.75" customHeight="1">
      <c r="B327" s="337">
        <f t="shared" si="11"/>
        <v>46254</v>
      </c>
      <c r="C327" s="337" t="str">
        <f t="shared" si="10"/>
        <v>木</v>
      </c>
      <c r="D327" s="353"/>
      <c r="E327" s="353"/>
      <c r="F327" s="353"/>
    </row>
    <row r="328" spans="2:6" ht="18.75" customHeight="1">
      <c r="B328" s="337">
        <f t="shared" si="11"/>
        <v>46255</v>
      </c>
      <c r="C328" s="337" t="str">
        <f t="shared" si="10"/>
        <v>金</v>
      </c>
      <c r="D328" s="353"/>
      <c r="E328" s="353"/>
      <c r="F328" s="353"/>
    </row>
    <row r="329" spans="2:6" ht="18.75" customHeight="1">
      <c r="B329" s="356">
        <f t="shared" si="11"/>
        <v>46256</v>
      </c>
      <c r="C329" s="356" t="str">
        <f t="shared" si="10"/>
        <v>土</v>
      </c>
      <c r="D329" s="353"/>
      <c r="E329" s="353"/>
      <c r="F329" s="353"/>
    </row>
    <row r="330" spans="2:6" ht="18.75" customHeight="1">
      <c r="B330" s="357">
        <f t="shared" si="11"/>
        <v>46257</v>
      </c>
      <c r="C330" s="357" t="str">
        <f t="shared" si="10"/>
        <v>日</v>
      </c>
      <c r="D330" s="353"/>
      <c r="E330" s="353"/>
      <c r="F330" s="353"/>
    </row>
    <row r="331" spans="2:6" ht="18.75" customHeight="1">
      <c r="B331" s="337">
        <f t="shared" si="11"/>
        <v>46258</v>
      </c>
      <c r="C331" s="337" t="str">
        <f t="shared" si="10"/>
        <v>月</v>
      </c>
      <c r="D331" s="353"/>
      <c r="E331" s="353"/>
      <c r="F331" s="353"/>
    </row>
    <row r="332" spans="2:6" ht="18.75" customHeight="1">
      <c r="B332" s="337">
        <f t="shared" si="11"/>
        <v>46259</v>
      </c>
      <c r="C332" s="337" t="str">
        <f t="shared" si="10"/>
        <v>火</v>
      </c>
      <c r="D332" s="353"/>
      <c r="E332" s="353"/>
      <c r="F332" s="353"/>
    </row>
    <row r="333" spans="2:6" ht="18.75" customHeight="1">
      <c r="B333" s="337">
        <f t="shared" si="11"/>
        <v>46260</v>
      </c>
      <c r="C333" s="337" t="str">
        <f t="shared" si="10"/>
        <v>水</v>
      </c>
      <c r="D333" s="353"/>
      <c r="E333" s="353"/>
      <c r="F333" s="353"/>
    </row>
    <row r="334" spans="2:6" ht="18.75" customHeight="1">
      <c r="B334" s="337">
        <f t="shared" si="11"/>
        <v>46261</v>
      </c>
      <c r="C334" s="337" t="str">
        <f t="shared" si="10"/>
        <v>木</v>
      </c>
      <c r="D334" s="353"/>
      <c r="E334" s="353"/>
      <c r="F334" s="353"/>
    </row>
    <row r="335" spans="2:6" ht="18.75" customHeight="1">
      <c r="B335" s="337">
        <f t="shared" si="11"/>
        <v>46262</v>
      </c>
      <c r="C335" s="337" t="str">
        <f t="shared" si="10"/>
        <v>金</v>
      </c>
      <c r="D335" s="353"/>
      <c r="E335" s="353"/>
      <c r="F335" s="353"/>
    </row>
    <row r="336" spans="2:6" ht="18.75" customHeight="1">
      <c r="B336" s="356">
        <f t="shared" si="11"/>
        <v>46263</v>
      </c>
      <c r="C336" s="356" t="str">
        <f t="shared" si="10"/>
        <v>土</v>
      </c>
      <c r="D336" s="353"/>
      <c r="E336" s="353"/>
      <c r="F336" s="353"/>
    </row>
    <row r="337" spans="2:6" ht="18.75" customHeight="1">
      <c r="B337" s="357">
        <f t="shared" si="11"/>
        <v>46264</v>
      </c>
      <c r="C337" s="357" t="str">
        <f t="shared" si="10"/>
        <v>日</v>
      </c>
      <c r="D337" s="353"/>
      <c r="E337" s="353"/>
      <c r="F337" s="353"/>
    </row>
  </sheetData>
  <mergeCells count="21">
    <mergeCell ref="D4:F4"/>
    <mergeCell ref="D11:F11"/>
    <mergeCell ref="E30:F30"/>
    <mergeCell ref="D31:D34"/>
    <mergeCell ref="F31:F34"/>
    <mergeCell ref="E32:E34"/>
    <mergeCell ref="D38:D41"/>
    <mergeCell ref="E38:E41"/>
    <mergeCell ref="F38:F41"/>
    <mergeCell ref="D44:D45"/>
    <mergeCell ref="E44:E45"/>
    <mergeCell ref="F44:F45"/>
    <mergeCell ref="D79:D82"/>
    <mergeCell ref="F79:F82"/>
    <mergeCell ref="D83:F83"/>
    <mergeCell ref="D86:E86"/>
    <mergeCell ref="D46:F46"/>
    <mergeCell ref="D60:F62"/>
    <mergeCell ref="D65:F69"/>
    <mergeCell ref="D72:F74"/>
    <mergeCell ref="D76:F76"/>
  </mergeCells>
  <phoneticPr fontId="60"/>
  <pageMargins left="0.7" right="0.7" top="0.75" bottom="0.75" header="0.511811023622047" footer="0.511811023622047"/>
  <pageSetup paperSize="9"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B2:AF55"/>
  <sheetViews>
    <sheetView showGridLines="0" zoomScale="50" zoomScaleNormal="50" workbookViewId="0">
      <selection activeCell="AB47" sqref="AB47"/>
    </sheetView>
  </sheetViews>
  <sheetFormatPr defaultColWidth="8.5" defaultRowHeight="18"/>
  <sheetData>
    <row r="2" spans="2:32" ht="18" customHeight="1">
      <c r="B2" t="s">
        <v>503</v>
      </c>
      <c r="C2" t="s">
        <v>378</v>
      </c>
      <c r="D2" t="s">
        <v>382</v>
      </c>
      <c r="E2" t="s">
        <v>384</v>
      </c>
      <c r="S2" t="s">
        <v>503</v>
      </c>
      <c r="T2" t="s">
        <v>378</v>
      </c>
    </row>
    <row r="3" spans="2:32" ht="18" customHeight="1">
      <c r="B3" s="6" t="s">
        <v>504</v>
      </c>
      <c r="C3">
        <v>50</v>
      </c>
      <c r="D3">
        <v>10</v>
      </c>
      <c r="E3">
        <v>20</v>
      </c>
      <c r="S3" s="6" t="s">
        <v>504</v>
      </c>
      <c r="T3">
        <v>50</v>
      </c>
    </row>
    <row r="4" spans="2:32" ht="18" customHeight="1">
      <c r="B4" s="6" t="s">
        <v>505</v>
      </c>
      <c r="C4">
        <v>55</v>
      </c>
      <c r="D4">
        <v>25</v>
      </c>
      <c r="E4">
        <v>22</v>
      </c>
      <c r="S4" s="6" t="s">
        <v>505</v>
      </c>
      <c r="T4">
        <v>55</v>
      </c>
    </row>
    <row r="5" spans="2:32" ht="18" customHeight="1">
      <c r="B5" s="6" t="s">
        <v>506</v>
      </c>
      <c r="C5">
        <v>52</v>
      </c>
      <c r="D5">
        <v>45</v>
      </c>
      <c r="E5">
        <v>25</v>
      </c>
      <c r="S5" s="6" t="s">
        <v>506</v>
      </c>
      <c r="T5">
        <v>52</v>
      </c>
    </row>
    <row r="6" spans="2:32" ht="18" customHeight="1">
      <c r="B6" s="6" t="s">
        <v>507</v>
      </c>
      <c r="C6">
        <v>50</v>
      </c>
      <c r="D6">
        <v>70</v>
      </c>
      <c r="E6">
        <v>25</v>
      </c>
      <c r="S6" s="6" t="s">
        <v>507</v>
      </c>
      <c r="T6">
        <v>80</v>
      </c>
    </row>
    <row r="16" spans="2:32" ht="18" customHeight="1">
      <c r="AF16" s="6" t="s">
        <v>508</v>
      </c>
    </row>
    <row r="18" spans="2:20" ht="18" customHeight="1">
      <c r="B18" t="s">
        <v>503</v>
      </c>
      <c r="C18" t="s">
        <v>378</v>
      </c>
      <c r="D18" t="s">
        <v>382</v>
      </c>
      <c r="E18" t="s">
        <v>384</v>
      </c>
    </row>
    <row r="19" spans="2:20" ht="18" customHeight="1">
      <c r="B19" t="s">
        <v>509</v>
      </c>
      <c r="C19">
        <v>100</v>
      </c>
      <c r="D19">
        <v>100</v>
      </c>
      <c r="E19">
        <v>100</v>
      </c>
      <c r="S19" t="s">
        <v>503</v>
      </c>
      <c r="T19" t="s">
        <v>378</v>
      </c>
    </row>
    <row r="20" spans="2:20" ht="18" customHeight="1">
      <c r="B20" t="s">
        <v>510</v>
      </c>
      <c r="C20">
        <v>105</v>
      </c>
      <c r="D20">
        <v>90</v>
      </c>
      <c r="E20">
        <v>110</v>
      </c>
      <c r="S20" s="6" t="s">
        <v>504</v>
      </c>
      <c r="T20">
        <v>50</v>
      </c>
    </row>
    <row r="21" spans="2:20" ht="18" customHeight="1">
      <c r="B21" t="s">
        <v>511</v>
      </c>
      <c r="C21">
        <v>110</v>
      </c>
      <c r="D21">
        <v>75</v>
      </c>
      <c r="E21">
        <v>90</v>
      </c>
      <c r="S21" s="6" t="s">
        <v>505</v>
      </c>
      <c r="T21">
        <v>55</v>
      </c>
    </row>
    <row r="22" spans="2:20" ht="18" customHeight="1">
      <c r="B22" t="s">
        <v>512</v>
      </c>
      <c r="C22">
        <v>115</v>
      </c>
      <c r="D22">
        <v>60</v>
      </c>
      <c r="E22">
        <v>80</v>
      </c>
      <c r="S22" s="6" t="s">
        <v>506</v>
      </c>
      <c r="T22">
        <v>52</v>
      </c>
    </row>
    <row r="23" spans="2:20" ht="18" customHeight="1">
      <c r="B23" t="s">
        <v>513</v>
      </c>
      <c r="C23">
        <v>120</v>
      </c>
      <c r="D23">
        <v>55</v>
      </c>
      <c r="E23">
        <v>45</v>
      </c>
      <c r="S23" s="6" t="s">
        <v>507</v>
      </c>
      <c r="T23">
        <v>80</v>
      </c>
    </row>
    <row r="33" spans="2:3" ht="18" customHeight="1">
      <c r="B33" t="s">
        <v>503</v>
      </c>
      <c r="C33" s="6" t="s">
        <v>514</v>
      </c>
    </row>
    <row r="34" spans="2:3" ht="18" customHeight="1">
      <c r="B34" t="s">
        <v>378</v>
      </c>
      <c r="C34">
        <v>60</v>
      </c>
    </row>
    <row r="35" spans="2:3" ht="18" customHeight="1">
      <c r="B35" t="s">
        <v>382</v>
      </c>
      <c r="C35">
        <v>20</v>
      </c>
    </row>
    <row r="36" spans="2:3" ht="18" customHeight="1">
      <c r="B36" t="s">
        <v>384</v>
      </c>
      <c r="C36">
        <v>15</v>
      </c>
    </row>
    <row r="37" spans="2:3" ht="18" customHeight="1">
      <c r="B37" t="s">
        <v>385</v>
      </c>
      <c r="C37">
        <v>5</v>
      </c>
    </row>
    <row r="51" spans="2:5" ht="18" customHeight="1">
      <c r="B51" t="s">
        <v>503</v>
      </c>
      <c r="C51" t="s">
        <v>515</v>
      </c>
      <c r="D51" t="s">
        <v>516</v>
      </c>
      <c r="E51" t="s">
        <v>517</v>
      </c>
    </row>
    <row r="52" spans="2:5" ht="18" customHeight="1">
      <c r="B52" t="s">
        <v>385</v>
      </c>
      <c r="C52">
        <v>4.3</v>
      </c>
      <c r="D52">
        <v>2.4</v>
      </c>
      <c r="E52">
        <v>2</v>
      </c>
    </row>
    <row r="53" spans="2:5" ht="18" customHeight="1">
      <c r="B53" t="s">
        <v>384</v>
      </c>
      <c r="C53">
        <v>2.5</v>
      </c>
      <c r="D53">
        <v>4.4000000000000004</v>
      </c>
      <c r="E53">
        <v>2</v>
      </c>
    </row>
    <row r="54" spans="2:5" ht="18" customHeight="1">
      <c r="B54" t="s">
        <v>382</v>
      </c>
      <c r="C54">
        <v>3.5</v>
      </c>
      <c r="D54">
        <v>1.8</v>
      </c>
      <c r="E54">
        <v>3</v>
      </c>
    </row>
    <row r="55" spans="2:5" ht="18" customHeight="1">
      <c r="B55" t="s">
        <v>378</v>
      </c>
      <c r="C55">
        <v>4.5</v>
      </c>
      <c r="D55">
        <v>2.8</v>
      </c>
      <c r="E55">
        <v>5</v>
      </c>
    </row>
  </sheetData>
  <phoneticPr fontId="60"/>
  <pageMargins left="0.7" right="0.7" top="0.75" bottom="0.75" header="0.511811023622047" footer="0.511811023622047"/>
  <pageSetup paperSize="9" orientation="portrait" horizontalDpi="300" verticalDpi="300"/>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B2:F36"/>
  <sheetViews>
    <sheetView showGridLines="0" zoomScale="115" zoomScaleNormal="115" workbookViewId="0">
      <selection activeCell="B2" sqref="B2"/>
    </sheetView>
  </sheetViews>
  <sheetFormatPr defaultColWidth="8.5" defaultRowHeight="18"/>
  <cols>
    <col min="2" max="5" width="16.1640625" style="23" customWidth="1"/>
    <col min="6" max="6" width="55.5" style="23" customWidth="1"/>
  </cols>
  <sheetData>
    <row r="2" spans="2:6" ht="19.5" customHeight="1">
      <c r="B2" s="3" t="s">
        <v>518</v>
      </c>
      <c r="C2" s="143" t="s">
        <v>518</v>
      </c>
      <c r="D2" s="143" t="s">
        <v>518</v>
      </c>
      <c r="E2" s="143" t="s">
        <v>518</v>
      </c>
      <c r="F2" s="144" t="s">
        <v>518</v>
      </c>
    </row>
    <row r="3" spans="2:6" ht="22.5" customHeight="1">
      <c r="B3" s="226" t="s">
        <v>519</v>
      </c>
      <c r="C3" s="284" t="s">
        <v>520</v>
      </c>
      <c r="D3" s="284" t="s">
        <v>520</v>
      </c>
      <c r="E3" s="284" t="s">
        <v>520</v>
      </c>
      <c r="F3" s="311" t="s">
        <v>420</v>
      </c>
    </row>
    <row r="4" spans="2:6" ht="22.5" customHeight="1">
      <c r="B4" s="111" t="s">
        <v>519</v>
      </c>
      <c r="C4" s="274" t="s">
        <v>520</v>
      </c>
      <c r="D4" s="274" t="s">
        <v>520</v>
      </c>
      <c r="E4" s="314" t="s">
        <v>520</v>
      </c>
      <c r="F4" s="315" t="s">
        <v>420</v>
      </c>
    </row>
    <row r="5" spans="2:6" ht="22.5" customHeight="1">
      <c r="B5" s="111" t="s">
        <v>519</v>
      </c>
      <c r="C5" s="274" t="s">
        <v>520</v>
      </c>
      <c r="D5" s="274" t="s">
        <v>520</v>
      </c>
      <c r="E5" s="314" t="s">
        <v>520</v>
      </c>
      <c r="F5" s="316" t="s">
        <v>420</v>
      </c>
    </row>
    <row r="6" spans="2:6" ht="22.5" customHeight="1">
      <c r="B6" s="111" t="s">
        <v>519</v>
      </c>
      <c r="C6" s="274" t="s">
        <v>520</v>
      </c>
      <c r="D6" s="274" t="s">
        <v>520</v>
      </c>
      <c r="E6" s="314" t="s">
        <v>520</v>
      </c>
      <c r="F6" s="316" t="s">
        <v>420</v>
      </c>
    </row>
    <row r="7" spans="2:6" ht="22.5" customHeight="1">
      <c r="B7" s="111" t="s">
        <v>519</v>
      </c>
      <c r="C7" s="274" t="s">
        <v>520</v>
      </c>
      <c r="D7" s="274" t="s">
        <v>520</v>
      </c>
      <c r="E7" s="314" t="s">
        <v>520</v>
      </c>
      <c r="F7" s="316" t="s">
        <v>420</v>
      </c>
    </row>
    <row r="8" spans="2:6" ht="22.5" customHeight="1">
      <c r="B8" s="111" t="s">
        <v>519</v>
      </c>
      <c r="C8" s="274" t="s">
        <v>520</v>
      </c>
      <c r="D8" s="274" t="s">
        <v>520</v>
      </c>
      <c r="E8" s="314" t="s">
        <v>520</v>
      </c>
      <c r="F8" s="316" t="s">
        <v>420</v>
      </c>
    </row>
    <row r="11" spans="2:6" ht="19.5" customHeight="1">
      <c r="B11" s="3" t="s">
        <v>518</v>
      </c>
      <c r="C11" s="143" t="s">
        <v>518</v>
      </c>
      <c r="D11" s="143" t="s">
        <v>518</v>
      </c>
      <c r="E11" s="143" t="s">
        <v>518</v>
      </c>
      <c r="F11" s="144" t="s">
        <v>518</v>
      </c>
    </row>
    <row r="12" spans="2:6" ht="19.5" customHeight="1">
      <c r="B12" s="662" t="s">
        <v>519</v>
      </c>
      <c r="C12" s="360" t="s">
        <v>520</v>
      </c>
      <c r="D12" s="360" t="s">
        <v>520</v>
      </c>
      <c r="E12" s="361" t="s">
        <v>520</v>
      </c>
      <c r="F12" s="362" t="s">
        <v>420</v>
      </c>
    </row>
    <row r="13" spans="2:6" ht="19.5" customHeight="1">
      <c r="B13" s="662"/>
      <c r="C13" s="274" t="s">
        <v>520</v>
      </c>
      <c r="D13" s="274" t="s">
        <v>520</v>
      </c>
      <c r="E13" s="363" t="s">
        <v>520</v>
      </c>
      <c r="F13" s="315" t="s">
        <v>420</v>
      </c>
    </row>
    <row r="14" spans="2:6" ht="19.5" customHeight="1">
      <c r="B14" s="661" t="s">
        <v>519</v>
      </c>
      <c r="C14" s="364" t="s">
        <v>520</v>
      </c>
      <c r="D14" s="364" t="s">
        <v>520</v>
      </c>
      <c r="E14" s="364" t="s">
        <v>520</v>
      </c>
      <c r="F14" s="365" t="s">
        <v>420</v>
      </c>
    </row>
    <row r="15" spans="2:6" ht="19.5" customHeight="1">
      <c r="B15" s="661"/>
      <c r="C15" s="274" t="s">
        <v>520</v>
      </c>
      <c r="D15" s="274" t="s">
        <v>520</v>
      </c>
      <c r="E15" s="274" t="s">
        <v>520</v>
      </c>
      <c r="F15" s="316" t="s">
        <v>420</v>
      </c>
    </row>
    <row r="16" spans="2:6" ht="19.5" customHeight="1">
      <c r="B16" s="661" t="s">
        <v>519</v>
      </c>
      <c r="C16" s="364" t="s">
        <v>520</v>
      </c>
      <c r="D16" s="364" t="s">
        <v>520</v>
      </c>
      <c r="E16" s="364" t="s">
        <v>520</v>
      </c>
      <c r="F16" s="365" t="s">
        <v>420</v>
      </c>
    </row>
    <row r="17" spans="2:6" ht="19.5" customHeight="1">
      <c r="B17" s="661"/>
      <c r="C17" s="274" t="s">
        <v>520</v>
      </c>
      <c r="D17" s="274" t="s">
        <v>520</v>
      </c>
      <c r="E17" s="274" t="s">
        <v>520</v>
      </c>
      <c r="F17" s="316" t="s">
        <v>420</v>
      </c>
    </row>
    <row r="20" spans="2:6" ht="19.5" customHeight="1">
      <c r="B20" s="3" t="s">
        <v>518</v>
      </c>
      <c r="C20" s="143" t="s">
        <v>518</v>
      </c>
      <c r="D20" s="366" t="s">
        <v>518</v>
      </c>
      <c r="E20" s="143" t="s">
        <v>518</v>
      </c>
    </row>
    <row r="21" spans="2:6" ht="18" customHeight="1">
      <c r="B21" s="662" t="s">
        <v>519</v>
      </c>
      <c r="C21" s="367" t="s">
        <v>520</v>
      </c>
      <c r="D21" s="368" t="s">
        <v>520</v>
      </c>
      <c r="E21" s="369" t="s">
        <v>520</v>
      </c>
    </row>
    <row r="22" spans="2:6" ht="18" customHeight="1">
      <c r="B22" s="662"/>
      <c r="C22" s="370" t="s">
        <v>520</v>
      </c>
      <c r="D22" s="371" t="s">
        <v>520</v>
      </c>
      <c r="E22" s="372" t="s">
        <v>520</v>
      </c>
    </row>
    <row r="23" spans="2:6" ht="18" customHeight="1">
      <c r="B23" s="661" t="s">
        <v>519</v>
      </c>
      <c r="C23" s="373" t="s">
        <v>520</v>
      </c>
      <c r="D23" s="374" t="s">
        <v>520</v>
      </c>
      <c r="E23" s="375" t="s">
        <v>520</v>
      </c>
    </row>
    <row r="24" spans="2:6" ht="18" customHeight="1">
      <c r="B24" s="661"/>
      <c r="C24" s="376" t="s">
        <v>520</v>
      </c>
      <c r="D24" s="377" t="s">
        <v>520</v>
      </c>
      <c r="E24" s="378" t="s">
        <v>520</v>
      </c>
    </row>
    <row r="25" spans="2:6" ht="18" customHeight="1">
      <c r="B25" s="661" t="s">
        <v>519</v>
      </c>
      <c r="C25" s="379" t="s">
        <v>520</v>
      </c>
      <c r="D25" s="380" t="s">
        <v>520</v>
      </c>
      <c r="E25" s="381" t="s">
        <v>520</v>
      </c>
    </row>
    <row r="26" spans="2:6" ht="18.75" customHeight="1">
      <c r="B26" s="661"/>
      <c r="C26" s="370" t="s">
        <v>520</v>
      </c>
      <c r="D26" s="382" t="s">
        <v>520</v>
      </c>
      <c r="E26" s="378" t="s">
        <v>520</v>
      </c>
    </row>
    <row r="27" spans="2:6" ht="18.75" customHeight="1">
      <c r="D27" s="383"/>
    </row>
    <row r="29" spans="2:6" ht="19.5" customHeight="1">
      <c r="B29" s="3" t="s">
        <v>518</v>
      </c>
      <c r="C29" s="143" t="s">
        <v>518</v>
      </c>
      <c r="D29" s="143" t="s">
        <v>518</v>
      </c>
      <c r="E29" s="143" t="s">
        <v>518</v>
      </c>
    </row>
    <row r="30" spans="2:6" ht="18" customHeight="1">
      <c r="B30" s="662" t="s">
        <v>519</v>
      </c>
      <c r="C30" s="360" t="s">
        <v>520</v>
      </c>
      <c r="D30" s="360" t="s">
        <v>520</v>
      </c>
      <c r="E30" s="361" t="s">
        <v>520</v>
      </c>
    </row>
    <row r="31" spans="2:6" ht="18" customHeight="1">
      <c r="B31" s="662"/>
      <c r="C31" s="274" t="s">
        <v>520</v>
      </c>
      <c r="D31" s="274" t="s">
        <v>520</v>
      </c>
      <c r="E31" s="363" t="s">
        <v>520</v>
      </c>
    </row>
    <row r="32" spans="2:6" ht="18" customHeight="1">
      <c r="B32" s="663" t="s">
        <v>519</v>
      </c>
      <c r="C32" s="364" t="s">
        <v>520</v>
      </c>
      <c r="D32" s="364" t="s">
        <v>520</v>
      </c>
      <c r="E32" s="364" t="s">
        <v>520</v>
      </c>
    </row>
    <row r="33" spans="2:6" ht="18.75" customHeight="1">
      <c r="B33" s="663"/>
      <c r="C33" s="384" t="s">
        <v>520</v>
      </c>
      <c r="D33" s="384" t="s">
        <v>520</v>
      </c>
      <c r="E33" s="384" t="s">
        <v>520</v>
      </c>
    </row>
    <row r="34" spans="2:6" ht="18.75" customHeight="1">
      <c r="B34" s="664" t="s">
        <v>519</v>
      </c>
      <c r="C34" s="385" t="s">
        <v>520</v>
      </c>
      <c r="D34" s="385" t="s">
        <v>520</v>
      </c>
      <c r="E34" s="386" t="s">
        <v>520</v>
      </c>
      <c r="F34" s="387"/>
    </row>
    <row r="35" spans="2:6" ht="18.75" customHeight="1">
      <c r="B35" s="664"/>
      <c r="C35" s="388" t="s">
        <v>520</v>
      </c>
      <c r="D35" s="388" t="s">
        <v>520</v>
      </c>
      <c r="E35" s="389" t="s">
        <v>520</v>
      </c>
      <c r="F35" s="387"/>
    </row>
    <row r="36" spans="2:6" ht="18.75" customHeight="1">
      <c r="B36" s="383"/>
      <c r="C36" s="383"/>
      <c r="D36" s="383"/>
      <c r="E36" s="383"/>
    </row>
  </sheetData>
  <mergeCells count="9">
    <mergeCell ref="B25:B26"/>
    <mergeCell ref="B30:B31"/>
    <mergeCell ref="B32:B33"/>
    <mergeCell ref="B34:B35"/>
    <mergeCell ref="B12:B13"/>
    <mergeCell ref="B14:B15"/>
    <mergeCell ref="B16:B17"/>
    <mergeCell ref="B21:B22"/>
    <mergeCell ref="B23:B24"/>
  </mergeCells>
  <phoneticPr fontId="60"/>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ワークシート</vt:lpstr>
      </vt:variant>
      <vt:variant>
        <vt:i4>47</vt:i4>
      </vt:variant>
    </vt:vector>
  </HeadingPairs>
  <TitlesOfParts>
    <vt:vector size="47" baseType="lpstr">
      <vt:lpstr>ルール</vt:lpstr>
      <vt:lpstr>財務入力→</vt:lpstr>
      <vt:lpstr>BS(借方)</vt:lpstr>
      <vt:lpstr>BS (貸方)</vt:lpstr>
      <vt:lpstr>PL</vt:lpstr>
      <vt:lpstr>CR</vt:lpstr>
      <vt:lpstr>SGA</vt:lpstr>
      <vt:lpstr>VR→ </vt:lpstr>
      <vt:lpstr>株式価値 </vt:lpstr>
      <vt:lpstr>売掛・棚卸</vt:lpstr>
      <vt:lpstr>減価償却</vt:lpstr>
      <vt:lpstr>土地</vt:lpstr>
      <vt:lpstr>保険</vt:lpstr>
      <vt:lpstr>有価証券</vt:lpstr>
      <vt:lpstr>未払人件費・賞与</vt:lpstr>
      <vt:lpstr>退職金</vt:lpstr>
      <vt:lpstr>税効果</vt:lpstr>
      <vt:lpstr>ネットキャッシュ</vt:lpstr>
      <vt:lpstr>修正BS(借方)</vt:lpstr>
      <vt:lpstr>修正BS(貸方) </vt:lpstr>
      <vt:lpstr>修正PL</vt:lpstr>
      <vt:lpstr>修正SGA</vt:lpstr>
      <vt:lpstr>修正CR</vt:lpstr>
      <vt:lpstr>年買法</vt:lpstr>
      <vt:lpstr>EV EBITDAマルチプル</vt:lpstr>
      <vt:lpstr>分割後BS</vt:lpstr>
      <vt:lpstr>参照企業</vt:lpstr>
      <vt:lpstr>IM→</vt:lpstr>
      <vt:lpstr>会社概要</vt:lpstr>
      <vt:lpstr>PLハイライト</vt:lpstr>
      <vt:lpstr>BSハイライト</vt:lpstr>
      <vt:lpstr>取引先</vt:lpstr>
      <vt:lpstr>仕入先</vt:lpstr>
      <vt:lpstr>外注先</vt:lpstr>
      <vt:lpstr>株主</vt:lpstr>
      <vt:lpstr>取締役</vt:lpstr>
      <vt:lpstr>従業員</vt:lpstr>
      <vt:lpstr>拠点(本社等)</vt:lpstr>
      <vt:lpstr>不動産(所有)</vt:lpstr>
      <vt:lpstr>不動産(賃借) </vt:lpstr>
      <vt:lpstr>設備</vt:lpstr>
      <vt:lpstr>財務</vt:lpstr>
      <vt:lpstr>その他</vt:lpstr>
      <vt:lpstr>スケジュール(横)</vt:lpstr>
      <vt:lpstr>スケジュール(縦)</vt:lpstr>
      <vt:lpstr>グラフ</vt:lpstr>
      <vt:lpstr>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直子 渡辺</dc:creator>
  <dc:description/>
  <cp:lastModifiedBy>田垣内 啓介</cp:lastModifiedBy>
  <cp:revision>4</cp:revision>
  <dcterms:created xsi:type="dcterms:W3CDTF">2026-01-09T01:04:21Z</dcterms:created>
  <dcterms:modified xsi:type="dcterms:W3CDTF">2026-08-03T01:42:59Z</dcterms:modified>
  <dc:language>en-US</dc:language>
</cp:coreProperties>
</file>