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9.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42.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株式価値 " sheetId="9" state="visible" r:id="rId11"/>
    <sheet name="修正BS(借方)" sheetId="10" state="visible" r:id="rId12"/>
    <sheet name="売掛・棚卸" sheetId="11" state="visible" r:id="rId13"/>
    <sheet name="減価償却" sheetId="12" state="visible" r:id="rId14"/>
    <sheet name="土地" sheetId="13" state="visible" r:id="rId15"/>
    <sheet name="保険" sheetId="14" state="visible" r:id="rId16"/>
    <sheet name="有価証券" sheetId="15" state="visible" r:id="rId17"/>
    <sheet name="修正BS(貸方) " sheetId="16" state="visible" r:id="rId18"/>
    <sheet name="未払人件費・賞与" sheetId="17" state="visible" r:id="rId19"/>
    <sheet name="退職金" sheetId="18" state="visible" r:id="rId20"/>
    <sheet name="税効果" sheetId="19" state="visible" r:id="rId21"/>
    <sheet name="ネットキャッシュ" sheetId="20" state="visible" r:id="rId22"/>
    <sheet name="修正PL" sheetId="21" state="visible" r:id="rId23"/>
    <sheet name="修正SGA" sheetId="22" state="visible" r:id="rId24"/>
    <sheet name="修正CR" sheetId="23" state="visible" r:id="rId25"/>
    <sheet name="年買法" sheetId="24" state="visible" r:id="rId26"/>
    <sheet name="EV EBITDAマルチプル" sheetId="25" state="visible" r:id="rId27"/>
    <sheet name="参照企業" sheetId="26" state="visible" r:id="rId28"/>
    <sheet name="IM→" sheetId="27" state="visible" r:id="rId29"/>
    <sheet name="会社概要" sheetId="28" state="visible" r:id="rId30"/>
    <sheet name="PLハイライト" sheetId="29" state="visible" r:id="rId31"/>
    <sheet name="BSハイライト" sheetId="30" state="visible" r:id="rId32"/>
    <sheet name="取引先" sheetId="31" state="visible" r:id="rId33"/>
    <sheet name="仕入先" sheetId="32" state="visible" r:id="rId34"/>
    <sheet name="外注先" sheetId="33" state="visible" r:id="rId35"/>
    <sheet name="株主" sheetId="34" state="visible" r:id="rId36"/>
    <sheet name="取締役" sheetId="35" state="visible" r:id="rId37"/>
    <sheet name="従業員" sheetId="36" state="visible" r:id="rId38"/>
    <sheet name="拠点(本社等)" sheetId="37" state="visible" r:id="rId39"/>
    <sheet name="不動産(所有)" sheetId="38" state="visible" r:id="rId40"/>
    <sheet name="不動産(賃借) " sheetId="39" state="visible" r:id="rId41"/>
    <sheet name="設備" sheetId="40" state="visible" r:id="rId42"/>
    <sheet name="財務" sheetId="41" state="visible" r:id="rId43"/>
    <sheet name="その他" sheetId="42" state="visible" r:id="rId4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<sst xmlns="http://schemas.openxmlformats.org/spreadsheetml/2006/main" count="1151" uniqueCount="579">
  <si>
    <r>
      <rPr>
        <sz val="11"/>
        <color theme="1"/>
        <rFont val="WenQuanYi Zen Hei"/>
        <family val="2"/>
      </rPr>
      <t xml:space="preserve">文字は「游ゴシック」、数字は「</t>
    </r>
    <r>
      <rPr>
        <sz val="11"/>
        <color theme="1"/>
        <rFont val="游ゴシック Medium"/>
        <family val="2"/>
        <charset val="128"/>
      </rPr>
      <t xml:space="preserve">Arial</t>
    </r>
    <r>
      <rPr>
        <sz val="11"/>
        <color theme="1"/>
        <rFont val="WenQuanYi Zen Hei"/>
        <family val="2"/>
      </rPr>
      <t xml:space="preserve">」を基本。備考欄などの細かい文章は「游ゴシック </t>
    </r>
    <r>
      <rPr>
        <sz val="11"/>
        <color theme="1"/>
        <rFont val="游ゴシック Medium"/>
        <family val="2"/>
        <charset val="128"/>
      </rPr>
      <t xml:space="preserve">Medium</t>
    </r>
    <r>
      <rPr>
        <sz val="11"/>
        <color theme="1"/>
        <rFont val="WenQuanYi Zen Hei"/>
        <family val="2"/>
      </rPr>
      <t xml:space="preserve">」。</t>
    </r>
  </si>
  <si>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</si>
  <si>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</si>
  <si>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</si>
  <si>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</si>
  <si>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</si>
  <si>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</si>
  <si>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</si>
  <si>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</si>
  <si>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</si>
  <si>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</si>
  <si>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r>
      <rPr>
        <b val="true"/>
        <sz val="11"/>
        <color rgb="FFFF0000"/>
        <rFont val="游ゴシック Medium"/>
        <family val="3"/>
        <charset val="128"/>
      </rPr>
      <t xml:space="preserve">1</t>
    </r>
    <r>
      <rPr>
        <b val="true"/>
        <sz val="11"/>
        <color rgb="FFFF0000"/>
        <rFont val="WenQuanYi Zen Hei"/>
        <family val="2"/>
      </rPr>
      <t xml:space="preserve">期目</t>
    </r>
  </si>
  <si>
    <r>
      <rPr>
        <b val="true"/>
        <sz val="11"/>
        <color rgb="FFFF0000"/>
        <rFont val="游ゴシック Medium"/>
        <family val="3"/>
        <charset val="128"/>
      </rPr>
      <t xml:space="preserve">2</t>
    </r>
    <r>
      <rPr>
        <b val="true"/>
        <sz val="11"/>
        <color rgb="FFFF0000"/>
        <rFont val="WenQuanYi Zen Hei"/>
        <family val="2"/>
      </rPr>
      <t xml:space="preserve">期目</t>
    </r>
  </si>
  <si>
    <r>
      <rPr>
        <b val="true"/>
        <sz val="11"/>
        <color rgb="FFFF0000"/>
        <rFont val="游ゴシック Medium"/>
        <family val="3"/>
        <charset val="128"/>
      </rPr>
      <t xml:space="preserve">3</t>
    </r>
    <r>
      <rPr>
        <b val="true"/>
        <sz val="11"/>
        <color rgb="FFFF0000"/>
        <rFont val="WenQuanYi Zen Hei"/>
        <family val="2"/>
      </rPr>
      <t xml:space="preserve">期目</t>
    </r>
  </si>
  <si>
    <r>
      <rPr>
        <b val="true"/>
        <sz val="11"/>
        <color rgb="FFFF0000"/>
        <rFont val="WenQuanYi Zen Hei"/>
        <family val="2"/>
      </rPr>
      <t xml:space="preserve">（</t>
    </r>
    <r>
      <rPr>
        <b val="true"/>
        <sz val="11"/>
        <color rgb="FFFF0000"/>
        <rFont val="游ゴシック Medium"/>
        <family val="3"/>
        <charset val="128"/>
      </rPr>
      <t xml:space="preserve">4</t>
    </r>
    <r>
      <rPr>
        <b val="true"/>
        <sz val="11"/>
        <color rgb="FFFF0000"/>
        <rFont val="WenQuanYi Zen Hei"/>
        <family val="2"/>
      </rPr>
      <t xml:space="preserve">期目）</t>
    </r>
  </si>
  <si>
    <t xml:space="preserve">進行期</t>
  </si>
  <si>
    <r>
      <rPr>
        <b val="true"/>
        <sz val="12"/>
        <color theme="0"/>
        <rFont val="WenQuanYi Zen Hei"/>
        <family val="2"/>
      </rPr>
      <t xml:space="preserve">令和</t>
    </r>
    <r>
      <rPr>
        <b val="true"/>
        <sz val="12"/>
        <color theme="0"/>
        <rFont val="游ゴシック"/>
        <family val="3"/>
        <charset val="128"/>
      </rPr>
      <t xml:space="preserve">6</t>
    </r>
    <r>
      <rPr>
        <b val="true"/>
        <sz val="12"/>
        <color theme="0"/>
        <rFont val="WenQuanYi Zen Hei"/>
        <family val="2"/>
      </rPr>
      <t xml:space="preserve">年</t>
    </r>
    <r>
      <rPr>
        <b val="true"/>
        <sz val="12"/>
        <color theme="0"/>
        <rFont val="游ゴシック"/>
        <family val="3"/>
        <charset val="128"/>
      </rPr>
      <t xml:space="preserve">3</t>
    </r>
    <r>
      <rPr>
        <b val="true"/>
        <sz val="12"/>
        <color theme="0"/>
        <rFont val="WenQuanYi Zen Hei"/>
        <family val="2"/>
      </rPr>
      <t xml:space="preserve">月期</t>
    </r>
  </si>
  <si>
    <r>
      <rPr>
        <b val="true"/>
        <sz val="12"/>
        <color theme="0"/>
        <rFont val="WenQuanYi Zen Hei"/>
        <family val="2"/>
      </rPr>
      <t xml:space="preserve">令和</t>
    </r>
    <r>
      <rPr>
        <b val="true"/>
        <sz val="12"/>
        <color theme="0"/>
        <rFont val="游ゴシック"/>
        <family val="3"/>
        <charset val="128"/>
      </rPr>
      <t xml:space="preserve">7</t>
    </r>
    <r>
      <rPr>
        <b val="true"/>
        <sz val="12"/>
        <color theme="0"/>
        <rFont val="WenQuanYi Zen Hei"/>
        <family val="2"/>
      </rPr>
      <t xml:space="preserve">年</t>
    </r>
    <r>
      <rPr>
        <b val="true"/>
        <sz val="12"/>
        <color theme="0"/>
        <rFont val="游ゴシック"/>
        <family val="3"/>
        <charset val="128"/>
      </rPr>
      <t xml:space="preserve">3</t>
    </r>
    <r>
      <rPr>
        <b val="true"/>
        <sz val="12"/>
        <color theme="0"/>
        <rFont val="WenQuanYi Zen Hei"/>
        <family val="2"/>
      </rPr>
      <t xml:space="preserve">月期</t>
    </r>
  </si>
  <si>
    <r>
      <rPr>
        <b val="true"/>
        <sz val="12"/>
        <color theme="0"/>
        <rFont val="WenQuanYi Zen Hei"/>
        <family val="2"/>
      </rPr>
      <t xml:space="preserve">令和</t>
    </r>
    <r>
      <rPr>
        <b val="true"/>
        <sz val="12"/>
        <color theme="0"/>
        <rFont val="游ゴシック"/>
        <family val="3"/>
        <charset val="128"/>
      </rPr>
      <t xml:space="preserve">8</t>
    </r>
    <r>
      <rPr>
        <b val="true"/>
        <sz val="12"/>
        <color theme="0"/>
        <rFont val="WenQuanYi Zen Hei"/>
        <family val="2"/>
      </rPr>
      <t xml:space="preserve">年</t>
    </r>
    <r>
      <rPr>
        <b val="true"/>
        <sz val="12"/>
        <color theme="0"/>
        <rFont val="游ゴシック"/>
        <family val="3"/>
        <charset val="128"/>
      </rPr>
      <t xml:space="preserve">3</t>
    </r>
    <r>
      <rPr>
        <b val="true"/>
        <sz val="12"/>
        <color theme="0"/>
        <rFont val="WenQuanYi Zen Hei"/>
        <family val="2"/>
      </rPr>
      <t xml:space="preserve">月期</t>
    </r>
  </si>
  <si>
    <t xml:space="preserve">－</t>
  </si>
  <si>
    <t xml:space="preserve">進行期
（試算表未受領）</t>
  </si>
  <si>
    <t xml:space="preserve">受取手形</t>
  </si>
  <si>
    <t xml:space="preserve">売掛金</t>
  </si>
  <si>
    <t xml:space="preserve">原材料</t>
  </si>
  <si>
    <t xml:space="preserve">仕掛品</t>
  </si>
  <si>
    <t xml:space="preserve">貯蔵品</t>
  </si>
  <si>
    <t xml:space="preserve">前渡金</t>
  </si>
  <si>
    <t xml:space="preserve">未収入金</t>
  </si>
  <si>
    <t xml:space="preserve">貸倒引当金</t>
  </si>
  <si>
    <t xml:space="preserve">商品</t>
  </si>
  <si>
    <t xml:space="preserve">前払費用</t>
  </si>
  <si>
    <t xml:space="preserve">立替金</t>
  </si>
  <si>
    <t xml:space="preserve">未収還付法人税等</t>
  </si>
  <si>
    <t xml:space="preserve">【固定資産】</t>
  </si>
  <si>
    <t xml:space="preserve">［有形固定資産］</t>
  </si>
  <si>
    <t xml:space="preserve">建物</t>
  </si>
  <si>
    <t xml:space="preserve">建物付属設備</t>
  </si>
  <si>
    <t xml:space="preserve">構築物</t>
  </si>
  <si>
    <t xml:space="preserve">機械装置</t>
  </si>
  <si>
    <t xml:space="preserve">車輛運搬具</t>
  </si>
  <si>
    <t xml:space="preserve">工具器具備品</t>
  </si>
  <si>
    <t xml:space="preserve">一括償却資産</t>
  </si>
  <si>
    <t xml:space="preserve">土地</t>
  </si>
  <si>
    <t xml:space="preserve">建設仮戡定</t>
  </si>
  <si>
    <t xml:space="preserve">［無形固定資産］</t>
  </si>
  <si>
    <t xml:space="preserve">ソフトウェア</t>
  </si>
  <si>
    <t xml:space="preserve">電話加入権</t>
  </si>
  <si>
    <t xml:space="preserve">施設利用権</t>
  </si>
  <si>
    <t xml:space="preserve">［投資その他資産］</t>
  </si>
  <si>
    <t xml:space="preserve">出資金</t>
  </si>
  <si>
    <t xml:space="preserve">リサイクル預託金</t>
  </si>
  <si>
    <t xml:space="preserve">保険積立金</t>
  </si>
  <si>
    <t xml:space="preserve">投資有価証券</t>
  </si>
  <si>
    <t xml:space="preserve">敷金</t>
  </si>
  <si>
    <t xml:space="preserve">差入保証金</t>
  </si>
  <si>
    <t xml:space="preserve">【繰延資産】</t>
  </si>
  <si>
    <t xml:space="preserve">開業費</t>
  </si>
  <si>
    <t xml:space="preserve">資産合計</t>
  </si>
  <si>
    <t xml:space="preserve">バランスチェック</t>
  </si>
  <si>
    <r>
      <rPr>
        <sz val="11"/>
        <color theme="1"/>
        <rFont val="游ゴシック"/>
        <family val="3"/>
        <charset val="128"/>
      </rPr>
      <t xml:space="preserve">(</t>
    </r>
    <r>
      <rPr>
        <sz val="11"/>
        <color theme="1"/>
        <rFont val="WenQuanYi Zen Hei"/>
        <family val="2"/>
      </rPr>
      <t xml:space="preserve">単位：千円</t>
    </r>
    <r>
      <rPr>
        <sz val="11"/>
        <color theme="1"/>
        <rFont val="游ゴシック"/>
        <family val="3"/>
        <charset val="128"/>
      </rPr>
      <t xml:space="preserve">)</t>
    </r>
  </si>
  <si>
    <t xml:space="preserve">負債の部</t>
  </si>
  <si>
    <t xml:space="preserve">【流動負債】</t>
  </si>
  <si>
    <t xml:space="preserve">買掛金</t>
  </si>
  <si>
    <t xml:space="preserve">未払金</t>
  </si>
  <si>
    <t xml:space="preserve">未払費用</t>
  </si>
  <si>
    <t xml:space="preserve">未払消費税</t>
  </si>
  <si>
    <t xml:space="preserve">預り金</t>
  </si>
  <si>
    <t xml:space="preserve">未払法人税等</t>
  </si>
  <si>
    <t xml:space="preserve">短期借入金</t>
  </si>
  <si>
    <t xml:space="preserve">【固定負債】</t>
  </si>
  <si>
    <t xml:space="preserve">長期借入金</t>
  </si>
  <si>
    <t xml:space="preserve">長期預り保証金</t>
  </si>
  <si>
    <t xml:space="preserve">負債合計</t>
  </si>
  <si>
    <t xml:space="preserve">純資産の部</t>
  </si>
  <si>
    <t xml:space="preserve">【資本金】</t>
  </si>
  <si>
    <t xml:space="preserve">資本金</t>
  </si>
  <si>
    <t xml:space="preserve">【資本剰余金】</t>
  </si>
  <si>
    <t xml:space="preserve">その他資本剰余金</t>
  </si>
  <si>
    <t xml:space="preserve">【利益剰余金】</t>
  </si>
  <si>
    <t xml:space="preserve">利益準備金</t>
  </si>
  <si>
    <t xml:space="preserve">別途積立金</t>
  </si>
  <si>
    <t xml:space="preserve">繰越利益剰余金</t>
  </si>
  <si>
    <t xml:space="preserve">【自己株式】</t>
  </si>
  <si>
    <t xml:space="preserve">純資産合計</t>
  </si>
  <si>
    <t xml:space="preserve">負債・純資産合計</t>
  </si>
  <si>
    <t xml:space="preserve">帳簿価額</t>
  </si>
  <si>
    <t xml:space="preserve">売上高比</t>
  </si>
  <si>
    <r>
      <rPr>
        <sz val="12"/>
        <color theme="1"/>
        <rFont val="WenQuanYi Zen Hei"/>
        <family val="2"/>
      </rPr>
      <t xml:space="preserve">店舗・</t>
    </r>
    <r>
      <rPr>
        <sz val="12"/>
        <color theme="1"/>
        <rFont val="游ゴシック"/>
        <family val="3"/>
        <charset val="128"/>
      </rPr>
      <t xml:space="preserve">EC</t>
    </r>
    <r>
      <rPr>
        <sz val="12"/>
        <color theme="1"/>
        <rFont val="WenQuanYi Zen Hei"/>
        <family val="2"/>
      </rPr>
      <t xml:space="preserve">等売上高</t>
    </r>
  </si>
  <si>
    <t xml:space="preserve">不動産賃貸収入</t>
  </si>
  <si>
    <t xml:space="preserve">不動産売却収入</t>
  </si>
  <si>
    <t xml:space="preserve">コンサル収入</t>
  </si>
  <si>
    <t xml:space="preserve">売上高</t>
  </si>
  <si>
    <t xml:space="preserve">期首商品棚卸高</t>
  </si>
  <si>
    <t xml:space="preserve">当期商品仕入高</t>
  </si>
  <si>
    <t xml:space="preserve">不動産売却関連原価</t>
  </si>
  <si>
    <t xml:space="preserve">期末商品棚卸高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</si>
  <si>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</si>
  <si>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</si>
  <si>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</si>
  <si>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</si>
  <si>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</si>
  <si>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</si>
  <si>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雑収入</t>
  </si>
  <si>
    <t xml:space="preserve">営業外費用</t>
  </si>
  <si>
    <t xml:space="preserve">支払利息</t>
  </si>
  <si>
    <t xml:space="preserve">雑損失</t>
  </si>
  <si>
    <t xml:space="preserve">経常利益</t>
  </si>
  <si>
    <t xml:space="preserve">特別利益</t>
  </si>
  <si>
    <t xml:space="preserve">貸倒引当金戻入額</t>
  </si>
  <si>
    <t xml:space="preserve">補助金収入</t>
  </si>
  <si>
    <t xml:space="preserve">特別損失</t>
  </si>
  <si>
    <t xml:space="preserve">固定資産除却損</t>
  </si>
  <si>
    <t xml:space="preserve">役員死亡退職慰労金</t>
  </si>
  <si>
    <t xml:space="preserve">税引前当期純利益</t>
  </si>
  <si>
    <t xml:space="preserve">法人税等</t>
  </si>
  <si>
    <t xml:space="preserve">法人税・住民税及び事業税（当期分）</t>
  </si>
  <si>
    <t xml:space="preserve">過年度法人税等</t>
  </si>
  <si>
    <t xml:space="preserve">税引後当期純利益</t>
  </si>
  <si>
    <r>
      <rPr>
        <sz val="12"/>
        <color rgb="FFFF0000"/>
        <rFont val="Arial"/>
        <family val="2"/>
        <charset val="1"/>
      </rPr>
      <t xml:space="preserve">IM</t>
    </r>
    <r>
      <rPr>
        <sz val="12"/>
        <color rgb="FFFF0000"/>
        <rFont val="WenQuanYi Zen Hei"/>
        <family val="2"/>
      </rPr>
      <t xml:space="preserve">に貼るときは非表示→</t>
    </r>
  </si>
  <si>
    <t xml:space="preserve">売上</t>
  </si>
  <si>
    <t xml:space="preserve">-</t>
  </si>
  <si>
    <t xml:space="preserve">期首原材料棚卸高</t>
  </si>
  <si>
    <t xml:space="preserve">原材料仕入高</t>
  </si>
  <si>
    <t xml:space="preserve">小計</t>
  </si>
  <si>
    <t xml:space="preserve">期末原材料棚卸高</t>
  </si>
  <si>
    <t xml:space="preserve">材料費</t>
  </si>
  <si>
    <t xml:space="preserve">労務費</t>
  </si>
  <si>
    <t xml:space="preserve">外注加工費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</si>
  <si>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</si>
  <si>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</si>
  <si>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</si>
  <si>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</si>
  <si>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</si>
  <si>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</si>
  <si>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Arial"/>
        <family val="2"/>
        <charset val="1"/>
      </rPr>
      <t xml:space="preserve">←IM</t>
    </r>
    <r>
      <rPr>
        <sz val="12"/>
        <color rgb="FFFF0000"/>
        <rFont val="WenQuanYi Zen Hei"/>
        <family val="2"/>
      </rPr>
      <t xml:space="preserve">に貼るときは非表示</t>
    </r>
  </si>
  <si>
    <t xml:space="preserve">役員報酬</t>
  </si>
  <si>
    <t xml:space="preserve">給料手当</t>
  </si>
  <si>
    <t xml:space="preserve">法定福利費</t>
  </si>
  <si>
    <t xml:space="preserve">荷造運賃</t>
  </si>
  <si>
    <t xml:space="preserve">減価償却費</t>
  </si>
  <si>
    <t xml:space="preserve">地代家賃</t>
  </si>
  <si>
    <t xml:space="preserve">修繕費</t>
  </si>
  <si>
    <t xml:space="preserve">事務用品費</t>
  </si>
  <si>
    <t xml:space="preserve">消耗品費</t>
  </si>
  <si>
    <t xml:space="preserve">水道光熱費</t>
  </si>
  <si>
    <t xml:space="preserve">旅費交通費</t>
  </si>
  <si>
    <t xml:space="preserve">支払手数料</t>
  </si>
  <si>
    <t xml:space="preserve">租税公課</t>
  </si>
  <si>
    <t xml:space="preserve">交際接待費</t>
  </si>
  <si>
    <t xml:space="preserve">保険料</t>
  </si>
  <si>
    <t xml:space="preserve">通信費</t>
  </si>
  <si>
    <t xml:space="preserve">諸会費</t>
  </si>
  <si>
    <t xml:space="preserve">車輛費</t>
  </si>
  <si>
    <t xml:space="preserve">貸倒引当金繰入額</t>
  </si>
  <si>
    <t xml:space="preserve">研修費</t>
  </si>
  <si>
    <t xml:space="preserve">雑費</t>
  </si>
  <si>
    <t xml:space="preserve">福利厚生費</t>
  </si>
  <si>
    <t xml:space="preserve">外注費</t>
  </si>
  <si>
    <t xml:space="preserve">広告宣伝費</t>
  </si>
  <si>
    <t xml:space="preserve">会議費</t>
  </si>
  <si>
    <t xml:space="preserve">支払報酬料</t>
  </si>
  <si>
    <t xml:space="preserve">採用教育費</t>
  </si>
  <si>
    <t xml:space="preserve">不動産管理費</t>
  </si>
  <si>
    <t xml:space="preserve">リース料</t>
  </si>
  <si>
    <t xml:space="preserve">寄付金</t>
  </si>
  <si>
    <t xml:space="preserve">販売費および一般管理費合計</t>
  </si>
  <si>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</si>
  <si>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</si>
  <si>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</si>
  <si>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</si>
  <si>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</si>
  <si>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</si>
  <si>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</si>
  <si>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</si>
  <si>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t xml:space="preserve">修正額</t>
  </si>
  <si>
    <t xml:space="preserve">修正後</t>
  </si>
  <si>
    <t xml:space="preserve">【繰延税金資産】</t>
  </si>
  <si>
    <t xml:space="preserve">相手先</t>
  </si>
  <si>
    <t xml:space="preserve">評価差額</t>
  </si>
  <si>
    <t xml:space="preserve">評価額</t>
  </si>
  <si>
    <t xml:space="preserve">調整事由</t>
  </si>
  <si>
    <t xml:space="preserve">コンサル料（相手先不明）</t>
  </si>
  <si>
    <t xml:space="preserve">相手先・契約書・入金予定が未確認のため簿価評価。単発の売上計上であり、回収可能性・実在性は要確認</t>
  </si>
  <si>
    <t xml:space="preserve">大船店（百貨店精算分等）</t>
  </si>
  <si>
    <t xml:space="preserve">店舗売上に係る決済・百貨店精算の未収。年齢表未受領のため簿価評価</t>
  </si>
  <si>
    <t xml:space="preserve">紀尾井町店</t>
  </si>
  <si>
    <t xml:space="preserve">同上</t>
  </si>
  <si>
    <t xml:space="preserve">その他（鎌倉山店・ミリュウショップ・リンベル㈱等）</t>
  </si>
  <si>
    <r>
      <rPr>
        <sz val="9"/>
        <color theme="1"/>
        <rFont val="WenQuanYi Zen Hei"/>
        <family val="2"/>
      </rPr>
      <t xml:space="preserve">鎌倉山店</t>
    </r>
    <r>
      <rPr>
        <sz val="9"/>
        <color theme="1"/>
        <rFont val="游ゴシック Medium"/>
        <family val="3"/>
        <charset val="128"/>
      </rPr>
      <t xml:space="preserve">2,079</t>
    </r>
    <r>
      <rPr>
        <sz val="9"/>
        <color theme="1"/>
        <rFont val="WenQuanYi Zen Hei"/>
        <family val="2"/>
      </rPr>
      <t xml:space="preserve">千円、ミリュウショップ</t>
    </r>
    <r>
      <rPr>
        <sz val="9"/>
        <color theme="1"/>
        <rFont val="游ゴシック Medium"/>
        <family val="3"/>
        <charset val="128"/>
      </rPr>
      <t xml:space="preserve">768</t>
    </r>
    <r>
      <rPr>
        <sz val="9"/>
        <color theme="1"/>
        <rFont val="WenQuanYi Zen Hei"/>
        <family val="2"/>
      </rPr>
      <t xml:space="preserve">千円、リンベル㈱</t>
    </r>
    <r>
      <rPr>
        <sz val="9"/>
        <color theme="1"/>
        <rFont val="游ゴシック Medium"/>
        <family val="3"/>
        <charset val="128"/>
      </rPr>
      <t xml:space="preserve">644</t>
    </r>
    <r>
      <rPr>
        <sz val="9"/>
        <color theme="1"/>
        <rFont val="WenQuanYi Zen Hei"/>
        <family val="2"/>
      </rPr>
      <t xml:space="preserve">千円、㈱西武リアルティソリューションズ</t>
    </r>
    <r>
      <rPr>
        <sz val="9"/>
        <color theme="1"/>
        <rFont val="游ゴシック Medium"/>
        <family val="3"/>
        <charset val="128"/>
      </rPr>
      <t xml:space="preserve">236</t>
    </r>
    <r>
      <rPr>
        <sz val="9"/>
        <color theme="1"/>
        <rFont val="WenQuanYi Zen Hei"/>
        <family val="2"/>
      </rPr>
      <t xml:space="preserve">千円ほか。年齢表未受領のため簿価評価</t>
    </r>
  </si>
  <si>
    <t xml:space="preserve">商品在庫</t>
  </si>
  <si>
    <t xml:space="preserve">商品（ケーキ・菓子・食材等）</t>
  </si>
  <si>
    <t xml:space="preserve">「明細別途保存」とされ棚卸明細は未受領のため簿価評価。滞留・陳腐化の有無は要確認</t>
  </si>
  <si>
    <t xml:space="preserve">資産</t>
  </si>
  <si>
    <t xml:space="preserve">固定資産台帳上、普通償却限度額＝当期償却額で償却不足額なし。実態の劣化・耐用年数との乖離は未検討のため簿価評価（要確認）</t>
  </si>
  <si>
    <t xml:space="preserve">車両運搬具</t>
  </si>
  <si>
    <t xml:space="preserve">内容・所在地</t>
  </si>
  <si>
    <r>
      <rPr>
        <b val="true"/>
        <sz val="12"/>
        <color theme="0"/>
        <rFont val="WenQuanYi Zen Hei"/>
        <family val="2"/>
      </rPr>
      <t xml:space="preserve">地積</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</si>
  <si>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t xml:space="preserve">時価評価額</t>
  </si>
  <si>
    <r>
      <rPr>
        <sz val="12"/>
        <color theme="1"/>
        <rFont val="WenQuanYi Zen Hei"/>
        <family val="2"/>
      </rPr>
      <t xml:space="preserve">鎌倉山店・本社敷地ほか／神奈川県鎌倉市鎌倉山三丁目</t>
    </r>
    <r>
      <rPr>
        <sz val="12"/>
        <color theme="1"/>
        <rFont val="游ゴシック"/>
        <family val="3"/>
        <charset val="128"/>
      </rPr>
      <t xml:space="preserve">2</t>
    </r>
    <r>
      <rPr>
        <sz val="12"/>
        <color theme="1"/>
        <rFont val="WenQuanYi Zen Hei"/>
        <family val="2"/>
      </rPr>
      <t xml:space="preserve">番</t>
    </r>
    <r>
      <rPr>
        <sz val="12"/>
        <color theme="1"/>
        <rFont val="游ゴシック"/>
        <family val="3"/>
        <charset val="128"/>
      </rPr>
      <t xml:space="preserve">31</t>
    </r>
    <r>
      <rPr>
        <sz val="12"/>
        <color theme="1"/>
        <rFont val="WenQuanYi Zen Hei"/>
        <family val="2"/>
      </rPr>
      <t xml:space="preserve">（地番・地目の詳細は要確認）</t>
    </r>
  </si>
  <si>
    <t xml:space="preserve">要確認</t>
  </si>
  <si>
    <r>
      <rPr>
        <sz val="9"/>
        <color theme="1"/>
        <rFont val="WenQuanYi Zen Hei"/>
        <family val="2"/>
      </rPr>
      <t xml:space="preserve">登記事項証明書・固定資産税評価証明書・路線価が未受領のため時価評価未実施（簿価評価）。うち約</t>
    </r>
    <r>
      <rPr>
        <sz val="9"/>
        <color theme="1"/>
        <rFont val="游ゴシック Medium"/>
        <family val="3"/>
        <charset val="128"/>
      </rPr>
      <t xml:space="preserve">87,420</t>
    </r>
    <r>
      <rPr>
        <sz val="9"/>
        <color theme="1"/>
        <rFont val="WenQuanYi Zen Hei"/>
        <family val="2"/>
      </rPr>
      <t xml:space="preserve">千円は「鎌倉山三丁目計画」に係る建設仮勘定からの振替額（内容要確認）</t>
    </r>
  </si>
  <si>
    <t xml:space="preserve">保険商品</t>
  </si>
  <si>
    <r>
      <rPr>
        <sz val="12"/>
        <color theme="1"/>
        <rFont val="WenQuanYi Zen Hei"/>
        <family val="2"/>
      </rPr>
      <t xml:space="preserve">該当なし（</t>
    </r>
    <r>
      <rPr>
        <sz val="12"/>
        <color theme="1"/>
        <rFont val="游ゴシック"/>
        <family val="3"/>
        <charset val="128"/>
      </rPr>
      <t xml:space="preserve">BS</t>
    </r>
    <r>
      <rPr>
        <sz val="12"/>
        <color theme="1"/>
        <rFont val="WenQuanYi Zen Hei"/>
        <family val="2"/>
      </rPr>
      <t xml:space="preserve">上、保険積立金の計上なし）</t>
    </r>
  </si>
  <si>
    <r>
      <rPr>
        <sz val="9"/>
        <color theme="1"/>
        <rFont val="WenQuanYi Zen Hei"/>
        <family val="2"/>
      </rPr>
      <t xml:space="preserve">保険契約の有無・解約返戻金は未確認（保険証券未受領）。支払保険料は年</t>
    </r>
    <r>
      <rPr>
        <sz val="9"/>
        <color theme="1"/>
        <rFont val="游ゴシック Medium"/>
        <family val="3"/>
        <charset val="128"/>
      </rPr>
      <t xml:space="preserve">664</t>
    </r>
    <r>
      <rPr>
        <sz val="9"/>
        <color theme="1"/>
        <rFont val="WenQuanYi Zen Hei"/>
        <family val="2"/>
      </rPr>
      <t xml:space="preserve">千円のみ（損害保険料等と推察）</t>
    </r>
  </si>
  <si>
    <t xml:space="preserve">銘柄</t>
  </si>
  <si>
    <t xml:space="preserve">数量</t>
  </si>
  <si>
    <r>
      <rPr>
        <sz val="12"/>
        <color theme="1"/>
        <rFont val="WenQuanYi Zen Hei"/>
        <family val="2"/>
      </rPr>
      <t xml:space="preserve">該当なし（</t>
    </r>
    <r>
      <rPr>
        <sz val="12"/>
        <color theme="1"/>
        <rFont val="游ゴシック"/>
        <family val="3"/>
        <charset val="128"/>
      </rPr>
      <t xml:space="preserve">BS</t>
    </r>
    <r>
      <rPr>
        <sz val="12"/>
        <color theme="1"/>
        <rFont val="WenQuanYi Zen Hei"/>
        <family val="2"/>
      </rPr>
      <t xml:space="preserve">上、投資有価証券の計上なし）</t>
    </r>
  </si>
  <si>
    <r>
      <rPr>
        <sz val="9"/>
        <color theme="1"/>
        <rFont val="游ゴシック Medium"/>
        <family val="3"/>
        <charset val="128"/>
      </rPr>
      <t xml:space="preserve">BS</t>
    </r>
    <r>
      <rPr>
        <sz val="9"/>
        <color theme="1"/>
        <rFont val="WenQuanYi Zen Hei"/>
        <family val="2"/>
      </rPr>
      <t xml:space="preserve">に計上なし（出資金</t>
    </r>
    <r>
      <rPr>
        <sz val="9"/>
        <color theme="1"/>
        <rFont val="游ゴシック Medium"/>
        <family val="3"/>
        <charset val="128"/>
      </rPr>
      <t xml:space="preserve">5</t>
    </r>
    <r>
      <rPr>
        <sz val="9"/>
        <color theme="1"/>
        <rFont val="WenQuanYi Zen Hei"/>
        <family val="2"/>
      </rPr>
      <t xml:space="preserve">千円のみ）</t>
    </r>
  </si>
  <si>
    <t xml:space="preserve">【繰延税金負債】</t>
  </si>
  <si>
    <t xml:space="preserve">【評価修正額】</t>
  </si>
  <si>
    <t xml:space="preserve">修正税効果</t>
  </si>
  <si>
    <t xml:space="preserve">検算：修正後 貸借一致</t>
  </si>
  <si>
    <r>
      <rPr>
        <b val="true"/>
        <sz val="12"/>
        <color theme="0"/>
        <rFont val="WenQuanYi Zen Hei"/>
        <family val="2"/>
      </rPr>
      <t xml:space="preserve">令和</t>
    </r>
    <r>
      <rPr>
        <b val="true"/>
        <sz val="12"/>
        <color theme="0"/>
        <rFont val="游ゴシック"/>
        <family val="3"/>
        <charset val="128"/>
      </rPr>
      <t xml:space="preserve">8</t>
    </r>
    <r>
      <rPr>
        <b val="true"/>
        <sz val="12"/>
        <color theme="0"/>
        <rFont val="WenQuanYi Zen Hei"/>
        <family val="2"/>
      </rPr>
      <t xml:space="preserve">年</t>
    </r>
    <r>
      <rPr>
        <b val="true"/>
        <sz val="12"/>
        <color theme="0"/>
        <rFont val="游ゴシック"/>
        <family val="3"/>
        <charset val="128"/>
      </rPr>
      <t xml:space="preserve">3</t>
    </r>
    <r>
      <rPr>
        <b val="true"/>
        <sz val="12"/>
        <color theme="0"/>
        <rFont val="WenQuanYi Zen Hei"/>
        <family val="2"/>
      </rPr>
      <t xml:space="preserve">月計上の給料手当（支給日</t>
    </r>
    <r>
      <rPr>
        <b val="true"/>
        <sz val="12"/>
        <color theme="0"/>
        <rFont val="游ゴシック"/>
        <family val="3"/>
        <charset val="128"/>
      </rPr>
      <t xml:space="preserve">2026/3/18</t>
    </r>
    <r>
      <rPr>
        <b val="true"/>
        <sz val="12"/>
        <color theme="0"/>
        <rFont val="WenQuanYi Zen Hei"/>
        <family val="2"/>
      </rPr>
      <t xml:space="preserve">）</t>
    </r>
  </si>
  <si>
    <t xml:space="preserve">未払日数</t>
  </si>
  <si>
    <t xml:space="preserve">未払給与引当額</t>
  </si>
  <si>
    <t xml:space="preserve">概算社会保険料</t>
  </si>
  <si>
    <r>
      <rPr>
        <sz val="12"/>
        <color theme="1"/>
        <rFont val="游ゴシック"/>
        <family val="3"/>
        <charset val="128"/>
      </rPr>
      <t xml:space="preserve">31</t>
    </r>
    <r>
      <rPr>
        <sz val="12"/>
        <color theme="1"/>
        <rFont val="WenQuanYi Zen Hei"/>
        <family val="2"/>
      </rPr>
      <t xml:space="preserve">日</t>
    </r>
    <r>
      <rPr>
        <sz val="12"/>
        <color theme="1"/>
        <rFont val="游ゴシック"/>
        <family val="3"/>
        <charset val="128"/>
      </rPr>
      <t xml:space="preserve">/31</t>
    </r>
    <r>
      <rPr>
        <sz val="12"/>
        <color theme="1"/>
        <rFont val="WenQuanYi Zen Hei"/>
        <family val="2"/>
      </rPr>
      <t xml:space="preserve">日（</t>
    </r>
    <r>
      <rPr>
        <sz val="12"/>
        <color theme="1"/>
        <rFont val="游ゴシック"/>
        <family val="3"/>
        <charset val="128"/>
      </rPr>
      <t xml:space="preserve">3</t>
    </r>
    <r>
      <rPr>
        <sz val="12"/>
        <color theme="1"/>
        <rFont val="WenQuanYi Zen Hei"/>
        <family val="2"/>
      </rPr>
      <t xml:space="preserve">月分給与は</t>
    </r>
    <r>
      <rPr>
        <sz val="12"/>
        <color theme="1"/>
        <rFont val="游ゴシック"/>
        <family val="3"/>
        <charset val="128"/>
      </rPr>
      <t xml:space="preserve">4</t>
    </r>
    <r>
      <rPr>
        <sz val="12"/>
        <color theme="1"/>
        <rFont val="WenQuanYi Zen Hei"/>
        <family val="2"/>
      </rPr>
      <t xml:space="preserve">月支給と推察。賃金規程未受領・要確認）</t>
    </r>
  </si>
  <si>
    <t xml:space="preserve">支払予定賞与</t>
  </si>
  <si>
    <t xml:space="preserve">支給対象月数</t>
  </si>
  <si>
    <t xml:space="preserve">経過月数</t>
  </si>
  <si>
    <t xml:space="preserve">引当額</t>
  </si>
  <si>
    <t xml:space="preserve">社保考慮後引当不足</t>
  </si>
  <si>
    <t xml:space="preserve">賞与規程・支給実績未受領（給与台帳上、賞与の記載なし）</t>
  </si>
  <si>
    <t xml:space="preserve">№</t>
  </si>
  <si>
    <t xml:space="preserve">氏名</t>
  </si>
  <si>
    <r>
      <rPr>
        <b val="true"/>
        <sz val="12"/>
        <color theme="0"/>
        <rFont val="WenQuanYi Zen Hei"/>
        <family val="2"/>
      </rPr>
      <t xml:space="preserve">勤続年数</t>
    </r>
    <r>
      <rPr>
        <b val="true"/>
        <sz val="12"/>
        <color theme="0"/>
        <rFont val="游ゴシック"/>
        <family val="3"/>
        <charset val="128"/>
      </rPr>
      <t xml:space="preserve">(</t>
    </r>
    <r>
      <rPr>
        <b val="true"/>
        <sz val="12"/>
        <color theme="0"/>
        <rFont val="WenQuanYi Zen Hei"/>
        <family val="2"/>
      </rPr>
      <t xml:space="preserve">年</t>
    </r>
    <r>
      <rPr>
        <b val="true"/>
        <sz val="12"/>
        <color theme="0"/>
        <rFont val="游ゴシック"/>
        <family val="3"/>
        <charset val="128"/>
      </rPr>
      <t xml:space="preserve">)</t>
    </r>
  </si>
  <si>
    <t xml:space="preserve">基本給</t>
  </si>
  <si>
    <t xml:space="preserve">支給倍率</t>
  </si>
  <si>
    <t xml:space="preserve">退職理由率</t>
  </si>
  <si>
    <t xml:space="preserve">要支給額</t>
  </si>
  <si>
    <t xml:space="preserve">中退共積立額</t>
  </si>
  <si>
    <t xml:space="preserve">引当不足</t>
  </si>
  <si>
    <t xml:space="preserve">退職金規程・中退共等の加入資料が未受領のため要支給額を算定できず、引当は未計上（簿外債務の可能性：要確認）</t>
  </si>
  <si>
    <t xml:space="preserve">修正科目</t>
  </si>
  <si>
    <t xml:space="preserve">適用判定</t>
  </si>
  <si>
    <r>
      <rPr>
        <b val="true"/>
        <sz val="12"/>
        <color theme="0"/>
        <rFont val="WenQuanYi Zen Hei"/>
        <family val="2"/>
      </rPr>
      <t xml:space="preserve">繰延税金資産</t>
    </r>
    <r>
      <rPr>
        <b val="true"/>
        <sz val="12"/>
        <color theme="0"/>
        <rFont val="游ゴシック"/>
        <family val="3"/>
        <charset val="128"/>
      </rPr>
      <t xml:space="preserve">/</t>
    </r>
    <r>
      <rPr>
        <b val="true"/>
        <sz val="12"/>
        <color theme="0"/>
        <rFont val="WenQuanYi Zen Hei"/>
        <family val="2"/>
      </rPr>
      <t xml:space="preserve">負債</t>
    </r>
  </si>
  <si>
    <t xml:space="preserve">備考</t>
  </si>
  <si>
    <t xml:space="preserve">〇</t>
  </si>
  <si>
    <t xml:space="preserve">修正なし</t>
  </si>
  <si>
    <t xml:space="preserve">棚卸資産</t>
  </si>
  <si>
    <t xml:space="preserve">×</t>
  </si>
  <si>
    <t xml:space="preserve">時価評価未実施（簿価評価）のため修正なし</t>
  </si>
  <si>
    <t xml:space="preserve">流動性がないため、除外</t>
  </si>
  <si>
    <t xml:space="preserve">該当なし</t>
  </si>
  <si>
    <r>
      <rPr>
        <sz val="9"/>
        <color theme="1"/>
        <rFont val="游ゴシック Medium"/>
        <family val="3"/>
        <charset val="128"/>
      </rPr>
      <t xml:space="preserve">3</t>
    </r>
    <r>
      <rPr>
        <sz val="9"/>
        <color theme="1"/>
        <rFont val="WenQuanYi Zen Hei"/>
        <family val="2"/>
      </rPr>
      <t xml:space="preserve">月分給与の未払計上に係る一時差異（実効税率</t>
    </r>
    <r>
      <rPr>
        <sz val="9"/>
        <color theme="1"/>
        <rFont val="游ゴシック Medium"/>
        <family val="3"/>
        <charset val="128"/>
      </rPr>
      <t xml:space="preserve">34%</t>
    </r>
    <r>
      <rPr>
        <sz val="9"/>
        <color theme="1"/>
        <rFont val="WenQuanYi Zen Hei"/>
        <family val="2"/>
      </rPr>
      <t xml:space="preserve">）</t>
    </r>
  </si>
  <si>
    <t xml:space="preserve">賞与引当金</t>
  </si>
  <si>
    <t xml:space="preserve">修正なし（賞与実績未確認）</t>
  </si>
  <si>
    <t xml:space="preserve">退職給付引当</t>
  </si>
  <si>
    <t xml:space="preserve">修正なし（退職金規程未受領・要確認）</t>
  </si>
  <si>
    <t xml:space="preserve">キャッシュライクアイテム</t>
  </si>
  <si>
    <t xml:space="preserve">金額</t>
  </si>
  <si>
    <t xml:space="preserve">デットライクアイテム</t>
  </si>
  <si>
    <t xml:space="preserve">借入金（金融機関）</t>
  </si>
  <si>
    <t xml:space="preserve">役員貸付金</t>
  </si>
  <si>
    <t xml:space="preserve">（短期・長期の区分は借入金明細未受領）</t>
  </si>
  <si>
    <t xml:space="preserve">従業員貸付金</t>
  </si>
  <si>
    <t xml:space="preserve">社債</t>
  </si>
  <si>
    <t xml:space="preserve">役員借入金</t>
  </si>
  <si>
    <t xml:space="preserve">未払法人税</t>
  </si>
  <si>
    <t xml:space="preserve">資産除去債務</t>
  </si>
  <si>
    <t xml:space="preserve">売却予定不動産</t>
  </si>
  <si>
    <t xml:space="preserve">役員退職慰労金</t>
  </si>
  <si>
    <t xml:space="preserve">売却予定車両</t>
  </si>
  <si>
    <t xml:space="preserve">営業循環外前受金</t>
  </si>
  <si>
    <t xml:space="preserve">ファイナンスリース債務（未確認）</t>
  </si>
  <si>
    <t xml:space="preserve">ネットキャッシュ</t>
  </si>
  <si>
    <t xml:space="preserve">ネットデット</t>
  </si>
  <si>
    <r>
      <rPr>
        <sz val="10"/>
        <rFont val="WenQuanYi Zen Hei"/>
        <family val="2"/>
      </rPr>
      <t xml:space="preserve">※借入金合計</t>
    </r>
    <r>
      <rPr>
        <sz val="10"/>
        <rFont val="游ゴシック"/>
        <family val="0"/>
        <charset val="1"/>
      </rPr>
      <t xml:space="preserve">445,823</t>
    </r>
    <r>
      <rPr>
        <sz val="10"/>
        <rFont val="WenQuanYi Zen Hei"/>
        <family val="2"/>
      </rPr>
      <t xml:space="preserve">千円（</t>
    </r>
    <r>
      <rPr>
        <sz val="10"/>
        <rFont val="游ゴシック"/>
        <family val="0"/>
        <charset val="1"/>
      </rPr>
      <t xml:space="preserve">BS</t>
    </r>
    <r>
      <rPr>
        <sz val="10"/>
        <rFont val="WenQuanYi Zen Hei"/>
        <family val="2"/>
      </rPr>
      <t xml:space="preserve">：短期</t>
    </r>
    <r>
      <rPr>
        <sz val="10"/>
        <rFont val="游ゴシック"/>
        <family val="0"/>
        <charset val="1"/>
      </rPr>
      <t xml:space="preserve">173,077</t>
    </r>
    <r>
      <rPr>
        <sz val="10"/>
        <rFont val="WenQuanYi Zen Hei"/>
        <family val="2"/>
      </rPr>
      <t xml:space="preserve">千円＋長期</t>
    </r>
    <r>
      <rPr>
        <sz val="10"/>
        <rFont val="游ゴシック"/>
        <family val="0"/>
        <charset val="1"/>
      </rPr>
      <t xml:space="preserve">272,746</t>
    </r>
    <r>
      <rPr>
        <sz val="10"/>
        <rFont val="WenQuanYi Zen Hei"/>
        <family val="2"/>
      </rPr>
      <t xml:space="preserve">千円）の内訳は勘定科目内訳明細書（令和</t>
    </r>
    <r>
      <rPr>
        <sz val="10"/>
        <rFont val="游ゴシック"/>
        <family val="0"/>
        <charset val="1"/>
      </rPr>
      <t xml:space="preserve">8</t>
    </r>
    <r>
      <rPr>
        <sz val="10"/>
        <rFont val="WenQuanYi Zen Hei"/>
        <family val="2"/>
      </rPr>
      <t xml:space="preserve">年</t>
    </r>
    <r>
      <rPr>
        <sz val="10"/>
        <rFont val="游ゴシック"/>
        <family val="0"/>
        <charset val="1"/>
      </rPr>
      <t xml:space="preserve">3</t>
    </r>
    <r>
      <rPr>
        <sz val="10"/>
        <rFont val="WenQuanYi Zen Hei"/>
        <family val="2"/>
      </rPr>
      <t xml:space="preserve">月期）による。</t>
    </r>
  </si>
  <si>
    <t xml:space="preserve">※未収還付法人税等は実現見込みを要確認のうえキャッシュライクに算入。リース債務・未払給与は評価書上、別途検討。</t>
  </si>
  <si>
    <t xml:space="preserve">営業権倍率</t>
  </si>
  <si>
    <t xml:space="preserve">x1</t>
  </si>
  <si>
    <t xml:space="preserve">x2</t>
  </si>
  <si>
    <t xml:space="preserve">x3</t>
  </si>
  <si>
    <t xml:space="preserve">簿価純資産額</t>
  </si>
  <si>
    <t xml:space="preserve">簿価営業利益</t>
  </si>
  <si>
    <t xml:space="preserve">時価純資産</t>
  </si>
  <si>
    <t xml:space="preserve">営業権</t>
  </si>
  <si>
    <t xml:space="preserve">税効果</t>
  </si>
  <si>
    <t xml:space="preserve">修正後営業利益</t>
  </si>
  <si>
    <t xml:space="preserve">想定株式価値</t>
  </si>
  <si>
    <t xml:space="preserve">税考慮額</t>
  </si>
  <si>
    <t xml:space="preserve">修正後税考慮後営業利益</t>
  </si>
  <si>
    <t xml:space="preserve">基準営業利益</t>
  </si>
  <si>
    <r>
      <rPr>
        <sz val="10"/>
        <rFont val="WenQuanYi Zen Hei"/>
        <family val="2"/>
      </rPr>
      <t xml:space="preserve">※基準営業利益がマイナスの場合、営業権は</t>
    </r>
    <r>
      <rPr>
        <sz val="10"/>
        <rFont val="游ゴシック"/>
        <family val="0"/>
        <charset val="1"/>
      </rPr>
      <t xml:space="preserve">0</t>
    </r>
    <r>
      <rPr>
        <sz val="10"/>
        <rFont val="WenQuanYi Zen Hei"/>
        <family val="2"/>
      </rPr>
      <t xml:space="preserve">（マイナスの営業権は計上しない）。</t>
    </r>
  </si>
  <si>
    <r>
      <rPr>
        <sz val="10"/>
        <rFont val="WenQuanYi Zen Hei"/>
        <family val="2"/>
      </rPr>
      <t xml:space="preserve">※修正後営業利益は修正</t>
    </r>
    <r>
      <rPr>
        <sz val="10"/>
        <rFont val="游ゴシック"/>
        <family val="0"/>
        <charset val="1"/>
      </rPr>
      <t xml:space="preserve">PL</t>
    </r>
    <r>
      <rPr>
        <sz val="10"/>
        <rFont val="WenQuanYi Zen Hei"/>
        <family val="2"/>
      </rPr>
      <t xml:space="preserve">（不動産売却・賃貸等の非継続損益、コンサル収入を除外）。新体制の役員報酬は未確認のため置換していない。</t>
    </r>
  </si>
  <si>
    <t xml:space="preserve">マルチプル倍率</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</si>
  <si>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</si>
  <si>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</si>
  <si>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</si>
  <si>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rPr>
      <t xml:space="preserve">（</t>
    </r>
    <r>
      <rPr>
        <sz val="12"/>
        <color theme="1"/>
        <rFont val="游ゴシック"/>
        <family val="3"/>
        <charset val="128"/>
      </rPr>
      <t xml:space="preserve">EBITDA×</t>
    </r>
    <r>
      <rPr>
        <sz val="12"/>
        <color theme="1"/>
        <rFont val="WenQuanYi Zen Hei"/>
        <family val="2"/>
      </rPr>
      <t xml:space="preserve">倍率）</t>
    </r>
  </si>
  <si>
    <t xml:space="preserve">デットライク</t>
  </si>
  <si>
    <t xml:space="preserve">非流動性ディスカウント</t>
  </si>
  <si>
    <r>
      <rPr>
        <b val="true"/>
        <sz val="12"/>
        <color theme="1"/>
        <rFont val="WenQuanYi Zen Hei"/>
        <family val="2"/>
      </rPr>
      <t xml:space="preserve">修正後</t>
    </r>
    <r>
      <rPr>
        <b val="true"/>
        <sz val="12"/>
        <color theme="1"/>
        <rFont val="游ゴシック"/>
        <family val="3"/>
        <charset val="128"/>
      </rPr>
      <t xml:space="preserve">EBITDA</t>
    </r>
  </si>
  <si>
    <r>
      <rPr>
        <b val="true"/>
        <sz val="12"/>
        <color theme="1"/>
        <rFont val="WenQuanYi Zen Hei"/>
        <family val="2"/>
      </rPr>
      <t xml:space="preserve">基準</t>
    </r>
    <r>
      <rPr>
        <b val="true"/>
        <sz val="12"/>
        <color theme="1"/>
        <rFont val="游ゴシック"/>
        <family val="3"/>
        <charset val="128"/>
      </rPr>
      <t xml:space="preserve">EBITDA</t>
    </r>
  </si>
  <si>
    <r>
      <rPr>
        <sz val="10"/>
        <rFont val="WenQuanYi Zen Hei"/>
        <family val="2"/>
      </rPr>
      <t xml:space="preserve">※基準</t>
    </r>
    <r>
      <rPr>
        <sz val="10"/>
        <rFont val="游ゴシック"/>
        <family val="0"/>
        <charset val="1"/>
      </rPr>
      <t xml:space="preserve">EBITDA</t>
    </r>
    <r>
      <rPr>
        <sz val="10"/>
        <rFont val="WenQuanYi Zen Hei"/>
        <family val="2"/>
      </rPr>
      <t xml:space="preserve">がマイナスのため</t>
    </r>
    <r>
      <rPr>
        <sz val="10"/>
        <rFont val="游ゴシック"/>
        <family val="0"/>
        <charset val="1"/>
      </rPr>
      <t xml:space="preserve">EV</t>
    </r>
    <r>
      <rPr>
        <sz val="10"/>
        <rFont val="WenQuanYi Zen Hei"/>
        <family val="2"/>
      </rPr>
      <t xml:space="preserve">は</t>
    </r>
    <r>
      <rPr>
        <sz val="10"/>
        <rFont val="游ゴシック"/>
        <family val="0"/>
        <charset val="1"/>
      </rPr>
      <t xml:space="preserve">0</t>
    </r>
    <r>
      <rPr>
        <sz val="10"/>
        <rFont val="WenQuanYi Zen Hei"/>
        <family val="2"/>
      </rPr>
      <t xml:space="preserve">（算定不能）。想定株式価値は参考値（ネットキャッシュのみ）であり、評価結果には採用しない。</t>
    </r>
  </si>
  <si>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</si>
  <si>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</si>
  <si>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</si>
  <si>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rPr>
      <t xml:space="preserve">倍率</t>
    </r>
  </si>
  <si>
    <r>
      <rPr>
        <sz val="12"/>
        <color theme="1"/>
        <rFont val="WenQuanYi Zen Hei"/>
        <family val="2"/>
      </rPr>
      <t xml:space="preserve">（適用なし）正常</t>
    </r>
    <r>
      <rPr>
        <sz val="12"/>
        <color theme="1"/>
        <rFont val="游ゴシック"/>
        <family val="3"/>
        <charset val="128"/>
      </rPr>
      <t xml:space="preserve">EBITDA</t>
    </r>
    <r>
      <rPr>
        <sz val="12"/>
        <color theme="1"/>
        <rFont val="WenQuanYi Zen Hei"/>
        <family val="2"/>
      </rPr>
      <t xml:space="preserve">がマイナスのため、類似上場会社の倍率は適用していない。</t>
    </r>
  </si>
  <si>
    <t xml:space="preserve">平均値</t>
  </si>
  <si>
    <t xml:space="preserve">中央値</t>
  </si>
  <si>
    <t xml:space="preserve">項目</t>
  </si>
  <si>
    <t xml:space="preserve">内容</t>
  </si>
  <si>
    <t xml:space="preserve">会社名</t>
  </si>
  <si>
    <t xml:space="preserve">ウエスト・シークル株式会社</t>
  </si>
  <si>
    <t xml:space="preserve">本社所在地</t>
  </si>
  <si>
    <r>
      <rPr>
        <sz val="12"/>
        <color theme="1"/>
        <rFont val="WenQuanYi Zen Hei"/>
        <family val="2"/>
      </rPr>
      <t xml:space="preserve">神奈川県鎌倉市鎌倉山三丁目</t>
    </r>
    <r>
      <rPr>
        <sz val="12"/>
        <color theme="1"/>
        <rFont val="游ゴシック"/>
        <family val="3"/>
        <charset val="128"/>
      </rPr>
      <t xml:space="preserve">2</t>
    </r>
    <r>
      <rPr>
        <sz val="12"/>
        <color theme="1"/>
        <rFont val="WenQuanYi Zen Hei"/>
        <family val="2"/>
      </rPr>
      <t xml:space="preserve">番</t>
    </r>
    <r>
      <rPr>
        <sz val="12"/>
        <color theme="1"/>
        <rFont val="游ゴシック"/>
        <family val="3"/>
        <charset val="128"/>
      </rPr>
      <t xml:space="preserve">31</t>
    </r>
    <r>
      <rPr>
        <sz val="12"/>
        <color theme="1"/>
        <rFont val="WenQuanYi Zen Hei"/>
        <family val="2"/>
      </rPr>
      <t xml:space="preserve">号</t>
    </r>
  </si>
  <si>
    <t xml:space="preserve">その他拠点</t>
  </si>
  <si>
    <r>
      <rPr>
        <sz val="12"/>
        <color theme="1"/>
        <rFont val="WenQuanYi Zen Hei"/>
        <family val="2"/>
      </rPr>
      <t xml:space="preserve">紀尾井町店（東京都千代田区／賃借）
大船店（神奈川県鎌倉市／賃借）
※所在地の詳細は要確認。四谷店は令和</t>
    </r>
    <r>
      <rPr>
        <sz val="12"/>
        <color theme="1"/>
        <rFont val="游ゴシック"/>
        <family val="3"/>
        <charset val="128"/>
      </rPr>
      <t xml:space="preserve">6</t>
    </r>
    <r>
      <rPr>
        <sz val="12"/>
        <color theme="1"/>
        <rFont val="WenQuanYi Zen Hei"/>
        <family val="2"/>
      </rPr>
      <t xml:space="preserve">年</t>
    </r>
    <r>
      <rPr>
        <sz val="12"/>
        <color theme="1"/>
        <rFont val="游ゴシック"/>
        <family val="3"/>
        <charset val="128"/>
      </rPr>
      <t xml:space="preserve">3</t>
    </r>
    <r>
      <rPr>
        <sz val="12"/>
        <color theme="1"/>
        <rFont val="WenQuanYi Zen Hei"/>
        <family val="2"/>
      </rPr>
      <t xml:space="preserve">月期を最後に売上計上なし（閉店と推察・要確認）</t>
    </r>
  </si>
  <si>
    <r>
      <rPr>
        <sz val="12"/>
        <color theme="1"/>
        <rFont val="WenQuanYi Zen Hei"/>
        <family val="2"/>
      </rPr>
      <t xml:space="preserve">設立</t>
    </r>
    <r>
      <rPr>
        <sz val="12"/>
        <color theme="1"/>
        <rFont val="游ゴシック"/>
        <family val="3"/>
        <charset val="128"/>
      </rPr>
      <t xml:space="preserve">/</t>
    </r>
    <r>
      <rPr>
        <sz val="12"/>
        <color theme="1"/>
        <rFont val="WenQuanYi Zen Hei"/>
        <family val="2"/>
      </rPr>
      <t xml:space="preserve">創業</t>
    </r>
  </si>
  <si>
    <r>
      <rPr>
        <sz val="12"/>
        <color theme="1"/>
        <rFont val="WenQuanYi Zen Hei"/>
        <family val="2"/>
      </rPr>
      <t xml:space="preserve">要確認（登記事項証明書未受領）</t>
    </r>
    <r>
      <rPr>
        <sz val="12"/>
        <color theme="1"/>
        <rFont val="游ゴシック"/>
        <family val="3"/>
        <charset val="128"/>
      </rPr>
      <t xml:space="preserve">
※</t>
    </r>
    <r>
      <rPr>
        <sz val="12"/>
        <color theme="1"/>
        <rFont val="WenQuanYi Zen Hei"/>
        <family val="2"/>
      </rPr>
      <t xml:space="preserve">鎌倉山店「ル・ミリュウ」は</t>
    </r>
    <r>
      <rPr>
        <sz val="12"/>
        <color theme="1"/>
        <rFont val="游ゴシック"/>
        <family val="3"/>
        <charset val="128"/>
      </rPr>
      <t xml:space="preserve">2010</t>
    </r>
    <r>
      <rPr>
        <sz val="12"/>
        <color theme="1"/>
        <rFont val="WenQuanYi Zen Hei"/>
        <family val="2"/>
      </rPr>
      <t xml:space="preserve">年開業（</t>
    </r>
    <r>
      <rPr>
        <sz val="12"/>
        <color theme="1"/>
        <rFont val="游ゴシック"/>
        <family val="3"/>
        <charset val="128"/>
      </rPr>
      <t xml:space="preserve">Web</t>
    </r>
    <r>
      <rPr>
        <sz val="12"/>
        <color theme="1"/>
        <rFont val="WenQuanYi Zen Hei"/>
        <family val="2"/>
      </rPr>
      <t xml:space="preserve">情報・要確認）</t>
    </r>
  </si>
  <si>
    <r>
      <rPr>
        <sz val="12"/>
        <color theme="1"/>
        <rFont val="游ゴシック"/>
        <family val="3"/>
        <charset val="128"/>
      </rPr>
      <t xml:space="preserve">500</t>
    </r>
    <r>
      <rPr>
        <sz val="12"/>
        <color theme="1"/>
        <rFont val="WenQuanYi Zen Hei"/>
        <family val="2"/>
      </rPr>
      <t xml:space="preserve">千円</t>
    </r>
  </si>
  <si>
    <t xml:space="preserve">代表者</t>
  </si>
  <si>
    <t xml:space="preserve">西丸 修（代表取締役）</t>
  </si>
  <si>
    <t xml:space="preserve">株主</t>
  </si>
  <si>
    <r>
      <rPr>
        <sz val="12"/>
        <color theme="1"/>
        <rFont val="WenQuanYi Zen Hei"/>
        <family val="2"/>
      </rPr>
      <t xml:space="preserve">西丸 修（</t>
    </r>
    <r>
      <rPr>
        <sz val="12"/>
        <color theme="1"/>
        <rFont val="游ゴシック"/>
        <family val="3"/>
        <charset val="128"/>
      </rPr>
      <t xml:space="preserve">100</t>
    </r>
    <r>
      <rPr>
        <sz val="12"/>
        <color theme="1"/>
        <rFont val="WenQuanYi Zen Hei"/>
        <family val="2"/>
      </rPr>
      <t xml:space="preserve">株</t>
    </r>
    <r>
      <rPr>
        <sz val="12"/>
        <color theme="1"/>
        <rFont val="游ゴシック"/>
        <family val="3"/>
        <charset val="128"/>
      </rPr>
      <t xml:space="preserve">/100</t>
    </r>
    <r>
      <rPr>
        <sz val="12"/>
        <color theme="1"/>
        <rFont val="WenQuanYi Zen Hei"/>
        <family val="2"/>
      </rPr>
      <t xml:space="preserve">％）
※法人税申告書 別表二（令和</t>
    </r>
    <r>
      <rPr>
        <sz val="12"/>
        <color theme="1"/>
        <rFont val="游ゴシック"/>
        <family val="3"/>
        <charset val="128"/>
      </rPr>
      <t xml:space="preserve">8</t>
    </r>
    <r>
      <rPr>
        <sz val="12"/>
        <color theme="1"/>
        <rFont val="WenQuanYi Zen Hei"/>
        <family val="2"/>
      </rPr>
      <t xml:space="preserve">年</t>
    </r>
    <r>
      <rPr>
        <sz val="12"/>
        <color theme="1"/>
        <rFont val="游ゴシック"/>
        <family val="3"/>
        <charset val="128"/>
      </rPr>
      <t xml:space="preserve">3</t>
    </r>
    <r>
      <rPr>
        <sz val="12"/>
        <color theme="1"/>
        <rFont val="WenQuanYi Zen Hei"/>
        <family val="2"/>
      </rPr>
      <t xml:space="preserve">月期）より。株主名簿は未受領・要確認</t>
    </r>
  </si>
  <si>
    <r>
      <rPr>
        <sz val="12"/>
        <color theme="1"/>
        <rFont val="WenQuanYi Zen Hei"/>
        <family val="2"/>
      </rPr>
      <t xml:space="preserve">フランス菓子・焼菓子・パン等の製造販売、併設カフェの運営（鎌倉山・紀尾井町・大船の</t>
    </r>
    <r>
      <rPr>
        <sz val="12"/>
        <color theme="1"/>
        <rFont val="游ゴシック"/>
        <family val="3"/>
        <charset val="128"/>
      </rPr>
      <t xml:space="preserve">3</t>
    </r>
    <r>
      <rPr>
        <sz val="12"/>
        <color theme="1"/>
        <rFont val="WenQuanYi Zen Hei"/>
        <family val="2"/>
      </rPr>
      <t xml:space="preserve">店舗）。</t>
    </r>
    <r>
      <rPr>
        <sz val="12"/>
        <color theme="1"/>
        <rFont val="游ゴシック"/>
        <family val="3"/>
        <charset val="128"/>
      </rPr>
      <t xml:space="preserve">Web</t>
    </r>
    <r>
      <rPr>
        <sz val="12"/>
        <color theme="1"/>
        <rFont val="WenQuanYi Zen Hei"/>
        <family val="2"/>
      </rPr>
      <t xml:space="preserve">情報では「ル・ミリュウ」「ラ・プレシューズ」を展開（要確認）</t>
    </r>
  </si>
  <si>
    <t xml:space="preserve">従業員数</t>
  </si>
  <si>
    <r>
      <rPr>
        <sz val="12"/>
        <color theme="1"/>
        <rFont val="WenQuanYi Zen Hei"/>
        <family val="2"/>
      </rPr>
      <t xml:space="preserve">月給者</t>
    </r>
    <r>
      <rPr>
        <sz val="12"/>
        <color theme="1"/>
        <rFont val="游ゴシック"/>
        <family val="3"/>
        <charset val="128"/>
      </rPr>
      <t xml:space="preserve">6</t>
    </r>
    <r>
      <rPr>
        <sz val="12"/>
        <color theme="1"/>
        <rFont val="WenQuanYi Zen Hei"/>
        <family val="2"/>
      </rPr>
      <t xml:space="preserve">名・時給者約</t>
    </r>
    <r>
      <rPr>
        <sz val="12"/>
        <color theme="1"/>
        <rFont val="游ゴシック"/>
        <family val="3"/>
        <charset val="128"/>
      </rPr>
      <t xml:space="preserve">30</t>
    </r>
    <r>
      <rPr>
        <sz val="12"/>
        <color theme="1"/>
        <rFont val="WenQuanYi Zen Hei"/>
        <family val="2"/>
      </rPr>
      <t xml:space="preserve">名（</t>
    </r>
    <r>
      <rPr>
        <sz val="12"/>
        <color theme="1"/>
        <rFont val="游ゴシック"/>
        <family val="3"/>
        <charset val="128"/>
      </rPr>
      <t xml:space="preserve">2026</t>
    </r>
    <r>
      <rPr>
        <sz val="12"/>
        <color theme="1"/>
        <rFont val="WenQuanYi Zen Hei"/>
        <family val="2"/>
      </rPr>
      <t xml:space="preserve">年</t>
    </r>
    <r>
      <rPr>
        <sz val="12"/>
        <color theme="1"/>
        <rFont val="游ゴシック"/>
        <family val="3"/>
        <charset val="128"/>
      </rPr>
      <t xml:space="preserve">2</t>
    </r>
    <r>
      <rPr>
        <sz val="12"/>
        <color theme="1"/>
        <rFont val="WenQuanYi Zen Hei"/>
        <family val="2"/>
      </rPr>
      <t xml:space="preserve">月分給与台帳より推計）／役員</t>
    </r>
    <r>
      <rPr>
        <sz val="12"/>
        <color theme="1"/>
        <rFont val="游ゴシック"/>
        <family val="3"/>
        <charset val="128"/>
      </rPr>
      <t xml:space="preserve">1</t>
    </r>
    <r>
      <rPr>
        <sz val="12"/>
        <color theme="1"/>
        <rFont val="WenQuanYi Zen Hei"/>
        <family val="2"/>
      </rPr>
      <t xml:space="preserve">名＋</t>
    </r>
    <r>
      <rPr>
        <sz val="12"/>
        <color theme="1"/>
        <rFont val="游ゴシック"/>
        <family val="3"/>
        <charset val="128"/>
      </rPr>
      <t xml:space="preserve">α</t>
    </r>
    <r>
      <rPr>
        <sz val="12"/>
        <color theme="1"/>
        <rFont val="WenQuanYi Zen Hei"/>
        <family val="2"/>
      </rPr>
      <t xml:space="preserve">（要確認）</t>
    </r>
  </si>
  <si>
    <t xml:space="preserve">許認可等</t>
  </si>
  <si>
    <t xml:space="preserve">要確認（営業許可証・菓子製造業許可等は未受領）</t>
  </si>
  <si>
    <r>
      <rPr>
        <sz val="12"/>
        <color theme="1"/>
        <rFont val="WenQuanYi Zen Hei"/>
        <family val="2"/>
      </rPr>
      <t xml:space="preserve">調整後</t>
    </r>
    <r>
      <rPr>
        <sz val="12"/>
        <color theme="1"/>
        <rFont val="游ゴシック"/>
        <family val="3"/>
        <charset val="128"/>
      </rPr>
      <t xml:space="preserve">EBITDA</t>
    </r>
  </si>
  <si>
    <t xml:space="preserve">譲渡理由</t>
  </si>
  <si>
    <t xml:space="preserve">要確認（オーナーヒアリング予定）</t>
  </si>
  <si>
    <t xml:space="preserve">前期比</t>
  </si>
  <si>
    <t xml:space="preserve">利益率</t>
  </si>
  <si>
    <t xml:space="preserve">調整項目 合計</t>
  </si>
  <si>
    <t xml:space="preserve">不動産売却損益（売却済物件・非継続）</t>
  </si>
  <si>
    <t xml:space="preserve">不動産賃貸収入（売却済物件・非継続）</t>
  </si>
  <si>
    <t xml:space="preserve">不動産管理費（売却済物件に係る費用と推察）</t>
  </si>
  <si>
    <t xml:space="preserve">コンサル収入（単発・非経常）</t>
  </si>
  <si>
    <r>
      <rPr>
        <b val="true"/>
        <sz val="12"/>
        <color theme="1"/>
        <rFont val="WenQuanYi Zen Hei"/>
        <family val="2"/>
      </rPr>
      <t xml:space="preserve">調整後</t>
    </r>
    <r>
      <rPr>
        <b val="true"/>
        <sz val="12"/>
        <color theme="1"/>
        <rFont val="游ゴシック"/>
        <family val="3"/>
        <charset val="128"/>
      </rPr>
      <t xml:space="preserve">EBITDA</t>
    </r>
  </si>
  <si>
    <r>
      <rPr>
        <b val="true"/>
        <sz val="12"/>
        <color theme="1"/>
        <rFont val="WenQuanYi Zen Hei"/>
        <family val="2"/>
      </rPr>
      <t xml:space="preserve">（検算）修正</t>
    </r>
    <r>
      <rPr>
        <b val="true"/>
        <sz val="12"/>
        <color theme="1"/>
        <rFont val="游ゴシック"/>
        <family val="3"/>
        <charset val="128"/>
      </rPr>
      <t xml:space="preserve">PL</t>
    </r>
    <r>
      <rPr>
        <b val="true"/>
        <sz val="12"/>
        <color theme="1"/>
        <rFont val="WenQuanYi Zen Hei"/>
        <family val="2"/>
      </rPr>
      <t xml:space="preserve">の営業利益＋減価償却費</t>
    </r>
  </si>
  <si>
    <r>
      <rPr>
        <b val="true"/>
        <sz val="12"/>
        <color theme="1"/>
        <rFont val="WenQuanYi Zen Hei"/>
        <family val="2"/>
      </rPr>
      <t xml:space="preserve">（検算）調整後</t>
    </r>
    <r>
      <rPr>
        <b val="true"/>
        <sz val="12"/>
        <color theme="1"/>
        <rFont val="游ゴシック"/>
        <family val="3"/>
        <charset val="128"/>
      </rPr>
      <t xml:space="preserve">EBITDA</t>
    </r>
    <r>
      <rPr>
        <b val="true"/>
        <sz val="12"/>
        <color theme="1"/>
        <rFont val="WenQuanYi Zen Hei"/>
        <family val="2"/>
      </rPr>
      <t xml:space="preserve">一致</t>
    </r>
  </si>
  <si>
    <t xml:space="preserve">流動資産</t>
  </si>
  <si>
    <t xml:space="preserve">流動負債</t>
  </si>
  <si>
    <t xml:space="preserve">現預金</t>
  </si>
  <si>
    <t xml:space="preserve">買掛債権</t>
  </si>
  <si>
    <t xml:space="preserve">売掛債権</t>
  </si>
  <si>
    <t xml:space="preserve">短期借入金（役員借入金を含む）</t>
  </si>
  <si>
    <t xml:space="preserve">在庫</t>
  </si>
  <si>
    <t xml:space="preserve">前払金</t>
  </si>
  <si>
    <t xml:space="preserve">その他</t>
  </si>
  <si>
    <t xml:space="preserve">固定資産</t>
  </si>
  <si>
    <t xml:space="preserve">固定負債</t>
  </si>
  <si>
    <t xml:space="preserve">長期借入金（役員借入金を含む）</t>
  </si>
  <si>
    <t xml:space="preserve">（参考）役員借入金は上記借入金の内数</t>
  </si>
  <si>
    <t xml:space="preserve">ゴルフ会員権</t>
  </si>
  <si>
    <t xml:space="preserve">利益剰余金</t>
  </si>
  <si>
    <t xml:space="preserve">（検算）資産合計＝負債・純資産合計</t>
  </si>
  <si>
    <t xml:space="preserve">得意先</t>
  </si>
  <si>
    <t xml:space="preserve">取引内容</t>
  </si>
  <si>
    <t xml:space="preserve">業種等</t>
  </si>
  <si>
    <t xml:space="preserve">構成比</t>
  </si>
  <si>
    <t xml:space="preserve">鎌倉山店（ル・ミリュウ鎌倉山／本店）</t>
  </si>
  <si>
    <t xml:space="preserve">店頭販売・カフェ</t>
  </si>
  <si>
    <t xml:space="preserve">神奈川県鎌倉市</t>
  </si>
  <si>
    <t xml:space="preserve">飲食・小売</t>
  </si>
  <si>
    <t xml:space="preserve">自社所有の物件で営業</t>
  </si>
  <si>
    <t xml:space="preserve">東京都千代田区（要確認）</t>
  </si>
  <si>
    <t xml:space="preserve">賃借</t>
  </si>
  <si>
    <t xml:space="preserve">大船店</t>
  </si>
  <si>
    <t xml:space="preserve">店頭販売・カフェ（百貨店精算を含む）</t>
  </si>
  <si>
    <t xml:space="preserve">神奈川県鎌倉市（要確認）</t>
  </si>
  <si>
    <t xml:space="preserve">賃借（家賃の支払先：三越伊勢丹）</t>
  </si>
  <si>
    <t xml:space="preserve">四谷店</t>
  </si>
  <si>
    <t xml:space="preserve">東京都新宿区（要確認）</t>
  </si>
  <si>
    <r>
      <rPr>
        <sz val="12"/>
        <color theme="1"/>
        <rFont val="WenQuanYi Zen Hei"/>
        <family val="2"/>
      </rPr>
      <t xml:space="preserve">令和</t>
    </r>
    <r>
      <rPr>
        <sz val="12"/>
        <color theme="1"/>
        <rFont val="游ゴシック"/>
        <family val="3"/>
        <charset val="128"/>
      </rPr>
      <t xml:space="preserve">7</t>
    </r>
    <r>
      <rPr>
        <sz val="12"/>
        <color theme="1"/>
        <rFont val="WenQuanYi Zen Hei"/>
        <family val="2"/>
      </rPr>
      <t xml:space="preserve">年</t>
    </r>
    <r>
      <rPr>
        <sz val="12"/>
        <color theme="1"/>
        <rFont val="游ゴシック"/>
        <family val="3"/>
        <charset val="128"/>
      </rPr>
      <t xml:space="preserve">3</t>
    </r>
    <r>
      <rPr>
        <sz val="12"/>
        <color theme="1"/>
        <rFont val="WenQuanYi Zen Hei"/>
        <family val="2"/>
      </rPr>
      <t xml:space="preserve">月期以降は売上なし（閉店と推察・要確認）</t>
    </r>
  </si>
  <si>
    <t xml:space="preserve">ミリュウショップ</t>
  </si>
  <si>
    <r>
      <rPr>
        <sz val="12"/>
        <color theme="1"/>
        <rFont val="WenQuanYi Zen Hei"/>
        <family val="2"/>
      </rPr>
      <t xml:space="preserve">物販（</t>
    </r>
    <r>
      <rPr>
        <sz val="12"/>
        <color theme="1"/>
        <rFont val="游ゴシック"/>
        <family val="3"/>
        <charset val="128"/>
      </rPr>
      <t xml:space="preserve">EC</t>
    </r>
    <r>
      <rPr>
        <sz val="12"/>
        <color theme="1"/>
        <rFont val="WenQuanYi Zen Hei"/>
        <family val="2"/>
      </rPr>
      <t xml:space="preserve">等と推察・要確認）</t>
    </r>
  </si>
  <si>
    <t xml:space="preserve">小売</t>
  </si>
  <si>
    <r>
      <rPr>
        <sz val="12"/>
        <color theme="1"/>
        <rFont val="WenQuanYi Zen Hei"/>
        <family val="2"/>
      </rPr>
      <t xml:space="preserve">令和</t>
    </r>
    <r>
      <rPr>
        <sz val="12"/>
        <color theme="1"/>
        <rFont val="游ゴシック"/>
        <family val="3"/>
        <charset val="128"/>
      </rPr>
      <t xml:space="preserve">7</t>
    </r>
    <r>
      <rPr>
        <sz val="12"/>
        <color theme="1"/>
        <rFont val="WenQuanYi Zen Hei"/>
        <family val="2"/>
      </rPr>
      <t xml:space="preserve">年</t>
    </r>
    <r>
      <rPr>
        <sz val="12"/>
        <color theme="1"/>
        <rFont val="游ゴシック"/>
        <family val="3"/>
        <charset val="128"/>
      </rPr>
      <t xml:space="preserve">3</t>
    </r>
    <r>
      <rPr>
        <sz val="12"/>
        <color theme="1"/>
        <rFont val="WenQuanYi Zen Hei"/>
        <family val="2"/>
      </rPr>
      <t xml:space="preserve">月期の</t>
    </r>
    <r>
      <rPr>
        <sz val="12"/>
        <color theme="1"/>
        <rFont val="游ゴシック"/>
        <family val="3"/>
        <charset val="128"/>
      </rPr>
      <t xml:space="preserve">42</t>
    </r>
    <r>
      <rPr>
        <sz val="12"/>
        <color theme="1"/>
        <rFont val="WenQuanYi Zen Hei"/>
        <family val="2"/>
      </rPr>
      <t xml:space="preserve">百万円から急減。要因は要確認</t>
    </r>
  </si>
  <si>
    <t xml:space="preserve">リンベル株式会社</t>
  </si>
  <si>
    <t xml:space="preserve">ギフト商品の卸（推察・要確認）</t>
  </si>
  <si>
    <t xml:space="preserve">東京都（要確認）</t>
  </si>
  <si>
    <t xml:space="preserve">卸売</t>
  </si>
  <si>
    <t xml:space="preserve">株式会社ケンコーポレーション</t>
  </si>
  <si>
    <t xml:space="preserve">商品販売（内容要確認）</t>
  </si>
  <si>
    <t xml:space="preserve">不動産賃貸収入（売却済物件）</t>
  </si>
  <si>
    <t xml:space="preserve">賃貸収入（松濤フラッツ）</t>
  </si>
  <si>
    <t xml:space="preserve">東京都渋谷区</t>
  </si>
  <si>
    <t xml:space="preserve">不動産賃貸</t>
  </si>
  <si>
    <r>
      <rPr>
        <sz val="12"/>
        <color theme="1"/>
        <rFont val="WenQuanYi Zen Hei"/>
        <family val="2"/>
      </rPr>
      <t xml:space="preserve">非継続（令和</t>
    </r>
    <r>
      <rPr>
        <sz val="12"/>
        <color theme="1"/>
        <rFont val="游ゴシック"/>
        <family val="3"/>
        <charset val="128"/>
      </rPr>
      <t xml:space="preserve">7</t>
    </r>
    <r>
      <rPr>
        <sz val="12"/>
        <color theme="1"/>
        <rFont val="WenQuanYi Zen Hei"/>
        <family val="2"/>
      </rPr>
      <t xml:space="preserve">年</t>
    </r>
    <r>
      <rPr>
        <sz val="12"/>
        <color theme="1"/>
        <rFont val="游ゴシック"/>
        <family val="3"/>
        <charset val="128"/>
      </rPr>
      <t xml:space="preserve">3</t>
    </r>
    <r>
      <rPr>
        <sz val="12"/>
        <color theme="1"/>
        <rFont val="WenQuanYi Zen Hei"/>
        <family val="2"/>
      </rPr>
      <t xml:space="preserve">月末に売却）</t>
    </r>
  </si>
  <si>
    <t xml:space="preserve">不動産売却収入（松濤フラッツ）</t>
  </si>
  <si>
    <r>
      <rPr>
        <sz val="12"/>
        <color theme="1"/>
        <rFont val="WenQuanYi Zen Hei"/>
        <family val="2"/>
      </rPr>
      <t xml:space="preserve">土地</t>
    </r>
    <r>
      <rPr>
        <sz val="12"/>
        <color theme="1"/>
        <rFont val="游ゴシック"/>
        <family val="3"/>
        <charset val="128"/>
      </rPr>
      <t xml:space="preserve">761,200</t>
    </r>
    <r>
      <rPr>
        <sz val="12"/>
        <color theme="1"/>
        <rFont val="WenQuanYi Zen Hei"/>
        <family val="2"/>
      </rPr>
      <t xml:space="preserve">千円・建物</t>
    </r>
    <r>
      <rPr>
        <sz val="12"/>
        <color theme="1"/>
        <rFont val="游ゴシック"/>
        <family val="3"/>
        <charset val="128"/>
      </rPr>
      <t xml:space="preserve">108,000</t>
    </r>
    <r>
      <rPr>
        <sz val="12"/>
        <color theme="1"/>
        <rFont val="WenQuanYi Zen Hei"/>
        <family val="2"/>
      </rPr>
      <t xml:space="preserve">千円</t>
    </r>
  </si>
  <si>
    <t xml:space="preserve">不動産売買</t>
  </si>
  <si>
    <r>
      <rPr>
        <sz val="12"/>
        <color theme="1"/>
        <rFont val="WenQuanYi Zen Hei"/>
        <family val="2"/>
      </rPr>
      <t xml:space="preserve">非継続（令和</t>
    </r>
    <r>
      <rPr>
        <sz val="12"/>
        <color theme="1"/>
        <rFont val="游ゴシック"/>
        <family val="3"/>
        <charset val="128"/>
      </rPr>
      <t xml:space="preserve">7</t>
    </r>
    <r>
      <rPr>
        <sz val="12"/>
        <color theme="1"/>
        <rFont val="WenQuanYi Zen Hei"/>
        <family val="2"/>
      </rPr>
      <t xml:space="preserve">年</t>
    </r>
    <r>
      <rPr>
        <sz val="12"/>
        <color theme="1"/>
        <rFont val="游ゴシック"/>
        <family val="3"/>
        <charset val="128"/>
      </rPr>
      <t xml:space="preserve">3</t>
    </r>
    <r>
      <rPr>
        <sz val="12"/>
        <color theme="1"/>
        <rFont val="WenQuanYi Zen Hei"/>
        <family val="2"/>
      </rPr>
      <t xml:space="preserve">月</t>
    </r>
    <r>
      <rPr>
        <sz val="12"/>
        <color theme="1"/>
        <rFont val="游ゴシック"/>
        <family val="3"/>
        <charset val="128"/>
      </rPr>
      <t xml:space="preserve">31</t>
    </r>
    <r>
      <rPr>
        <sz val="12"/>
        <color theme="1"/>
        <rFont val="WenQuanYi Zen Hei"/>
        <family val="2"/>
      </rPr>
      <t xml:space="preserve">日売却・買主：㈱日本財託）</t>
    </r>
  </si>
  <si>
    <t xml:space="preserve">コンサルティング報酬（相手先不明）</t>
  </si>
  <si>
    <t xml:space="preserve">単発・非経常と推察。相手先・契約内容は要確認</t>
  </si>
  <si>
    <t xml:space="preserve">その他（㈱ケーキジェーピー・㈱西武リアルティ・決済代行等）</t>
  </si>
  <si>
    <r>
      <rPr>
        <b val="true"/>
        <sz val="12"/>
        <color theme="1"/>
        <rFont val="WenQuanYi Zen Hei"/>
        <family val="2"/>
      </rPr>
      <t xml:space="preserve">（検算）</t>
    </r>
    <r>
      <rPr>
        <b val="true"/>
        <sz val="12"/>
        <color theme="1"/>
        <rFont val="游ゴシック"/>
        <family val="3"/>
        <charset val="128"/>
      </rPr>
      <t xml:space="preserve">PL</t>
    </r>
    <r>
      <rPr>
        <b val="true"/>
        <sz val="12"/>
        <color theme="1"/>
        <rFont val="WenQuanYi Zen Hei"/>
        <family val="2"/>
      </rPr>
      <t xml:space="preserve">売上高と一致</t>
    </r>
  </si>
  <si>
    <t xml:space="preserve">仕入先</t>
  </si>
  <si>
    <t xml:space="preserve">仕入内容</t>
  </si>
  <si>
    <t xml:space="preserve">仕入高</t>
  </si>
  <si>
    <t xml:space="preserve">株式会社イワセ・エスタ</t>
  </si>
  <si>
    <t xml:space="preserve">食材・製菓材料（推察）</t>
  </si>
  <si>
    <r>
      <rPr>
        <sz val="12"/>
        <color theme="1"/>
        <rFont val="WenQuanYi Zen Hei"/>
        <family val="2"/>
      </rPr>
      <t xml:space="preserve">令和</t>
    </r>
    <r>
      <rPr>
        <sz val="12"/>
        <color theme="1"/>
        <rFont val="游ゴシック"/>
        <family val="3"/>
        <charset val="128"/>
      </rPr>
      <t xml:space="preserve">8</t>
    </r>
    <r>
      <rPr>
        <sz val="12"/>
        <color theme="1"/>
        <rFont val="WenQuanYi Zen Hei"/>
        <family val="2"/>
      </rPr>
      <t xml:space="preserve">年</t>
    </r>
    <r>
      <rPr>
        <sz val="12"/>
        <color theme="1"/>
        <rFont val="游ゴシック"/>
        <family val="3"/>
        <charset val="128"/>
      </rPr>
      <t xml:space="preserve">3</t>
    </r>
    <r>
      <rPr>
        <sz val="12"/>
        <color theme="1"/>
        <rFont val="WenQuanYi Zen Hei"/>
        <family val="2"/>
      </rPr>
      <t xml:space="preserve">月期の最大仕入先（</t>
    </r>
    <r>
      <rPr>
        <sz val="12"/>
        <color theme="1"/>
        <rFont val="游ゴシック"/>
        <family val="3"/>
        <charset val="128"/>
      </rPr>
      <t xml:space="preserve">22.6%</t>
    </r>
    <r>
      <rPr>
        <sz val="12"/>
        <color theme="1"/>
        <rFont val="WenQuanYi Zen Hei"/>
        <family val="2"/>
      </rPr>
      <t xml:space="preserve">）</t>
    </r>
  </si>
  <si>
    <t xml:space="preserve">池伝株式会社</t>
  </si>
  <si>
    <t xml:space="preserve">輸入食材等（推察）</t>
  </si>
  <si>
    <t xml:space="preserve">（取引先名記載なし）</t>
  </si>
  <si>
    <t xml:space="preserve">取引先名の記載なし（現金仕入等）</t>
  </si>
  <si>
    <t xml:space="preserve">元帳上、取引先名が空欄の仕入</t>
  </si>
  <si>
    <t xml:space="preserve">株式会社東光</t>
  </si>
  <si>
    <t xml:space="preserve">食材・原材料（推察）</t>
  </si>
  <si>
    <t xml:space="preserve">キーコーヒー株式会社</t>
  </si>
  <si>
    <t xml:space="preserve">コーヒー豆・関連商材</t>
  </si>
  <si>
    <t xml:space="preserve">タカナシ販売株式会社</t>
  </si>
  <si>
    <t xml:space="preserve">乳製品</t>
  </si>
  <si>
    <t xml:space="preserve">立替精算</t>
  </si>
  <si>
    <t xml:space="preserve">立替精算（従業員立替等）</t>
  </si>
  <si>
    <t xml:space="preserve">内訳は要確認</t>
  </si>
  <si>
    <t xml:space="preserve">丸叶食品有限会社</t>
  </si>
  <si>
    <t xml:space="preserve">株式会社ナカリ</t>
  </si>
  <si>
    <t xml:space="preserve">中沢乳業株式会社</t>
  </si>
  <si>
    <r>
      <rPr>
        <sz val="12"/>
        <color theme="1"/>
        <rFont val="WenQuanYi Zen Hei"/>
        <family val="2"/>
      </rPr>
      <t xml:space="preserve">その他（上位</t>
    </r>
    <r>
      <rPr>
        <sz val="12"/>
        <color theme="1"/>
        <rFont val="游ゴシック"/>
        <family val="3"/>
        <charset val="128"/>
      </rPr>
      <t xml:space="preserve">10</t>
    </r>
    <r>
      <rPr>
        <sz val="12"/>
        <color theme="1"/>
        <rFont val="WenQuanYi Zen Hei"/>
        <family val="2"/>
      </rPr>
      <t xml:space="preserve">項目以外）</t>
    </r>
  </si>
  <si>
    <r>
      <rPr>
        <b val="true"/>
        <sz val="12"/>
        <color theme="1"/>
        <rFont val="WenQuanYi Zen Hei"/>
        <family val="2"/>
      </rPr>
      <t xml:space="preserve">（検算）</t>
    </r>
    <r>
      <rPr>
        <b val="true"/>
        <sz val="12"/>
        <color theme="1"/>
        <rFont val="游ゴシック"/>
        <family val="3"/>
        <charset val="128"/>
      </rPr>
      <t xml:space="preserve">PL</t>
    </r>
    <r>
      <rPr>
        <b val="true"/>
        <sz val="12"/>
        <color theme="1"/>
        <rFont val="WenQuanYi Zen Hei"/>
        <family val="2"/>
      </rPr>
      <t xml:space="preserve">当期商品仕入高と一致（令和</t>
    </r>
    <r>
      <rPr>
        <b val="true"/>
        <sz val="12"/>
        <color theme="1"/>
        <rFont val="游ゴシック"/>
        <family val="3"/>
        <charset val="128"/>
      </rPr>
      <t xml:space="preserve">7</t>
    </r>
    <r>
      <rPr>
        <b val="true"/>
        <sz val="12"/>
        <color theme="1"/>
        <rFont val="WenQuanYi Zen Hei"/>
        <family val="2"/>
      </rPr>
      <t xml:space="preserve">年</t>
    </r>
    <r>
      <rPr>
        <b val="true"/>
        <sz val="12"/>
        <color theme="1"/>
        <rFont val="游ゴシック"/>
        <family val="3"/>
        <charset val="128"/>
      </rPr>
      <t xml:space="preserve">3</t>
    </r>
    <r>
      <rPr>
        <b val="true"/>
        <sz val="12"/>
        <color theme="1"/>
        <rFont val="WenQuanYi Zen Hei"/>
        <family val="2"/>
      </rPr>
      <t xml:space="preserve">月期は不動産売却関連原価を除く）</t>
    </r>
  </si>
  <si>
    <t xml:space="preserve">外注先</t>
  </si>
  <si>
    <t xml:space="preserve">外注内容</t>
  </si>
  <si>
    <r>
      <rPr>
        <sz val="12"/>
        <color theme="1"/>
        <rFont val="WenQuanYi Zen Hei"/>
        <family val="2"/>
      </rPr>
      <t xml:space="preserve">個人外注先</t>
    </r>
    <r>
      <rPr>
        <sz val="12"/>
        <color theme="1"/>
        <rFont val="游ゴシック"/>
        <family val="3"/>
        <charset val="128"/>
      </rPr>
      <t xml:space="preserve">A</t>
    </r>
  </si>
  <si>
    <t xml:space="preserve">外注（内容要確認）</t>
  </si>
  <si>
    <t xml:space="preserve">外注費は個人名の取引先が中心（個人事業主等）。氏名は買手向け資料では非開示とする</t>
  </si>
  <si>
    <r>
      <rPr>
        <sz val="12"/>
        <color theme="1"/>
        <rFont val="WenQuanYi Zen Hei"/>
        <family val="2"/>
      </rPr>
      <t xml:space="preserve">個人外注先</t>
    </r>
    <r>
      <rPr>
        <sz val="12"/>
        <color theme="1"/>
        <rFont val="游ゴシック"/>
        <family val="3"/>
        <charset val="128"/>
      </rPr>
      <t xml:space="preserve">C</t>
    </r>
  </si>
  <si>
    <t xml:space="preserve">株式会社アイクス</t>
  </si>
  <si>
    <r>
      <rPr>
        <sz val="12"/>
        <color theme="1"/>
        <rFont val="WenQuanYi Zen Hei"/>
        <family val="2"/>
      </rPr>
      <t xml:space="preserve">個人外注先</t>
    </r>
    <r>
      <rPr>
        <sz val="12"/>
        <color theme="1"/>
        <rFont val="游ゴシック"/>
        <family val="3"/>
        <charset val="128"/>
      </rPr>
      <t xml:space="preserve">E</t>
    </r>
  </si>
  <si>
    <r>
      <rPr>
        <b val="true"/>
        <sz val="12"/>
        <color theme="1"/>
        <rFont val="WenQuanYi Zen Hei"/>
        <family val="2"/>
      </rPr>
      <t xml:space="preserve">（検算）</t>
    </r>
    <r>
      <rPr>
        <b val="true"/>
        <sz val="12"/>
        <color theme="1"/>
        <rFont val="游ゴシック"/>
        <family val="3"/>
        <charset val="128"/>
      </rPr>
      <t xml:space="preserve">SGA</t>
    </r>
    <r>
      <rPr>
        <b val="true"/>
        <sz val="12"/>
        <color theme="1"/>
        <rFont val="WenQuanYi Zen Hei"/>
        <family val="2"/>
      </rPr>
      <t xml:space="preserve">外注費と一致</t>
    </r>
  </si>
  <si>
    <t xml:space="preserve">役職</t>
  </si>
  <si>
    <r>
      <rPr>
        <b val="true"/>
        <sz val="12"/>
        <color theme="0"/>
        <rFont val="WenQuanYi Zen Hei"/>
        <family val="2"/>
      </rPr>
      <t xml:space="preserve">役員報酬
（令和</t>
    </r>
    <r>
      <rPr>
        <b val="true"/>
        <sz val="12"/>
        <color theme="0"/>
        <rFont val="游ゴシック"/>
        <family val="3"/>
        <charset val="128"/>
      </rPr>
      <t xml:space="preserve">8</t>
    </r>
    <r>
      <rPr>
        <b val="true"/>
        <sz val="12"/>
        <color theme="0"/>
        <rFont val="WenQuanYi Zen Hei"/>
        <family val="2"/>
      </rPr>
      <t xml:space="preserve">年</t>
    </r>
    <r>
      <rPr>
        <b val="true"/>
        <sz val="12"/>
        <color theme="0"/>
        <rFont val="游ゴシック"/>
        <family val="3"/>
        <charset val="128"/>
      </rPr>
      <t xml:space="preserve">3</t>
    </r>
    <r>
      <rPr>
        <b val="true"/>
        <sz val="12"/>
        <color theme="0"/>
        <rFont val="WenQuanYi Zen Hei"/>
        <family val="2"/>
      </rPr>
      <t xml:space="preserve">月期）</t>
    </r>
  </si>
  <si>
    <t xml:space="preserve">保有株式数</t>
  </si>
  <si>
    <t xml:space="preserve">保有割合</t>
  </si>
  <si>
    <t xml:space="preserve">西丸 修</t>
  </si>
  <si>
    <t xml:space="preserve">代表取締役</t>
  </si>
  <si>
    <r>
      <rPr>
        <sz val="12"/>
        <color theme="1"/>
        <rFont val="WenQuanYi Zen Hei"/>
        <family val="2"/>
      </rPr>
      <t xml:space="preserve">法人税申告書 別表二（令和</t>
    </r>
    <r>
      <rPr>
        <sz val="12"/>
        <color theme="1"/>
        <rFont val="游ゴシック"/>
        <family val="3"/>
        <charset val="128"/>
      </rPr>
      <t xml:space="preserve">8</t>
    </r>
    <r>
      <rPr>
        <sz val="12"/>
        <color theme="1"/>
        <rFont val="WenQuanYi Zen Hei"/>
        <family val="2"/>
      </rPr>
      <t xml:space="preserve">年</t>
    </r>
    <r>
      <rPr>
        <sz val="12"/>
        <color theme="1"/>
        <rFont val="游ゴシック"/>
        <family val="3"/>
        <charset val="128"/>
      </rPr>
      <t xml:space="preserve">3</t>
    </r>
    <r>
      <rPr>
        <sz val="12"/>
        <color theme="1"/>
        <rFont val="WenQuanYi Zen Hei"/>
        <family val="2"/>
      </rPr>
      <t xml:space="preserve">月期）に基づく。株主名簿・株式の取得経緯は未受領（要確認）</t>
    </r>
  </si>
  <si>
    <t xml:space="preserve">代表者との関係</t>
  </si>
  <si>
    <t xml:space="preserve">業務範囲</t>
  </si>
  <si>
    <t xml:space="preserve">本人</t>
  </si>
  <si>
    <t xml:space="preserve">経営全般（要確認）</t>
  </si>
  <si>
    <t xml:space="preserve">登記簿上の役員構成は未受領。他の取締役・監査役の有無は要確認。譲渡後の関与意向は要ヒアリング</t>
  </si>
  <si>
    <t xml:space="preserve">基準日→適宜変更</t>
  </si>
  <si>
    <t xml:space="preserve">YYYY/MM/DD</t>
  </si>
  <si>
    <t xml:space="preserve">イニシャル</t>
  </si>
  <si>
    <t xml:space="preserve">雇用形態</t>
  </si>
  <si>
    <t xml:space="preserve">性別</t>
  </si>
  <si>
    <t xml:space="preserve">生年月日</t>
  </si>
  <si>
    <t xml:space="preserve">年齢
（歳）</t>
  </si>
  <si>
    <t xml:space="preserve">入社年月日</t>
  </si>
  <si>
    <t xml:space="preserve">勤続年数
（年）</t>
  </si>
  <si>
    <t xml:space="preserve">部署</t>
  </si>
  <si>
    <r>
      <rPr>
        <b val="true"/>
        <sz val="12"/>
        <color theme="0"/>
        <rFont val="游ゴシック"/>
        <family val="3"/>
        <charset val="128"/>
      </rPr>
      <t xml:space="preserve">2026</t>
    </r>
    <r>
      <rPr>
        <b val="true"/>
        <sz val="12"/>
        <color theme="0"/>
        <rFont val="WenQuanYi Zen Hei"/>
        <family val="2"/>
      </rPr>
      <t xml:space="preserve">年</t>
    </r>
    <r>
      <rPr>
        <b val="true"/>
        <sz val="12"/>
        <color theme="0"/>
        <rFont val="游ゴシック"/>
        <family val="3"/>
        <charset val="128"/>
      </rPr>
      <t xml:space="preserve">2</t>
    </r>
    <r>
      <rPr>
        <b val="true"/>
        <sz val="12"/>
        <color theme="0"/>
        <rFont val="WenQuanYi Zen Hei"/>
        <family val="2"/>
      </rPr>
      <t xml:space="preserve">月分給与
（振込支給＋交通費）</t>
    </r>
  </si>
  <si>
    <t xml:space="preserve">●年夏季賞与</t>
  </si>
  <si>
    <t xml:space="preserve">●年冬季賞与</t>
  </si>
  <si>
    <t xml:space="preserve">●年総支給額</t>
  </si>
  <si>
    <t xml:space="preserve">（個人別情報は未受領）</t>
  </si>
  <si>
    <t xml:space="preserve">月給制</t>
  </si>
  <si>
    <t xml:space="preserve">全社</t>
  </si>
  <si>
    <r>
      <rPr>
        <sz val="9"/>
        <color theme="1"/>
        <rFont val="WenQuanYi Zen Hei"/>
        <family val="2"/>
      </rPr>
      <t xml:space="preserve">月給者</t>
    </r>
    <r>
      <rPr>
        <sz val="9"/>
        <color theme="1"/>
        <rFont val="游ゴシック Medium"/>
        <family val="3"/>
        <charset val="128"/>
      </rPr>
      <t xml:space="preserve">6</t>
    </r>
    <r>
      <rPr>
        <sz val="9"/>
        <color theme="1"/>
        <rFont val="WenQuanYi Zen Hei"/>
        <family val="2"/>
      </rPr>
      <t xml:space="preserve">名。</t>
    </r>
    <r>
      <rPr>
        <sz val="9"/>
        <color theme="1"/>
        <rFont val="游ゴシック Medium"/>
        <family val="3"/>
        <charset val="128"/>
      </rPr>
      <t xml:space="preserve">2026</t>
    </r>
    <r>
      <rPr>
        <sz val="9"/>
        <color theme="1"/>
        <rFont val="WenQuanYi Zen Hei"/>
        <family val="2"/>
      </rPr>
      <t xml:space="preserve">年</t>
    </r>
    <r>
      <rPr>
        <sz val="9"/>
        <color theme="1"/>
        <rFont val="游ゴシック Medium"/>
        <family val="3"/>
        <charset val="128"/>
      </rPr>
      <t xml:space="preserve">2</t>
    </r>
    <r>
      <rPr>
        <sz val="9"/>
        <color theme="1"/>
        <rFont val="WenQuanYi Zen Hei"/>
        <family val="2"/>
      </rPr>
      <t xml:space="preserve">月分給与台帳より（氏名・年齢・勤続年数等は要確認）</t>
    </r>
  </si>
  <si>
    <t xml:space="preserve">時給制（パート・アルバイト）</t>
  </si>
  <si>
    <t xml:space="preserve">店舗</t>
  </si>
  <si>
    <r>
      <rPr>
        <sz val="9"/>
        <color theme="1"/>
        <rFont val="WenQuanYi Zen Hei"/>
        <family val="2"/>
      </rPr>
      <t xml:space="preserve">時給者約</t>
    </r>
    <r>
      <rPr>
        <sz val="9"/>
        <color theme="1"/>
        <rFont val="游ゴシック Medium"/>
        <family val="3"/>
        <charset val="128"/>
      </rPr>
      <t xml:space="preserve">30</t>
    </r>
    <r>
      <rPr>
        <sz val="9"/>
        <color theme="1"/>
        <rFont val="WenQuanYi Zen Hei"/>
        <family val="2"/>
      </rPr>
      <t xml:space="preserve">名（時給</t>
    </r>
    <r>
      <rPr>
        <sz val="9"/>
        <color theme="1"/>
        <rFont val="游ゴシック Medium"/>
        <family val="3"/>
        <charset val="128"/>
      </rPr>
      <t xml:space="preserve">1,225</t>
    </r>
    <r>
      <rPr>
        <sz val="9"/>
        <color theme="1"/>
        <rFont val="WenQuanYi Zen Hei"/>
        <family val="2"/>
      </rPr>
      <t xml:space="preserve">〜</t>
    </r>
    <r>
      <rPr>
        <sz val="9"/>
        <color theme="1"/>
        <rFont val="游ゴシック Medium"/>
        <family val="3"/>
        <charset val="128"/>
      </rPr>
      <t xml:space="preserve">1,350</t>
    </r>
    <r>
      <rPr>
        <sz val="9"/>
        <color theme="1"/>
        <rFont val="WenQuanYi Zen Hei"/>
        <family val="2"/>
      </rPr>
      <t xml:space="preserve">円の記載あり）。給与台帳より推計・要確認</t>
    </r>
  </si>
  <si>
    <r>
      <rPr>
        <sz val="9"/>
        <color theme="1"/>
        <rFont val="游ゴシック Medium"/>
        <family val="3"/>
        <charset val="128"/>
      </rPr>
      <t xml:space="preserve">2026</t>
    </r>
    <r>
      <rPr>
        <sz val="9"/>
        <color theme="1"/>
        <rFont val="WenQuanYi Zen Hei"/>
        <family val="2"/>
      </rPr>
      <t xml:space="preserve">年</t>
    </r>
    <r>
      <rPr>
        <sz val="9"/>
        <color theme="1"/>
        <rFont val="游ゴシック Medium"/>
        <family val="3"/>
        <charset val="128"/>
      </rPr>
      <t xml:space="preserve">2</t>
    </r>
    <r>
      <rPr>
        <sz val="9"/>
        <color theme="1"/>
        <rFont val="WenQuanYi Zen Hei"/>
        <family val="2"/>
      </rPr>
      <t xml:space="preserve">月分給与の振込支給合計</t>
    </r>
    <r>
      <rPr>
        <sz val="9"/>
        <color theme="1"/>
        <rFont val="游ゴシック Medium"/>
        <family val="3"/>
        <charset val="128"/>
      </rPr>
      <t xml:space="preserve">7,520,982</t>
    </r>
    <r>
      <rPr>
        <sz val="9"/>
        <color theme="1"/>
        <rFont val="WenQuanYi Zen Hei"/>
        <family val="2"/>
      </rPr>
      <t xml:space="preserve">円＋交通費</t>
    </r>
    <r>
      <rPr>
        <sz val="9"/>
        <color theme="1"/>
        <rFont val="游ゴシック Medium"/>
        <family val="3"/>
        <charset val="128"/>
      </rPr>
      <t xml:space="preserve">333,026</t>
    </r>
    <r>
      <rPr>
        <sz val="9"/>
        <color theme="1"/>
        <rFont val="WenQuanYi Zen Hei"/>
        <family val="2"/>
      </rPr>
      <t xml:space="preserve">円（賞与なし）</t>
    </r>
  </si>
  <si>
    <t xml:space="preserve">契約形態</t>
  </si>
  <si>
    <r>
      <rPr>
        <b val="true"/>
        <sz val="12"/>
        <color theme="0"/>
        <rFont val="WenQuanYi Zen Hei"/>
        <family val="2"/>
      </rPr>
      <t xml:space="preserve">延床面積
</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</si>
  <si>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r>
      <rPr>
        <b val="true"/>
        <sz val="12"/>
        <color theme="0"/>
        <rFont val="WenQuanYi Zen Hei"/>
        <family val="2"/>
      </rPr>
      <t xml:space="preserve">月間賃料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</si>
  <si>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r>
      <rPr>
        <b val="true"/>
        <sz val="12"/>
        <color theme="0"/>
        <rFont val="WenQuanYi Zen Hei"/>
        <family val="2"/>
      </rPr>
      <t xml:space="preserve">敷金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</si>
  <si>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t xml:space="preserve">アクセス</t>
  </si>
  <si>
    <r>
      <rPr>
        <sz val="12"/>
        <color theme="1"/>
        <rFont val="WenQuanYi Zen Hei"/>
        <family val="2"/>
      </rPr>
      <t xml:space="preserve">神奈川県鎌倉市鎌倉山三丁目</t>
    </r>
    <r>
      <rPr>
        <sz val="12"/>
        <color theme="1"/>
        <rFont val="游ゴシック"/>
        <family val="3"/>
        <charset val="128"/>
      </rPr>
      <t xml:space="preserve">2</t>
    </r>
    <r>
      <rPr>
        <sz val="12"/>
        <color theme="1"/>
        <rFont val="WenQuanYi Zen Hei"/>
        <family val="2"/>
      </rPr>
      <t xml:space="preserve">番</t>
    </r>
    <r>
      <rPr>
        <sz val="12"/>
        <color theme="1"/>
        <rFont val="游ゴシック"/>
        <family val="3"/>
        <charset val="128"/>
      </rPr>
      <t xml:space="preserve">31</t>
    </r>
    <r>
      <rPr>
        <sz val="12"/>
        <color theme="1"/>
        <rFont val="WenQuanYi Zen Hei"/>
        <family val="2"/>
      </rPr>
      <t xml:space="preserve">号
（本社・鎌倉山店「ル・ミリュウ」）</t>
    </r>
  </si>
  <si>
    <t xml:space="preserve">自己所有（土地・建物）</t>
  </si>
  <si>
    <r>
      <rPr>
        <sz val="12"/>
        <color theme="1"/>
        <rFont val="WenQuanYi Zen Hei"/>
        <family val="2"/>
      </rPr>
      <t xml:space="preserve">大船駅からバス（見晴バス停すぐ）※</t>
    </r>
    <r>
      <rPr>
        <sz val="12"/>
        <color theme="1"/>
        <rFont val="游ゴシック"/>
        <family val="3"/>
        <charset val="128"/>
      </rPr>
      <t xml:space="preserve">Web</t>
    </r>
    <r>
      <rPr>
        <sz val="12"/>
        <color theme="1"/>
        <rFont val="WenQuanYi Zen Hei"/>
        <family val="2"/>
      </rPr>
      <t xml:space="preserve">情報・要確認</t>
    </r>
  </si>
  <si>
    <t xml:space="preserve">紀尾井町店（東京都千代田区）※所在地の詳細は要確認</t>
  </si>
  <si>
    <t xml:space="preserve">賃借（契約書未受領）</t>
  </si>
  <si>
    <t xml:space="preserve">大船店（神奈川県鎌倉市）※所在地の詳細は要確認</t>
  </si>
  <si>
    <t xml:space="preserve">時価は未評価（簿価評価）</t>
  </si>
  <si>
    <t xml:space="preserve">事業所名</t>
  </si>
  <si>
    <t xml:space="preserve">所在地
地番・家屋番号</t>
  </si>
  <si>
    <r>
      <rPr>
        <b val="true"/>
        <sz val="12"/>
        <color theme="0"/>
        <rFont val="WenQuanYi Zen Hei"/>
        <family val="2"/>
      </rPr>
      <t xml:space="preserve">面積
</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</si>
  <si>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t xml:space="preserve">区分
・構造</t>
  </si>
  <si>
    <t xml:space="preserve">所有（建築）
年月・事由</t>
  </si>
  <si>
    <r>
      <rPr>
        <b val="true"/>
        <sz val="12"/>
        <color theme="0"/>
        <rFont val="WenQuanYi Zen Hei"/>
        <family val="2"/>
      </rPr>
      <t xml:space="preserve">前期末簿価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</si>
  <si>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t xml:space="preserve">時価</t>
  </si>
  <si>
    <t xml:space="preserve">固定資産税
評価額</t>
  </si>
  <si>
    <t xml:space="preserve">本社・鎌倉山店</t>
  </si>
  <si>
    <t xml:space="preserve">土地）店舗敷地ほか</t>
  </si>
  <si>
    <r>
      <rPr>
        <sz val="12"/>
        <color theme="1"/>
        <rFont val="WenQuanYi Zen Hei"/>
        <family val="2"/>
      </rPr>
      <t xml:space="preserve">鎌倉市鎌倉山三丁目</t>
    </r>
    <r>
      <rPr>
        <sz val="12"/>
        <color theme="1"/>
        <rFont val="游ゴシック"/>
        <family val="3"/>
        <charset val="128"/>
      </rPr>
      <t xml:space="preserve">2</t>
    </r>
    <r>
      <rPr>
        <sz val="12"/>
        <color theme="1"/>
        <rFont val="WenQuanYi Zen Hei"/>
        <family val="2"/>
      </rPr>
      <t xml:space="preserve">番</t>
    </r>
    <r>
      <rPr>
        <sz val="12"/>
        <color theme="1"/>
        <rFont val="游ゴシック"/>
        <family val="3"/>
        <charset val="128"/>
      </rPr>
      <t xml:space="preserve">31</t>
    </r>
    <r>
      <rPr>
        <sz val="12"/>
        <color theme="1"/>
        <rFont val="WenQuanYi Zen Hei"/>
        <family val="2"/>
      </rPr>
      <t xml:space="preserve">（地番詳細は要確認）</t>
    </r>
  </si>
  <si>
    <t xml:space="preserve">宅地（要確認）</t>
  </si>
  <si>
    <r>
      <rPr>
        <sz val="12"/>
        <color theme="1"/>
        <rFont val="WenQuanYi Zen Hei"/>
        <family val="2"/>
      </rPr>
      <t xml:space="preserve">平成</t>
    </r>
    <r>
      <rPr>
        <sz val="12"/>
        <color theme="1"/>
        <rFont val="游ゴシック"/>
        <family val="3"/>
        <charset val="128"/>
      </rPr>
      <t xml:space="preserve">22</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月頃 取得（建物は平成</t>
    </r>
    <r>
      <rPr>
        <sz val="12"/>
        <color theme="1"/>
        <rFont val="游ゴシック"/>
        <family val="3"/>
        <charset val="128"/>
      </rPr>
      <t xml:space="preserve">22</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t>
    </r>
    <r>
      <rPr>
        <sz val="12"/>
        <color theme="1"/>
        <rFont val="游ゴシック"/>
        <family val="3"/>
        <charset val="128"/>
      </rPr>
      <t xml:space="preserve">21</t>
    </r>
    <r>
      <rPr>
        <sz val="12"/>
        <color theme="1"/>
        <rFont val="WenQuanYi Zen Hei"/>
        <family val="2"/>
      </rPr>
      <t xml:space="preserve">日取得）</t>
    </r>
  </si>
  <si>
    <r>
      <rPr>
        <sz val="9"/>
        <color theme="1"/>
        <rFont val="WenQuanYi Zen Hei"/>
        <family val="2"/>
      </rPr>
      <t xml:space="preserve">簿価評価。登記事項証明書・固定資産税評価証明書・路線価が未受領のため時価評価未実施。うち約</t>
    </r>
    <r>
      <rPr>
        <sz val="9"/>
        <color theme="1"/>
        <rFont val="游ゴシック"/>
        <family val="3"/>
        <charset val="128"/>
      </rPr>
      <t xml:space="preserve">87,420</t>
    </r>
    <r>
      <rPr>
        <sz val="9"/>
        <color theme="1"/>
        <rFont val="WenQuanYi Zen Hei"/>
        <family val="2"/>
      </rPr>
      <t xml:space="preserve">千円は「鎌倉山三丁目計画」に係る建設仮勘定からの振替額（内容要確認）</t>
    </r>
  </si>
  <si>
    <t xml:space="preserve">建物）店舗（鎌倉店舗）</t>
  </si>
  <si>
    <t xml:space="preserve">店舗（構造は要確認）</t>
  </si>
  <si>
    <r>
      <rPr>
        <sz val="12"/>
        <color theme="1"/>
        <rFont val="WenQuanYi Zen Hei"/>
        <family val="2"/>
      </rPr>
      <t xml:space="preserve">平成</t>
    </r>
    <r>
      <rPr>
        <sz val="12"/>
        <color theme="1"/>
        <rFont val="游ゴシック"/>
        <family val="3"/>
        <charset val="128"/>
      </rPr>
      <t xml:space="preserve">22</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t>
    </r>
    <r>
      <rPr>
        <sz val="12"/>
        <color theme="1"/>
        <rFont val="游ゴシック"/>
        <family val="3"/>
        <charset val="128"/>
      </rPr>
      <t xml:space="preserve">21</t>
    </r>
    <r>
      <rPr>
        <sz val="12"/>
        <color theme="1"/>
        <rFont val="WenQuanYi Zen Hei"/>
        <family val="2"/>
      </rPr>
      <t xml:space="preserve">日取得</t>
    </r>
  </si>
  <si>
    <t xml:space="preserve">簿価評価（償却不足なし）。固定資産台帳より</t>
  </si>
  <si>
    <t xml:space="preserve">建物）螺旋階段ほか</t>
  </si>
  <si>
    <r>
      <rPr>
        <sz val="12"/>
        <color theme="1"/>
        <rFont val="WenQuanYi Zen Hei"/>
        <family val="2"/>
      </rPr>
      <t xml:space="preserve">平成</t>
    </r>
    <r>
      <rPr>
        <sz val="12"/>
        <color theme="1"/>
        <rFont val="游ゴシック"/>
        <family val="3"/>
        <charset val="128"/>
      </rPr>
      <t xml:space="preserve">30</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月取得</t>
    </r>
  </si>
  <si>
    <t xml:space="preserve">簿価評価。固定資産台帳より</t>
  </si>
  <si>
    <t xml:space="preserve">大船</t>
  </si>
  <si>
    <t xml:space="preserve">建物）ブランズタワー大船（専有部分）</t>
  </si>
  <si>
    <t xml:space="preserve">神奈川県鎌倉市大船（住戸・地番は要確認）</t>
  </si>
  <si>
    <r>
      <rPr>
        <sz val="12"/>
        <color theme="1"/>
        <rFont val="WenQuanYi Zen Hei"/>
        <family val="2"/>
      </rPr>
      <t xml:space="preserve">令和</t>
    </r>
    <r>
      <rPr>
        <sz val="12"/>
        <color theme="1"/>
        <rFont val="游ゴシック"/>
        <family val="3"/>
        <charset val="128"/>
      </rPr>
      <t xml:space="preserve">3</t>
    </r>
    <r>
      <rPr>
        <sz val="12"/>
        <color theme="1"/>
        <rFont val="WenQuanYi Zen Hei"/>
        <family val="2"/>
      </rPr>
      <t xml:space="preserve">年</t>
    </r>
    <r>
      <rPr>
        <sz val="12"/>
        <color theme="1"/>
        <rFont val="游ゴシック"/>
        <family val="3"/>
        <charset val="128"/>
      </rPr>
      <t xml:space="preserve">3</t>
    </r>
    <r>
      <rPr>
        <sz val="12"/>
        <color theme="1"/>
        <rFont val="WenQuanYi Zen Hei"/>
        <family val="2"/>
      </rPr>
      <t xml:space="preserve">月</t>
    </r>
    <r>
      <rPr>
        <sz val="12"/>
        <color theme="1"/>
        <rFont val="游ゴシック"/>
        <family val="3"/>
        <charset val="128"/>
      </rPr>
      <t xml:space="preserve">22</t>
    </r>
    <r>
      <rPr>
        <sz val="12"/>
        <color theme="1"/>
        <rFont val="WenQuanYi Zen Hei"/>
        <family val="2"/>
      </rPr>
      <t xml:space="preserve">日取得</t>
    </r>
  </si>
  <si>
    <t xml:space="preserve">簿価評価。大船店との関係（店舗利用か投資用か）は要確認</t>
  </si>
  <si>
    <t xml:space="preserve">契約内容</t>
  </si>
  <si>
    <t xml:space="preserve">貸主</t>
  </si>
  <si>
    <t xml:space="preserve">建物）店舗</t>
  </si>
  <si>
    <t xml:space="preserve">東京都千代田区紀尾井町（番地は要確認）</t>
  </si>
  <si>
    <t xml:space="preserve">賃貸借契約書未受領</t>
  </si>
  <si>
    <r>
      <rPr>
        <sz val="9"/>
        <color theme="1"/>
        <rFont val="WenQuanYi Zen Hei"/>
        <family val="2"/>
      </rPr>
      <t xml:space="preserve">地代家賃（令和</t>
    </r>
    <r>
      <rPr>
        <sz val="9"/>
        <color theme="1"/>
        <rFont val="游ゴシック"/>
        <family val="3"/>
        <charset val="128"/>
      </rPr>
      <t xml:space="preserve">8</t>
    </r>
    <r>
      <rPr>
        <sz val="9"/>
        <color theme="1"/>
        <rFont val="WenQuanYi Zen Hei"/>
        <family val="2"/>
      </rPr>
      <t xml:space="preserve">年</t>
    </r>
    <r>
      <rPr>
        <sz val="9"/>
        <color theme="1"/>
        <rFont val="游ゴシック"/>
        <family val="3"/>
        <charset val="128"/>
      </rPr>
      <t xml:space="preserve">3</t>
    </r>
    <r>
      <rPr>
        <sz val="9"/>
        <color theme="1"/>
        <rFont val="WenQuanYi Zen Hei"/>
        <family val="2"/>
      </rPr>
      <t xml:space="preserve">月期）年</t>
    </r>
    <r>
      <rPr>
        <sz val="9"/>
        <color theme="1"/>
        <rFont val="游ゴシック"/>
        <family val="3"/>
        <charset val="128"/>
      </rPr>
      <t xml:space="preserve">11,775</t>
    </r>
    <r>
      <rPr>
        <sz val="9"/>
        <color theme="1"/>
        <rFont val="WenQuanYi Zen Hei"/>
        <family val="2"/>
      </rPr>
      <t xml:space="preserve">千円の</t>
    </r>
    <r>
      <rPr>
        <sz val="9"/>
        <color theme="1"/>
        <rFont val="游ゴシック"/>
        <family val="3"/>
        <charset val="128"/>
      </rPr>
      <t xml:space="preserve">12</t>
    </r>
    <r>
      <rPr>
        <sz val="9"/>
        <color theme="1"/>
        <rFont val="WenQuanYi Zen Hei"/>
        <family val="2"/>
      </rPr>
      <t xml:space="preserve">分の</t>
    </r>
    <r>
      <rPr>
        <sz val="9"/>
        <color theme="1"/>
        <rFont val="游ゴシック"/>
        <family val="3"/>
        <charset val="128"/>
      </rPr>
      <t xml:space="preserve">1</t>
    </r>
  </si>
  <si>
    <t xml:space="preserve">神奈川県鎌倉市大船（番地は要確認）</t>
  </si>
  <si>
    <t xml:space="preserve">三越伊勢丹（支払先）</t>
  </si>
  <si>
    <r>
      <rPr>
        <sz val="9"/>
        <color theme="1"/>
        <rFont val="WenQuanYi Zen Hei"/>
        <family val="2"/>
      </rPr>
      <t xml:space="preserve">地代家賃年</t>
    </r>
    <r>
      <rPr>
        <sz val="9"/>
        <color theme="1"/>
        <rFont val="游ゴシック"/>
        <family val="3"/>
        <charset val="128"/>
      </rPr>
      <t xml:space="preserve">7,377</t>
    </r>
    <r>
      <rPr>
        <sz val="9"/>
        <color theme="1"/>
        <rFont val="WenQuanYi Zen Hei"/>
        <family val="2"/>
      </rPr>
      <t xml:space="preserve">千円の</t>
    </r>
    <r>
      <rPr>
        <sz val="9"/>
        <color theme="1"/>
        <rFont val="游ゴシック"/>
        <family val="3"/>
        <charset val="128"/>
      </rPr>
      <t xml:space="preserve">12</t>
    </r>
    <r>
      <rPr>
        <sz val="9"/>
        <color theme="1"/>
        <rFont val="WenQuanYi Zen Hei"/>
        <family val="2"/>
      </rPr>
      <t xml:space="preserve">分の</t>
    </r>
    <r>
      <rPr>
        <sz val="9"/>
        <color theme="1"/>
        <rFont val="游ゴシック"/>
        <family val="3"/>
        <charset val="128"/>
      </rPr>
      <t xml:space="preserve">1</t>
    </r>
    <r>
      <rPr>
        <sz val="9"/>
        <color theme="1"/>
        <rFont val="WenQuanYi Zen Hei"/>
        <family val="2"/>
      </rPr>
      <t xml:space="preserve">。百貨店精算を伴う</t>
    </r>
  </si>
  <si>
    <t xml:space="preserve">社宅等</t>
  </si>
  <si>
    <t xml:space="preserve">建物）住居</t>
  </si>
  <si>
    <r>
      <rPr>
        <sz val="12"/>
        <color theme="1"/>
        <rFont val="WenQuanYi Zen Hei"/>
        <family val="2"/>
      </rPr>
      <t xml:space="preserve">第</t>
    </r>
    <r>
      <rPr>
        <sz val="12"/>
        <color theme="1"/>
        <rFont val="游ゴシック"/>
        <family val="3"/>
        <charset val="128"/>
      </rPr>
      <t xml:space="preserve">15</t>
    </r>
    <r>
      <rPr>
        <sz val="12"/>
        <color theme="1"/>
        <rFont val="WenQuanYi Zen Hei"/>
        <family val="2"/>
      </rPr>
      <t xml:space="preserve">宮庭マンション（所在地は要確認）</t>
    </r>
  </si>
  <si>
    <t xml:space="preserve">株式会社トシ建設</t>
  </si>
  <si>
    <r>
      <rPr>
        <sz val="9"/>
        <color theme="1"/>
        <rFont val="WenQuanYi Zen Hei"/>
        <family val="2"/>
      </rPr>
      <t xml:space="preserve">年</t>
    </r>
    <r>
      <rPr>
        <sz val="9"/>
        <color theme="1"/>
        <rFont val="游ゴシック"/>
        <family val="3"/>
        <charset val="128"/>
      </rPr>
      <t xml:space="preserve">1,560</t>
    </r>
    <r>
      <rPr>
        <sz val="9"/>
        <color theme="1"/>
        <rFont val="WenQuanYi Zen Hei"/>
        <family val="2"/>
      </rPr>
      <t xml:space="preserve">千円。従業員・役員の住居か要確認</t>
    </r>
  </si>
  <si>
    <t xml:space="preserve">事務所</t>
  </si>
  <si>
    <t xml:space="preserve">建物）事務所</t>
  </si>
  <si>
    <t xml:space="preserve">東京都（所在地は要確認）</t>
  </si>
  <si>
    <t xml:space="preserve">シーブス</t>
  </si>
  <si>
    <r>
      <rPr>
        <sz val="9"/>
        <color theme="1"/>
        <rFont val="WenQuanYi Zen Hei"/>
        <family val="2"/>
      </rPr>
      <t xml:space="preserve">年</t>
    </r>
    <r>
      <rPr>
        <sz val="9"/>
        <color theme="1"/>
        <rFont val="游ゴシック"/>
        <family val="3"/>
        <charset val="128"/>
      </rPr>
      <t xml:space="preserve">640</t>
    </r>
    <r>
      <rPr>
        <sz val="9"/>
        <color theme="1"/>
        <rFont val="WenQuanYi Zen Hei"/>
        <family val="2"/>
      </rPr>
      <t xml:space="preserve">千円</t>
    </r>
  </si>
  <si>
    <t xml:space="preserve">駐車場</t>
  </si>
  <si>
    <t xml:space="preserve">土地）駐車場</t>
  </si>
  <si>
    <t xml:space="preserve">中瀬（所在地は要確認）</t>
  </si>
  <si>
    <t xml:space="preserve">有限会社野村不動産（中瀬）</t>
  </si>
  <si>
    <r>
      <rPr>
        <sz val="9"/>
        <color theme="1"/>
        <rFont val="WenQuanYi Zen Hei"/>
        <family val="2"/>
      </rPr>
      <t xml:space="preserve">年</t>
    </r>
    <r>
      <rPr>
        <sz val="9"/>
        <color theme="1"/>
        <rFont val="游ゴシック"/>
        <family val="3"/>
        <charset val="128"/>
      </rPr>
      <t xml:space="preserve">336</t>
    </r>
    <r>
      <rPr>
        <sz val="9"/>
        <color theme="1"/>
        <rFont val="WenQuanYi Zen Hei"/>
        <family val="2"/>
      </rPr>
      <t xml:space="preserve">千円</t>
    </r>
  </si>
  <si>
    <t xml:space="preserve">資産名</t>
  </si>
  <si>
    <t xml:space="preserve">償却方法</t>
  </si>
  <si>
    <t xml:space="preserve">取得年</t>
  </si>
  <si>
    <t xml:space="preserve">取得月</t>
  </si>
  <si>
    <t xml:space="preserve">耐用年数</t>
  </si>
  <si>
    <t xml:space="preserve">取得原価</t>
  </si>
  <si>
    <t xml:space="preserve">期末帳簿価額</t>
  </si>
  <si>
    <t xml:space="preserve">文字</t>
  </si>
  <si>
    <t xml:space="preserve">ブランズタワー大船</t>
  </si>
  <si>
    <t xml:space="preserve">定額</t>
  </si>
  <si>
    <t xml:space="preserve">鎌倉店舗</t>
  </si>
  <si>
    <t xml:space="preserve">鎌倉山店 螺旋階段</t>
  </si>
  <si>
    <t xml:space="preserve">鎌倉山店 螺旋階段（新設）</t>
  </si>
  <si>
    <r>
      <rPr>
        <sz val="12"/>
        <color theme="1"/>
        <rFont val="WenQuanYi Zen Hei"/>
        <family val="2"/>
      </rPr>
      <t xml:space="preserve">大船店 </t>
    </r>
    <r>
      <rPr>
        <sz val="12"/>
        <color theme="1"/>
        <rFont val="游ゴシック"/>
        <family val="3"/>
        <charset val="128"/>
      </rPr>
      <t xml:space="preserve">B</t>
    </r>
    <r>
      <rPr>
        <sz val="12"/>
        <color theme="1"/>
        <rFont val="WenQuanYi Zen Hei"/>
        <family val="2"/>
      </rPr>
      <t xml:space="preserve">工事</t>
    </r>
  </si>
  <si>
    <t xml:space="preserve">ルミリュウ大船 内装工事</t>
  </si>
  <si>
    <t xml:space="preserve">天井照明工事</t>
  </si>
  <si>
    <t xml:space="preserve">紀尾井町店 空調設備工事</t>
  </si>
  <si>
    <t xml:space="preserve">鎌倉店 給排水設備</t>
  </si>
  <si>
    <t xml:space="preserve">定率</t>
  </si>
  <si>
    <t xml:space="preserve">紀尾井町店 給排水設備工事</t>
  </si>
  <si>
    <t xml:space="preserve">紀尾井町店 電気設備工事</t>
  </si>
  <si>
    <t xml:space="preserve">MINI F65S</t>
  </si>
  <si>
    <r>
      <rPr>
        <sz val="12"/>
        <color theme="1"/>
        <rFont val="WenQuanYi Zen Hei"/>
        <family val="2"/>
      </rPr>
      <t xml:space="preserve">垂直リフト（令和</t>
    </r>
    <r>
      <rPr>
        <sz val="12"/>
        <color theme="1"/>
        <rFont val="游ゴシック"/>
        <family val="3"/>
        <charset val="128"/>
      </rPr>
      <t xml:space="preserve">6</t>
    </r>
    <r>
      <rPr>
        <sz val="12"/>
        <color theme="1"/>
        <rFont val="WenQuanYi Zen Hei"/>
        <family val="2"/>
      </rPr>
      <t xml:space="preserve">年</t>
    </r>
    <r>
      <rPr>
        <sz val="12"/>
        <color theme="1"/>
        <rFont val="游ゴシック"/>
        <family val="3"/>
        <charset val="128"/>
      </rPr>
      <t xml:space="preserve">10</t>
    </r>
    <r>
      <rPr>
        <sz val="12"/>
        <color theme="1"/>
        <rFont val="WenQuanYi Zen Hei"/>
        <family val="2"/>
      </rPr>
      <t xml:space="preserve">月取得・</t>
    </r>
    <r>
      <rPr>
        <sz val="12"/>
        <color theme="1"/>
        <rFont val="游ゴシック"/>
        <family val="3"/>
        <charset val="128"/>
      </rPr>
      <t xml:space="preserve">2</t>
    </r>
    <r>
      <rPr>
        <sz val="12"/>
        <color theme="1"/>
        <rFont val="WenQuanYi Zen Hei"/>
        <family val="2"/>
      </rPr>
      <t xml:space="preserve">台）</t>
    </r>
  </si>
  <si>
    <t xml:space="preserve">看板</t>
  </si>
  <si>
    <t xml:space="preserve">物置</t>
  </si>
  <si>
    <t xml:space="preserve">棚什器・冷蔵庫・ワゴン 他</t>
  </si>
  <si>
    <r>
      <rPr>
        <sz val="12"/>
        <color theme="1"/>
        <rFont val="WenQuanYi Zen Hei"/>
        <family val="2"/>
      </rPr>
      <t xml:space="preserve">その他（償却済・備忘価額</t>
    </r>
    <r>
      <rPr>
        <sz val="12"/>
        <color theme="1"/>
        <rFont val="游ゴシック"/>
        <family val="3"/>
        <charset val="128"/>
      </rPr>
      <t xml:space="preserve">1</t>
    </r>
    <r>
      <rPr>
        <sz val="12"/>
        <color theme="1"/>
        <rFont val="WenQuanYi Zen Hei"/>
        <family val="2"/>
      </rPr>
      <t xml:space="preserve">円）</t>
    </r>
  </si>
  <si>
    <t xml:space="preserve">建物付属設備・器具備品の償却済資産</t>
  </si>
  <si>
    <r>
      <rPr>
        <b val="true"/>
        <sz val="12"/>
        <color rgb="FFFF0000"/>
        <rFont val="游ゴシック"/>
        <family val="3"/>
        <charset val="128"/>
      </rPr>
      <t xml:space="preserve">IM</t>
    </r>
    <r>
      <rPr>
        <b val="true"/>
        <sz val="12"/>
        <color rgb="FFFF0000"/>
        <rFont val="WenQuanYi Zen Hei"/>
        <family val="2"/>
      </rPr>
      <t xml:space="preserve">の財務詳細ページのデータは財務入力のシートから流用してください</t>
    </r>
  </si>
  <si>
    <t xml:space="preserve">【要確認事項（案件固有）】</t>
  </si>
  <si>
    <r>
      <rPr>
        <sz val="11"/>
        <color theme="1"/>
        <rFont val="游ゴシック Medium"/>
        <family val="2"/>
        <charset val="128"/>
      </rPr>
      <t xml:space="preserve">1. </t>
    </r>
    <r>
      <rPr>
        <sz val="11"/>
        <color theme="1"/>
        <rFont val="WenQuanYi Zen Hei"/>
        <family val="2"/>
      </rPr>
      <t xml:space="preserve">設立年月・登記事項（商号履歴、役員構成、事業目的、本店移転履歴）：登記事項証明書未受領</t>
    </r>
  </si>
  <si>
    <r>
      <rPr>
        <sz val="11"/>
        <color theme="1"/>
        <rFont val="游ゴシック Medium"/>
        <family val="2"/>
        <charset val="128"/>
      </rPr>
      <t xml:space="preserve">2. </t>
    </r>
    <r>
      <rPr>
        <sz val="11"/>
        <color theme="1"/>
        <rFont val="WenQuanYi Zen Hei"/>
        <family val="2"/>
      </rPr>
      <t xml:space="preserve">株主構成：法人税申告書 別表二では西丸 修</t>
    </r>
    <r>
      <rPr>
        <sz val="11"/>
        <color theme="1"/>
        <rFont val="游ゴシック Medium"/>
        <family val="2"/>
        <charset val="128"/>
      </rPr>
      <t xml:space="preserve">100%</t>
    </r>
    <r>
      <rPr>
        <sz val="11"/>
        <color theme="1"/>
        <rFont val="WenQuanYi Zen Hei"/>
        <family val="2"/>
      </rPr>
      <t xml:space="preserve">。株主名簿・過去の株式異動の確認</t>
    </r>
  </si>
  <si>
    <r>
      <rPr>
        <sz val="11"/>
        <color theme="1"/>
        <rFont val="游ゴシック Medium"/>
        <family val="2"/>
        <charset val="128"/>
      </rPr>
      <t xml:space="preserve">3. </t>
    </r>
    <r>
      <rPr>
        <sz val="11"/>
        <color theme="1"/>
        <rFont val="WenQuanYi Zen Hei"/>
        <family val="2"/>
      </rPr>
      <t xml:space="preserve">事業内容・屋号・店舗網：</t>
    </r>
    <r>
      <rPr>
        <sz val="11"/>
        <color theme="1"/>
        <rFont val="游ゴシック Medium"/>
        <family val="2"/>
        <charset val="128"/>
      </rPr>
      <t xml:space="preserve">Web</t>
    </r>
    <r>
      <rPr>
        <sz val="11"/>
        <color theme="1"/>
        <rFont val="WenQuanYi Zen Hei"/>
        <family val="2"/>
      </rPr>
      <t xml:space="preserve">情報では「ル・ミリュウ鎌倉山」「ラ・プレシューズ（四ツ谷・紀尾井町）」。大船店「ルミリュウ大船」と合わせた現行店舗網の確認。法人税申告書上の事業種目は「不動産賃貸業」</t>
    </r>
  </si>
  <si>
    <r>
      <rPr>
        <sz val="11"/>
        <color theme="1"/>
        <rFont val="游ゴシック Medium"/>
        <family val="2"/>
        <charset val="128"/>
      </rPr>
      <t xml:space="preserve">4. </t>
    </r>
    <r>
      <rPr>
        <sz val="11"/>
        <color theme="1"/>
        <rFont val="WenQuanYi Zen Hei"/>
        <family val="2"/>
      </rPr>
      <t xml:space="preserve">令和</t>
    </r>
    <r>
      <rPr>
        <sz val="11"/>
        <color theme="1"/>
        <rFont val="游ゴシック Medium"/>
        <family val="2"/>
        <charset val="128"/>
      </rPr>
      <t xml:space="preserve">7</t>
    </r>
    <r>
      <rPr>
        <sz val="11"/>
        <color theme="1"/>
        <rFont val="WenQuanYi Zen Hei"/>
        <family val="2"/>
      </rPr>
      <t xml:space="preserve">年</t>
    </r>
    <r>
      <rPr>
        <sz val="11"/>
        <color theme="1"/>
        <rFont val="游ゴシック Medium"/>
        <family val="2"/>
        <charset val="128"/>
      </rPr>
      <t xml:space="preserve">3</t>
    </r>
    <r>
      <rPr>
        <sz val="11"/>
        <color theme="1"/>
        <rFont val="WenQuanYi Zen Hei"/>
        <family val="2"/>
      </rPr>
      <t xml:space="preserve">月期の不動産売却（松濤フラッツ・売却額</t>
    </r>
    <r>
      <rPr>
        <sz val="11"/>
        <color theme="1"/>
        <rFont val="游ゴシック Medium"/>
        <family val="2"/>
        <charset val="128"/>
      </rPr>
      <t xml:space="preserve">869,200</t>
    </r>
    <r>
      <rPr>
        <sz val="11"/>
        <color theme="1"/>
        <rFont val="WenQuanYi Zen Hei"/>
        <family val="2"/>
      </rPr>
      <t xml:space="preserve">千円・買主㈱日本財託）：取得経緯、売却益、紹介手数料等（計</t>
    </r>
    <r>
      <rPr>
        <sz val="11"/>
        <color theme="1"/>
        <rFont val="游ゴシック Medium"/>
        <family val="2"/>
        <charset val="128"/>
      </rPr>
      <t xml:space="preserve">48,960</t>
    </r>
    <r>
      <rPr>
        <sz val="11"/>
        <color theme="1"/>
        <rFont val="WenQuanYi Zen Hei"/>
        <family val="2"/>
      </rPr>
      <t xml:space="preserve">千円）、コンサルティング費用（</t>
    </r>
    <r>
      <rPr>
        <sz val="11"/>
        <color theme="1"/>
        <rFont val="游ゴシック Medium"/>
        <family val="2"/>
        <charset val="128"/>
      </rPr>
      <t xml:space="preserve">15,096</t>
    </r>
    <r>
      <rPr>
        <sz val="11"/>
        <color theme="1"/>
        <rFont val="WenQuanYi Zen Hei"/>
        <family val="2"/>
      </rPr>
      <t xml:space="preserve">千円）、㈱アールエイジへの支払</t>
    </r>
    <r>
      <rPr>
        <sz val="11"/>
        <color theme="1"/>
        <rFont val="游ゴシック Medium"/>
        <family val="2"/>
        <charset val="128"/>
      </rPr>
      <t xml:space="preserve">29,000</t>
    </r>
    <r>
      <rPr>
        <sz val="11"/>
        <color theme="1"/>
        <rFont val="WenQuanYi Zen Hei"/>
        <family val="2"/>
      </rPr>
      <t xml:space="preserve">千円の内容。令和</t>
    </r>
    <r>
      <rPr>
        <sz val="11"/>
        <color theme="1"/>
        <rFont val="游ゴシック Medium"/>
        <family val="2"/>
        <charset val="128"/>
      </rPr>
      <t xml:space="preserve">7</t>
    </r>
    <r>
      <rPr>
        <sz val="11"/>
        <color theme="1"/>
        <rFont val="WenQuanYi Zen Hei"/>
        <family val="2"/>
      </rPr>
      <t xml:space="preserve">年</t>
    </r>
    <r>
      <rPr>
        <sz val="11"/>
        <color theme="1"/>
        <rFont val="游ゴシック Medium"/>
        <family val="2"/>
        <charset val="128"/>
      </rPr>
      <t xml:space="preserve">3</t>
    </r>
    <r>
      <rPr>
        <sz val="11"/>
        <color theme="1"/>
        <rFont val="WenQuanYi Zen Hei"/>
        <family val="2"/>
      </rPr>
      <t xml:space="preserve">月末の売掛金</t>
    </r>
    <r>
      <rPr>
        <sz val="11"/>
        <color theme="1"/>
        <rFont val="游ゴシック Medium"/>
        <family val="2"/>
        <charset val="128"/>
      </rPr>
      <t xml:space="preserve">841</t>
    </r>
    <r>
      <rPr>
        <sz val="11"/>
        <color theme="1"/>
        <rFont val="WenQuanYi Zen Hei"/>
        <family val="2"/>
      </rPr>
      <t xml:space="preserve">百万円の回収状況</t>
    </r>
  </si>
  <si>
    <r>
      <rPr>
        <sz val="11"/>
        <color theme="1"/>
        <rFont val="游ゴシック Medium"/>
        <family val="2"/>
        <charset val="128"/>
      </rPr>
      <t xml:space="preserve">5. </t>
    </r>
    <r>
      <rPr>
        <sz val="11"/>
        <color theme="1"/>
        <rFont val="WenQuanYi Zen Hei"/>
        <family val="2"/>
      </rPr>
      <t xml:space="preserve">令和</t>
    </r>
    <r>
      <rPr>
        <sz val="11"/>
        <color theme="1"/>
        <rFont val="游ゴシック Medium"/>
        <family val="2"/>
        <charset val="128"/>
      </rPr>
      <t xml:space="preserve">8</t>
    </r>
    <r>
      <rPr>
        <sz val="11"/>
        <color theme="1"/>
        <rFont val="WenQuanYi Zen Hei"/>
        <family val="2"/>
      </rPr>
      <t xml:space="preserve">年</t>
    </r>
    <r>
      <rPr>
        <sz val="11"/>
        <color theme="1"/>
        <rFont val="游ゴシック Medium"/>
        <family val="2"/>
        <charset val="128"/>
      </rPr>
      <t xml:space="preserve">3</t>
    </r>
    <r>
      <rPr>
        <sz val="11"/>
        <color theme="1"/>
        <rFont val="WenQuanYi Zen Hei"/>
        <family val="2"/>
      </rPr>
      <t xml:space="preserve">月期のコンサル収入</t>
    </r>
    <r>
      <rPr>
        <sz val="11"/>
        <color theme="1"/>
        <rFont val="游ゴシック Medium"/>
        <family val="2"/>
        <charset val="128"/>
      </rPr>
      <t xml:space="preserve">14,000</t>
    </r>
    <r>
      <rPr>
        <sz val="11"/>
        <color theme="1"/>
        <rFont val="WenQuanYi Zen Hei"/>
        <family val="2"/>
      </rPr>
      <t xml:space="preserve">千円（売掛金</t>
    </r>
    <r>
      <rPr>
        <sz val="11"/>
        <color theme="1"/>
        <rFont val="游ゴシック Medium"/>
        <family val="2"/>
        <charset val="128"/>
      </rPr>
      <t xml:space="preserve">15,400</t>
    </r>
    <r>
      <rPr>
        <sz val="11"/>
        <color theme="1"/>
        <rFont val="WenQuanYi Zen Hei"/>
        <family val="2"/>
      </rPr>
      <t xml:space="preserve">千円）および前渡金</t>
    </r>
    <r>
      <rPr>
        <sz val="11"/>
        <color theme="1"/>
        <rFont val="游ゴシック Medium"/>
        <family val="2"/>
        <charset val="128"/>
      </rPr>
      <t xml:space="preserve">18,508</t>
    </r>
    <r>
      <rPr>
        <sz val="11"/>
        <color theme="1"/>
        <rFont val="WenQuanYi Zen Hei"/>
        <family val="2"/>
      </rPr>
      <t xml:space="preserve">千円（コンサル紹介費用）の相手先・契約内容・回収可能性・返金可否</t>
    </r>
  </si>
  <si>
    <r>
      <rPr>
        <sz val="11"/>
        <color theme="1"/>
        <rFont val="游ゴシック Medium"/>
        <family val="2"/>
        <charset val="128"/>
      </rPr>
      <t xml:space="preserve">6. </t>
    </r>
    <r>
      <rPr>
        <sz val="11"/>
        <color theme="1"/>
        <rFont val="WenQuanYi Zen Hei"/>
        <family val="2"/>
      </rPr>
      <t xml:space="preserve">過年度法人税等</t>
    </r>
    <r>
      <rPr>
        <sz val="11"/>
        <color theme="1"/>
        <rFont val="游ゴシック Medium"/>
        <family val="2"/>
        <charset val="128"/>
      </rPr>
      <t xml:space="preserve">48,375</t>
    </r>
    <r>
      <rPr>
        <sz val="11"/>
        <color theme="1"/>
        <rFont val="WenQuanYi Zen Hei"/>
        <family val="2"/>
      </rPr>
      <t xml:space="preserve">千円（令和</t>
    </r>
    <r>
      <rPr>
        <sz val="11"/>
        <color theme="1"/>
        <rFont val="游ゴシック Medium"/>
        <family val="2"/>
        <charset val="128"/>
      </rPr>
      <t xml:space="preserve">3</t>
    </r>
    <r>
      <rPr>
        <sz val="11"/>
        <color theme="1"/>
        <rFont val="WenQuanYi Zen Hei"/>
        <family val="2"/>
      </rPr>
      <t xml:space="preserve">〜</t>
    </r>
    <r>
      <rPr>
        <sz val="11"/>
        <color theme="1"/>
        <rFont val="游ゴシック Medium"/>
        <family val="2"/>
        <charset val="128"/>
      </rPr>
      <t xml:space="preserve">4</t>
    </r>
    <r>
      <rPr>
        <sz val="11"/>
        <color theme="1"/>
        <rFont val="WenQuanYi Zen Hei"/>
        <family val="2"/>
      </rPr>
      <t xml:space="preserve">年度分の法人税・地方法人税・事業税、不申告加算税・延滞税を含む）：税務調査の経緯・範囲・未解決事項、令和</t>
    </r>
    <r>
      <rPr>
        <sz val="11"/>
        <color theme="1"/>
        <rFont val="游ゴシック Medium"/>
        <family val="2"/>
        <charset val="128"/>
      </rPr>
      <t xml:space="preserve">5</t>
    </r>
    <r>
      <rPr>
        <sz val="11"/>
        <color theme="1"/>
        <rFont val="WenQuanYi Zen Hei"/>
        <family val="2"/>
      </rPr>
      <t xml:space="preserve">年度以降の影響</t>
    </r>
  </si>
  <si>
    <r>
      <rPr>
        <sz val="11"/>
        <color theme="1"/>
        <rFont val="游ゴシック Medium"/>
        <family val="2"/>
        <charset val="128"/>
      </rPr>
      <t xml:space="preserve">7. </t>
    </r>
    <r>
      <rPr>
        <sz val="11"/>
        <color theme="1"/>
        <rFont val="WenQuanYi Zen Hei"/>
        <family val="2"/>
      </rPr>
      <t xml:space="preserve">役員借入金</t>
    </r>
    <r>
      <rPr>
        <sz val="11"/>
        <color theme="1"/>
        <rFont val="游ゴシック Medium"/>
        <family val="2"/>
        <charset val="128"/>
      </rPr>
      <t xml:space="preserve">359,667</t>
    </r>
    <r>
      <rPr>
        <sz val="11"/>
        <color theme="1"/>
        <rFont val="WenQuanYi Zen Hei"/>
        <family val="2"/>
      </rPr>
      <t xml:space="preserve">千円（西丸 修</t>
    </r>
    <r>
      <rPr>
        <sz val="11"/>
        <color theme="1"/>
        <rFont val="游ゴシック Medium"/>
        <family val="2"/>
        <charset val="128"/>
      </rPr>
      <t xml:space="preserve">257,667</t>
    </r>
    <r>
      <rPr>
        <sz val="11"/>
        <color theme="1"/>
        <rFont val="WenQuanYi Zen Hei"/>
        <family val="2"/>
      </rPr>
      <t xml:space="preserve">千円、西丸 勇人</t>
    </r>
    <r>
      <rPr>
        <sz val="11"/>
        <color theme="1"/>
        <rFont val="游ゴシック Medium"/>
        <family val="2"/>
        <charset val="128"/>
      </rPr>
      <t xml:space="preserve">51,000</t>
    </r>
    <r>
      <rPr>
        <sz val="11"/>
        <color theme="1"/>
        <rFont val="WenQuanYi Zen Hei"/>
        <family val="2"/>
      </rPr>
      <t xml:space="preserve">千円、西丸 翔太</t>
    </r>
    <r>
      <rPr>
        <sz val="11"/>
        <color theme="1"/>
        <rFont val="游ゴシック Medium"/>
        <family val="2"/>
        <charset val="128"/>
      </rPr>
      <t xml:space="preserve">51,000</t>
    </r>
    <r>
      <rPr>
        <sz val="11"/>
        <color theme="1"/>
        <rFont val="WenQuanYi Zen Hei"/>
        <family val="2"/>
      </rPr>
      <t xml:space="preserve">千円）：返済条件・譲渡時の取扱い。</t>
    </r>
    <r>
      <rPr>
        <sz val="11"/>
        <color theme="1"/>
        <rFont val="游ゴシック Medium"/>
        <family val="2"/>
        <charset val="128"/>
      </rPr>
      <t xml:space="preserve">BS</t>
    </r>
    <r>
      <rPr>
        <sz val="11"/>
        <color theme="1"/>
        <rFont val="WenQuanYi Zen Hei"/>
        <family val="2"/>
      </rPr>
      <t xml:space="preserve">上は短期・長期借入金に含まれる</t>
    </r>
  </si>
  <si>
    <r>
      <rPr>
        <sz val="11"/>
        <color theme="1"/>
        <rFont val="游ゴシック Medium"/>
        <family val="2"/>
        <charset val="128"/>
      </rPr>
      <t xml:space="preserve">8. </t>
    </r>
    <r>
      <rPr>
        <sz val="11"/>
        <color theme="1"/>
        <rFont val="WenQuanYi Zen Hei"/>
        <family val="2"/>
      </rPr>
      <t xml:space="preserve">銀行借入</t>
    </r>
    <r>
      <rPr>
        <sz val="11"/>
        <color theme="1"/>
        <rFont val="游ゴシック Medium"/>
        <family val="2"/>
        <charset val="128"/>
      </rPr>
      <t xml:space="preserve">86,156</t>
    </r>
    <r>
      <rPr>
        <sz val="11"/>
        <color theme="1"/>
        <rFont val="WenQuanYi Zen Hei"/>
        <family val="2"/>
      </rPr>
      <t xml:space="preserve">千円（三井住友銀行</t>
    </r>
    <r>
      <rPr>
        <sz val="11"/>
        <color theme="1"/>
        <rFont val="游ゴシック Medium"/>
        <family val="2"/>
        <charset val="128"/>
      </rPr>
      <t xml:space="preserve">31,916</t>
    </r>
    <r>
      <rPr>
        <sz val="11"/>
        <color theme="1"/>
        <rFont val="WenQuanYi Zen Hei"/>
        <family val="2"/>
      </rPr>
      <t xml:space="preserve">千円、三菱</t>
    </r>
    <r>
      <rPr>
        <sz val="11"/>
        <color theme="1"/>
        <rFont val="游ゴシック Medium"/>
        <family val="2"/>
        <charset val="128"/>
      </rPr>
      <t xml:space="preserve">UFJ</t>
    </r>
    <r>
      <rPr>
        <sz val="11"/>
        <color theme="1"/>
        <rFont val="WenQuanYi Zen Hei"/>
        <family val="2"/>
      </rPr>
      <t xml:space="preserve">銀行</t>
    </r>
    <r>
      <rPr>
        <sz val="11"/>
        <color theme="1"/>
        <rFont val="游ゴシック Medium"/>
        <family val="2"/>
        <charset val="128"/>
      </rPr>
      <t xml:space="preserve">54,240</t>
    </r>
    <r>
      <rPr>
        <sz val="11"/>
        <color theme="1"/>
        <rFont val="WenQuanYi Zen Hei"/>
        <family val="2"/>
      </rPr>
      <t xml:space="preserve">千円）：返済条件・担保・代表者保証の有無</t>
    </r>
  </si>
  <si>
    <r>
      <rPr>
        <sz val="11"/>
        <color theme="1"/>
        <rFont val="游ゴシック Medium"/>
        <family val="2"/>
        <charset val="128"/>
      </rPr>
      <t xml:space="preserve">9. </t>
    </r>
    <r>
      <rPr>
        <sz val="11"/>
        <color theme="1"/>
        <rFont val="WenQuanYi Zen Hei"/>
        <family val="2"/>
      </rPr>
      <t xml:space="preserve">土地・建物の時価評価：登記事項証明書、固定資産税評価証明書、路線価、不動産鑑定の有無（土地</t>
    </r>
    <r>
      <rPr>
        <sz val="11"/>
        <color theme="1"/>
        <rFont val="游ゴシック Medium"/>
        <family val="2"/>
        <charset val="128"/>
      </rPr>
      <t xml:space="preserve">345,030</t>
    </r>
    <r>
      <rPr>
        <sz val="11"/>
        <color theme="1"/>
        <rFont val="WenQuanYi Zen Hei"/>
        <family val="2"/>
      </rPr>
      <t xml:space="preserve">千円は簿価評価）。鎌倉山三丁目計画（約</t>
    </r>
    <r>
      <rPr>
        <sz val="11"/>
        <color theme="1"/>
        <rFont val="游ゴシック Medium"/>
        <family val="2"/>
        <charset val="128"/>
      </rPr>
      <t xml:space="preserve">87,420</t>
    </r>
    <r>
      <rPr>
        <sz val="11"/>
        <color theme="1"/>
        <rFont val="WenQuanYi Zen Hei"/>
        <family val="2"/>
      </rPr>
      <t xml:space="preserve">千円を土地へ振替）の内容</t>
    </r>
  </si>
  <si>
    <r>
      <rPr>
        <sz val="11"/>
        <color theme="1"/>
        <rFont val="游ゴシック Medium"/>
        <family val="2"/>
        <charset val="128"/>
      </rPr>
      <t xml:space="preserve">10. </t>
    </r>
    <r>
      <rPr>
        <sz val="11"/>
        <color theme="1"/>
        <rFont val="WenQuanYi Zen Hei"/>
        <family val="2"/>
      </rPr>
      <t xml:space="preserve">賃貸借契約（紀尾井町店・大船店ほか）の契約書、敷金</t>
    </r>
    <r>
      <rPr>
        <sz val="11"/>
        <color theme="1"/>
        <rFont val="游ゴシック Medium"/>
        <family val="2"/>
        <charset val="128"/>
      </rPr>
      <t xml:space="preserve">13,160</t>
    </r>
    <r>
      <rPr>
        <sz val="11"/>
        <color theme="1"/>
        <rFont val="WenQuanYi Zen Hei"/>
        <family val="2"/>
      </rPr>
      <t xml:space="preserve">千円の内訳・返還条件、原状回復義務、契約期間・更新</t>
    </r>
  </si>
  <si>
    <r>
      <rPr>
        <sz val="11"/>
        <color theme="1"/>
        <rFont val="游ゴシック Medium"/>
        <family val="2"/>
        <charset val="128"/>
      </rPr>
      <t xml:space="preserve">11. </t>
    </r>
    <r>
      <rPr>
        <sz val="11"/>
        <color theme="1"/>
        <rFont val="WenQuanYi Zen Hei"/>
        <family val="2"/>
      </rPr>
      <t xml:space="preserve">従業員：個人別の雇用形態・年齢・勤続・賞与・退職金制度（就業規則・賃金規程・退職金規程）。月給者</t>
    </r>
    <r>
      <rPr>
        <sz val="11"/>
        <color theme="1"/>
        <rFont val="游ゴシック Medium"/>
        <family val="2"/>
        <charset val="128"/>
      </rPr>
      <t xml:space="preserve">6</t>
    </r>
    <r>
      <rPr>
        <sz val="11"/>
        <color theme="1"/>
        <rFont val="WenQuanYi Zen Hei"/>
        <family val="2"/>
      </rPr>
      <t xml:space="preserve">名・時給者約</t>
    </r>
    <r>
      <rPr>
        <sz val="11"/>
        <color theme="1"/>
        <rFont val="游ゴシック Medium"/>
        <family val="2"/>
        <charset val="128"/>
      </rPr>
      <t xml:space="preserve">30</t>
    </r>
    <r>
      <rPr>
        <sz val="11"/>
        <color theme="1"/>
        <rFont val="WenQuanYi Zen Hei"/>
        <family val="2"/>
      </rPr>
      <t xml:space="preserve">名は給与台帳からの推計</t>
    </r>
  </si>
  <si>
    <r>
      <rPr>
        <sz val="11"/>
        <color theme="1"/>
        <rFont val="游ゴシック Medium"/>
        <family val="2"/>
        <charset val="128"/>
      </rPr>
      <t xml:space="preserve">12. </t>
    </r>
    <r>
      <rPr>
        <sz val="11"/>
        <color theme="1"/>
        <rFont val="WenQuanYi Zen Hei"/>
        <family val="2"/>
      </rPr>
      <t xml:space="preserve">四谷店の閉店時期・閉店費用、ミリュウショップ（令和</t>
    </r>
    <r>
      <rPr>
        <sz val="11"/>
        <color theme="1"/>
        <rFont val="游ゴシック Medium"/>
        <family val="2"/>
        <charset val="128"/>
      </rPr>
      <t xml:space="preserve">7</t>
    </r>
    <r>
      <rPr>
        <sz val="11"/>
        <color theme="1"/>
        <rFont val="WenQuanYi Zen Hei"/>
        <family val="2"/>
      </rPr>
      <t xml:space="preserve">年</t>
    </r>
    <r>
      <rPr>
        <sz val="11"/>
        <color theme="1"/>
        <rFont val="游ゴシック Medium"/>
        <family val="2"/>
        <charset val="128"/>
      </rPr>
      <t xml:space="preserve">3</t>
    </r>
    <r>
      <rPr>
        <sz val="11"/>
        <color theme="1"/>
        <rFont val="WenQuanYi Zen Hei"/>
        <family val="2"/>
      </rPr>
      <t xml:space="preserve">月期</t>
    </r>
    <r>
      <rPr>
        <sz val="11"/>
        <color theme="1"/>
        <rFont val="游ゴシック Medium"/>
        <family val="2"/>
        <charset val="128"/>
      </rPr>
      <t xml:space="preserve">42</t>
    </r>
    <r>
      <rPr>
        <sz val="11"/>
        <color theme="1"/>
        <rFont val="WenQuanYi Zen Hei"/>
        <family val="2"/>
      </rPr>
      <t xml:space="preserve">百万円→令和</t>
    </r>
    <r>
      <rPr>
        <sz val="11"/>
        <color theme="1"/>
        <rFont val="游ゴシック Medium"/>
        <family val="2"/>
        <charset val="128"/>
      </rPr>
      <t xml:space="preserve">8</t>
    </r>
    <r>
      <rPr>
        <sz val="11"/>
        <color theme="1"/>
        <rFont val="WenQuanYi Zen Hei"/>
        <family val="2"/>
      </rPr>
      <t xml:space="preserve">年</t>
    </r>
    <r>
      <rPr>
        <sz val="11"/>
        <color theme="1"/>
        <rFont val="游ゴシック Medium"/>
        <family val="2"/>
        <charset val="128"/>
      </rPr>
      <t xml:space="preserve">3</t>
    </r>
    <r>
      <rPr>
        <sz val="11"/>
        <color theme="1"/>
        <rFont val="WenQuanYi Zen Hei"/>
        <family val="2"/>
      </rPr>
      <t xml:space="preserve">月期</t>
    </r>
    <r>
      <rPr>
        <sz val="11"/>
        <color theme="1"/>
        <rFont val="游ゴシック Medium"/>
        <family val="2"/>
        <charset val="128"/>
      </rPr>
      <t xml:space="preserve">7</t>
    </r>
    <r>
      <rPr>
        <sz val="11"/>
        <color theme="1"/>
        <rFont val="WenQuanYi Zen Hei"/>
        <family val="2"/>
      </rPr>
      <t xml:space="preserve">百万円）の減少要因</t>
    </r>
  </si>
  <si>
    <r>
      <rPr>
        <sz val="11"/>
        <color theme="1"/>
        <rFont val="游ゴシック Medium"/>
        <family val="2"/>
        <charset val="128"/>
      </rPr>
      <t xml:space="preserve">13. </t>
    </r>
    <r>
      <rPr>
        <sz val="11"/>
        <color theme="1"/>
        <rFont val="WenQuanYi Zen Hei"/>
        <family val="2"/>
      </rPr>
      <t xml:space="preserve">令和</t>
    </r>
    <r>
      <rPr>
        <sz val="11"/>
        <color theme="1"/>
        <rFont val="游ゴシック Medium"/>
        <family val="2"/>
        <charset val="128"/>
      </rPr>
      <t xml:space="preserve">7</t>
    </r>
    <r>
      <rPr>
        <sz val="11"/>
        <color theme="1"/>
        <rFont val="WenQuanYi Zen Hei"/>
        <family val="2"/>
      </rPr>
      <t xml:space="preserve">年</t>
    </r>
    <r>
      <rPr>
        <sz val="11"/>
        <color theme="1"/>
        <rFont val="游ゴシック Medium"/>
        <family val="2"/>
        <charset val="128"/>
      </rPr>
      <t xml:space="preserve">3</t>
    </r>
    <r>
      <rPr>
        <sz val="11"/>
        <color theme="1"/>
        <rFont val="WenQuanYi Zen Hei"/>
        <family val="2"/>
      </rPr>
      <t xml:space="preserve">月期の販管費の増加要因（修繕費</t>
    </r>
    <r>
      <rPr>
        <sz val="11"/>
        <color theme="1"/>
        <rFont val="游ゴシック Medium"/>
        <family val="2"/>
        <charset val="128"/>
      </rPr>
      <t xml:space="preserve">12,668</t>
    </r>
    <r>
      <rPr>
        <sz val="11"/>
        <color theme="1"/>
        <rFont val="WenQuanYi Zen Hei"/>
        <family val="2"/>
      </rPr>
      <t xml:space="preserve">千円、旅費交通費</t>
    </r>
    <r>
      <rPr>
        <sz val="11"/>
        <color theme="1"/>
        <rFont val="游ゴシック Medium"/>
        <family val="2"/>
        <charset val="128"/>
      </rPr>
      <t xml:space="preserve">13,621</t>
    </r>
    <r>
      <rPr>
        <sz val="11"/>
        <color theme="1"/>
        <rFont val="WenQuanYi Zen Hei"/>
        <family val="2"/>
      </rPr>
      <t xml:space="preserve">千円、会議費</t>
    </r>
    <r>
      <rPr>
        <sz val="11"/>
        <color theme="1"/>
        <rFont val="游ゴシック Medium"/>
        <family val="2"/>
        <charset val="128"/>
      </rPr>
      <t xml:space="preserve">5,275</t>
    </r>
    <r>
      <rPr>
        <sz val="11"/>
        <color theme="1"/>
        <rFont val="WenQuanYi Zen Hei"/>
        <family val="2"/>
      </rPr>
      <t xml:space="preserve">千円、租税公課</t>
    </r>
    <r>
      <rPr>
        <sz val="11"/>
        <color theme="1"/>
        <rFont val="游ゴシック Medium"/>
        <family val="2"/>
        <charset val="128"/>
      </rPr>
      <t xml:space="preserve">9,642</t>
    </r>
    <r>
      <rPr>
        <sz val="11"/>
        <color theme="1"/>
        <rFont val="WenQuanYi Zen Hei"/>
        <family val="2"/>
      </rPr>
      <t xml:space="preserve">千円等）が不動産売却関連か</t>
    </r>
  </si>
  <si>
    <r>
      <rPr>
        <sz val="11"/>
        <color theme="1"/>
        <rFont val="游ゴシック Medium"/>
        <family val="2"/>
        <charset val="128"/>
      </rPr>
      <t xml:space="preserve">14. </t>
    </r>
    <r>
      <rPr>
        <sz val="11"/>
        <color theme="1"/>
        <rFont val="WenQuanYi Zen Hei"/>
        <family val="2"/>
      </rPr>
      <t xml:space="preserve">進行期（令和</t>
    </r>
    <r>
      <rPr>
        <sz val="11"/>
        <color theme="1"/>
        <rFont val="游ゴシック Medium"/>
        <family val="2"/>
        <charset val="128"/>
      </rPr>
      <t xml:space="preserve">9</t>
    </r>
    <r>
      <rPr>
        <sz val="11"/>
        <color theme="1"/>
        <rFont val="WenQuanYi Zen Hei"/>
        <family val="2"/>
      </rPr>
      <t xml:space="preserve">年</t>
    </r>
    <r>
      <rPr>
        <sz val="11"/>
        <color theme="1"/>
        <rFont val="游ゴシック Medium"/>
        <family val="2"/>
        <charset val="128"/>
      </rPr>
      <t xml:space="preserve">3</t>
    </r>
    <r>
      <rPr>
        <sz val="11"/>
        <color theme="1"/>
        <rFont val="WenQuanYi Zen Hei"/>
        <family val="2"/>
      </rPr>
      <t xml:space="preserve">月期）の試算表・予算、月次の店舗別損益</t>
    </r>
  </si>
  <si>
    <r>
      <rPr>
        <sz val="11"/>
        <color theme="1"/>
        <rFont val="游ゴシック Medium"/>
        <family val="2"/>
        <charset val="128"/>
      </rPr>
      <t xml:space="preserve">15. </t>
    </r>
    <r>
      <rPr>
        <sz val="11"/>
        <color theme="1"/>
        <rFont val="WenQuanYi Zen Hei"/>
        <family val="2"/>
      </rPr>
      <t xml:space="preserve">許認可（菓子製造業許可、飲食店営業許可、食品衛生責任者等）、商標権（ル・ミリュウ／ラ・プレシューズ）の帰属</t>
    </r>
  </si>
  <si>
    <r>
      <rPr>
        <sz val="11"/>
        <color theme="1"/>
        <rFont val="游ゴシック Medium"/>
        <family val="2"/>
        <charset val="128"/>
      </rPr>
      <t xml:space="preserve">16. </t>
    </r>
    <r>
      <rPr>
        <sz val="11"/>
        <color theme="1"/>
        <rFont val="WenQuanYi Zen Hei"/>
        <family val="2"/>
      </rPr>
      <t xml:space="preserve">代表者の関与継続意向、譲渡理由、希望条件（価格・スキーム・付帯条件）</t>
    </r>
  </si>
  <si>
    <r>
      <rPr>
        <sz val="11"/>
        <color theme="1"/>
        <rFont val="WenQuanYi Zen Hei"/>
        <family val="2"/>
      </rPr>
      <t xml:space="preserve">【</t>
    </r>
    <r>
      <rPr>
        <sz val="11"/>
        <color theme="1"/>
        <rFont val="游ゴシック Medium"/>
        <family val="2"/>
        <charset val="128"/>
      </rPr>
      <t xml:space="preserve">Web</t>
    </r>
    <r>
      <rPr>
        <sz val="11"/>
        <color theme="1"/>
        <rFont val="WenQuanYi Zen Hei"/>
        <family val="2"/>
      </rPr>
      <t xml:space="preserve">調査メモ（要確認）】</t>
    </r>
  </si>
  <si>
    <r>
      <rPr>
        <sz val="11"/>
        <color theme="1"/>
        <rFont val="WenQuanYi Zen Hei"/>
        <family val="2"/>
      </rPr>
      <t xml:space="preserve">・「ル・ミリュウ 鎌倉山」：</t>
    </r>
    <r>
      <rPr>
        <sz val="11"/>
        <color theme="1"/>
        <rFont val="游ゴシック Medium"/>
        <family val="2"/>
        <charset val="128"/>
      </rPr>
      <t xml:space="preserve">2010</t>
    </r>
    <r>
      <rPr>
        <sz val="11"/>
        <color theme="1"/>
        <rFont val="WenQuanYi Zen Hei"/>
        <family val="2"/>
      </rPr>
      <t xml:space="preserve">年開業、所在地は神奈川県鎌倉市鎌倉山</t>
    </r>
    <r>
      <rPr>
        <sz val="11"/>
        <color theme="1"/>
        <rFont val="游ゴシック Medium"/>
        <family val="2"/>
        <charset val="128"/>
      </rPr>
      <t xml:space="preserve">3-2-31</t>
    </r>
    <r>
      <rPr>
        <sz val="11"/>
        <color theme="1"/>
        <rFont val="WenQuanYi Zen Hei"/>
        <family val="2"/>
      </rPr>
      <t xml:space="preserve">。</t>
    </r>
    <r>
      <rPr>
        <sz val="11"/>
        <color theme="1"/>
        <rFont val="游ゴシック Medium"/>
        <family val="2"/>
        <charset val="128"/>
      </rPr>
      <t xml:space="preserve">2017</t>
    </r>
    <r>
      <rPr>
        <sz val="11"/>
        <color theme="1"/>
        <rFont val="WenQuanYi Zen Hei"/>
        <family val="2"/>
      </rPr>
      <t xml:space="preserve">年</t>
    </r>
    <r>
      <rPr>
        <sz val="11"/>
        <color theme="1"/>
        <rFont val="游ゴシック Medium"/>
        <family val="2"/>
        <charset val="128"/>
      </rPr>
      <t xml:space="preserve">9</t>
    </r>
    <r>
      <rPr>
        <sz val="11"/>
        <color theme="1"/>
        <rFont val="WenQuanYi Zen Hei"/>
        <family val="2"/>
      </rPr>
      <t xml:space="preserve">月にリニューアル。現在は「ル・ミリュウ」が本店で、四ツ谷・紀尾井町の「ラ・プレシューズ」と合わせて</t>
    </r>
    <r>
      <rPr>
        <sz val="11"/>
        <color theme="1"/>
        <rFont val="游ゴシック Medium"/>
        <family val="2"/>
        <charset val="128"/>
      </rPr>
      <t xml:space="preserve">3</t>
    </r>
    <r>
      <rPr>
        <sz val="11"/>
        <color theme="1"/>
        <rFont val="WenQuanYi Zen Hei"/>
        <family val="2"/>
      </rPr>
      <t xml:space="preserve">店舗とする記載あり（出所：</t>
    </r>
    <r>
      <rPr>
        <sz val="11"/>
        <color theme="1"/>
        <rFont val="游ゴシック Medium"/>
        <family val="2"/>
        <charset val="128"/>
      </rPr>
      <t xml:space="preserve">https://hamoni.jp/shop/GAfr94h0cpguOvSfsb4A </t>
    </r>
    <r>
      <rPr>
        <sz val="11"/>
        <color theme="1"/>
        <rFont val="WenQuanYi Zen Hei"/>
        <family val="2"/>
      </rPr>
      <t xml:space="preserve">／ </t>
    </r>
    <r>
      <rPr>
        <sz val="11"/>
        <color theme="1"/>
        <rFont val="游ゴシック Medium"/>
        <family val="2"/>
        <charset val="128"/>
      </rPr>
      <t xml:space="preserve">https://www.ozmall.co.jp/restaurant/9057/ </t>
    </r>
    <r>
      <rPr>
        <sz val="11"/>
        <color theme="1"/>
        <rFont val="WenQuanYi Zen Hei"/>
        <family val="2"/>
      </rPr>
      <t xml:space="preserve">）</t>
    </r>
  </si>
  <si>
    <r>
      <rPr>
        <sz val="11"/>
        <color theme="1"/>
        <rFont val="WenQuanYi Zen Hei"/>
        <family val="2"/>
      </rPr>
      <t xml:space="preserve">・ウエスト・シークル株式会社は鎌倉市鎌倉山に本社を置き、東京・神奈川で</t>
    </r>
    <r>
      <rPr>
        <sz val="11"/>
        <color theme="1"/>
        <rFont val="游ゴシック Medium"/>
        <family val="2"/>
        <charset val="128"/>
      </rPr>
      <t xml:space="preserve">3</t>
    </r>
    <r>
      <rPr>
        <sz val="11"/>
        <color theme="1"/>
        <rFont val="WenQuanYi Zen Hei"/>
        <family val="2"/>
      </rPr>
      <t xml:space="preserve">店舗を運営、生菓子・焼き菓子・パンの販売と併設カフェでの飲食提供とする求人サイト記載あり（出所：</t>
    </r>
    <r>
      <rPr>
        <sz val="11"/>
        <color theme="1"/>
        <rFont val="游ゴシック Medium"/>
        <family val="2"/>
        <charset val="128"/>
      </rPr>
      <t xml:space="preserve">https://www.careermap.jp/jobs/336594 </t>
    </r>
    <r>
      <rPr>
        <sz val="11"/>
        <color theme="1"/>
        <rFont val="WenQuanYi Zen Hei"/>
        <family val="2"/>
      </rPr>
      <t xml:space="preserve">）</t>
    </r>
  </si>
  <si>
    <r>
      <rPr>
        <sz val="11"/>
        <color theme="1"/>
        <rFont val="游ゴシック Medium"/>
        <family val="2"/>
        <charset val="128"/>
      </rPr>
      <t xml:space="preserve">※Web</t>
    </r>
    <r>
      <rPr>
        <sz val="11"/>
        <color theme="1"/>
        <rFont val="WenQuanYi Zen Hei"/>
        <family val="2"/>
      </rPr>
      <t xml:space="preserve">情報は最新の状態と異なる可能性がある。四谷店は帳簿上、令和</t>
    </r>
    <r>
      <rPr>
        <sz val="11"/>
        <color theme="1"/>
        <rFont val="游ゴシック Medium"/>
        <family val="2"/>
        <charset val="128"/>
      </rPr>
      <t xml:space="preserve">7</t>
    </r>
    <r>
      <rPr>
        <sz val="11"/>
        <color theme="1"/>
        <rFont val="WenQuanYi Zen Hei"/>
        <family val="2"/>
      </rPr>
      <t xml:space="preserve">年</t>
    </r>
    <r>
      <rPr>
        <sz val="11"/>
        <color theme="1"/>
        <rFont val="游ゴシック Medium"/>
        <family val="2"/>
        <charset val="128"/>
      </rPr>
      <t xml:space="preserve">3</t>
    </r>
    <r>
      <rPr>
        <sz val="11"/>
        <color theme="1"/>
        <rFont val="WenQuanYi Zen Hei"/>
        <family val="2"/>
      </rPr>
      <t xml:space="preserve">月期以降の売上がなく、現行店舗の確認が必要。</t>
    </r>
  </si>
  <si>
    <t xml:space="preserve">【作成上の前提・テンプレートの是正】</t>
  </si>
  <si>
    <r>
      <rPr>
        <sz val="11"/>
        <color theme="1"/>
        <rFont val="WenQuanYi Zen Hei"/>
        <family val="2"/>
      </rPr>
      <t xml:space="preserve">・修正</t>
    </r>
    <r>
      <rPr>
        <sz val="11"/>
        <color theme="1"/>
        <rFont val="游ゴシック Medium"/>
        <family val="2"/>
        <charset val="128"/>
      </rPr>
      <t xml:space="preserve">BS(</t>
    </r>
    <r>
      <rPr>
        <sz val="11"/>
        <color theme="1"/>
        <rFont val="WenQuanYi Zen Hei"/>
        <family val="2"/>
      </rPr>
      <t xml:space="preserve">貸方</t>
    </r>
    <r>
      <rPr>
        <sz val="11"/>
        <color theme="1"/>
        <rFont val="游ゴシック Medium"/>
        <family val="2"/>
        <charset val="128"/>
      </rPr>
      <t xml:space="preserve">)</t>
    </r>
    <r>
      <rPr>
        <sz val="11"/>
        <color theme="1"/>
        <rFont val="WenQuanYi Zen Hei"/>
        <family val="2"/>
      </rPr>
      <t xml:space="preserve">の</t>
    </r>
    <r>
      <rPr>
        <sz val="11"/>
        <color theme="1"/>
        <rFont val="游ゴシック Medium"/>
        <family val="2"/>
        <charset val="128"/>
      </rPr>
      <t xml:space="preserve">D50</t>
    </r>
    <r>
      <rPr>
        <sz val="11"/>
        <color theme="1"/>
        <rFont val="WenQuanYi Zen Hei"/>
        <family val="2"/>
      </rPr>
      <t xml:space="preserve">（修正額）は、税効果の二重計上を避けるため資産修正から繰延税金資産の修正額を控除する式に是正した。</t>
    </r>
  </si>
  <si>
    <r>
      <rPr>
        <sz val="11"/>
        <color theme="1"/>
        <rFont val="WenQuanYi Zen Hei"/>
        <family val="2"/>
      </rPr>
      <t xml:space="preserve">・年買法の営業権は基準営業利益がマイナスの場合</t>
    </r>
    <r>
      <rPr>
        <sz val="11"/>
        <color theme="1"/>
        <rFont val="游ゴシック Medium"/>
        <family val="2"/>
        <charset val="128"/>
      </rPr>
      <t xml:space="preserve">0</t>
    </r>
    <r>
      <rPr>
        <sz val="11"/>
        <color theme="1"/>
        <rFont val="WenQuanYi Zen Hei"/>
        <family val="2"/>
      </rPr>
      <t xml:space="preserve">とした（</t>
    </r>
    <r>
      <rPr>
        <sz val="11"/>
        <color theme="1"/>
        <rFont val="游ゴシック Medium"/>
        <family val="2"/>
        <charset val="128"/>
      </rPr>
      <t xml:space="preserve">MAX</t>
    </r>
    <r>
      <rPr>
        <sz val="11"/>
        <color theme="1"/>
        <rFont val="WenQuanYi Zen Hei"/>
        <family val="2"/>
      </rPr>
      <t xml:space="preserve">関数）。</t>
    </r>
    <r>
      <rPr>
        <sz val="11"/>
        <color theme="1"/>
        <rFont val="游ゴシック Medium"/>
        <family val="2"/>
        <charset val="128"/>
      </rPr>
      <t xml:space="preserve">EV/EBITDA</t>
    </r>
    <r>
      <rPr>
        <sz val="11"/>
        <color theme="1"/>
        <rFont val="WenQuanYi Zen Hei"/>
        <family val="2"/>
      </rPr>
      <t xml:space="preserve">法の</t>
    </r>
    <r>
      <rPr>
        <sz val="11"/>
        <color theme="1"/>
        <rFont val="游ゴシック Medium"/>
        <family val="2"/>
        <charset val="128"/>
      </rPr>
      <t xml:space="preserve">EV</t>
    </r>
    <r>
      <rPr>
        <sz val="11"/>
        <color theme="1"/>
        <rFont val="WenQuanYi Zen Hei"/>
        <family val="2"/>
      </rPr>
      <t xml:space="preserve">も同様に</t>
    </r>
    <r>
      <rPr>
        <sz val="11"/>
        <color theme="1"/>
        <rFont val="游ゴシック Medium"/>
        <family val="2"/>
        <charset val="128"/>
      </rPr>
      <t xml:space="preserve">0</t>
    </r>
    <r>
      <rPr>
        <sz val="11"/>
        <color theme="1"/>
        <rFont val="WenQuanYi Zen Hei"/>
        <family val="2"/>
      </rPr>
      <t xml:space="preserve">を下限とした。</t>
    </r>
  </si>
  <si>
    <r>
      <rPr>
        <sz val="11"/>
        <color theme="1"/>
        <rFont val="WenQuanYi Zen Hei"/>
        <family val="2"/>
      </rPr>
      <t xml:space="preserve">・修正</t>
    </r>
    <r>
      <rPr>
        <sz val="11"/>
        <color theme="1"/>
        <rFont val="游ゴシック Medium"/>
        <family val="2"/>
        <charset val="128"/>
      </rPr>
      <t xml:space="preserve">SGA</t>
    </r>
    <r>
      <rPr>
        <sz val="11"/>
        <color theme="1"/>
        <rFont val="WenQuanYi Zen Hei"/>
        <family val="2"/>
      </rPr>
      <t xml:space="preserve">の</t>
    </r>
    <r>
      <rPr>
        <sz val="11"/>
        <color theme="1"/>
        <rFont val="游ゴシック Medium"/>
        <family val="2"/>
        <charset val="128"/>
      </rPr>
      <t xml:space="preserve">M5/P5</t>
    </r>
    <r>
      <rPr>
        <sz val="11"/>
        <color theme="1"/>
        <rFont val="WenQuanYi Zen Hei"/>
        <family val="2"/>
      </rPr>
      <t xml:space="preserve">（役員報酬のダミー修正額△</t>
    </r>
    <r>
      <rPr>
        <sz val="11"/>
        <color theme="1"/>
        <rFont val="游ゴシック Medium"/>
        <family val="2"/>
        <charset val="128"/>
      </rPr>
      <t xml:space="preserve">500</t>
    </r>
    <r>
      <rPr>
        <sz val="11"/>
        <color theme="1"/>
        <rFont val="WenQuanYi Zen Hei"/>
        <family val="2"/>
      </rPr>
      <t xml:space="preserve">千円、未使用列）を削除した。</t>
    </r>
  </si>
  <si>
    <r>
      <rPr>
        <sz val="11"/>
        <color theme="1"/>
        <rFont val="WenQuanYi Zen Hei"/>
        <family val="2"/>
      </rPr>
      <t xml:space="preserve">・修正</t>
    </r>
    <r>
      <rPr>
        <sz val="11"/>
        <color theme="1"/>
        <rFont val="游ゴシック Medium"/>
        <family val="2"/>
        <charset val="128"/>
      </rPr>
      <t xml:space="preserve">BS(</t>
    </r>
    <r>
      <rPr>
        <sz val="11"/>
        <color theme="1"/>
        <rFont val="WenQuanYi Zen Hei"/>
        <family val="2"/>
      </rPr>
      <t xml:space="preserve">貸方</t>
    </r>
    <r>
      <rPr>
        <sz val="11"/>
        <color theme="1"/>
        <rFont val="游ゴシック Medium"/>
        <family val="2"/>
        <charset val="128"/>
      </rPr>
      <t xml:space="preserve">)</t>
    </r>
    <r>
      <rPr>
        <sz val="11"/>
        <color theme="1"/>
        <rFont val="WenQuanYi Zen Hei"/>
        <family val="2"/>
      </rPr>
      <t xml:space="preserve">の</t>
    </r>
    <r>
      <rPr>
        <sz val="11"/>
        <color theme="1"/>
        <rFont val="游ゴシック Medium"/>
        <family val="2"/>
        <charset val="128"/>
      </rPr>
      <t xml:space="preserve">C4</t>
    </r>
    <r>
      <rPr>
        <sz val="11"/>
        <color theme="1"/>
        <rFont val="WenQuanYi Zen Hei"/>
        <family val="2"/>
      </rPr>
      <t xml:space="preserve">（期間見出し）が初年度を参照していたため、最終期（</t>
    </r>
    <r>
      <rPr>
        <sz val="11"/>
        <color theme="1"/>
        <rFont val="游ゴシック Medium"/>
        <family val="2"/>
        <charset val="128"/>
      </rPr>
      <t xml:space="preserve">BS(</t>
    </r>
    <r>
      <rPr>
        <sz val="11"/>
        <color theme="1"/>
        <rFont val="WenQuanYi Zen Hei"/>
        <family val="2"/>
      </rPr>
      <t xml:space="preserve">借方</t>
    </r>
    <r>
      <rPr>
        <sz val="11"/>
        <color theme="1"/>
        <rFont val="游ゴシック Medium"/>
        <family val="2"/>
        <charset val="128"/>
      </rPr>
      <t xml:space="preserve">)!E4</t>
    </r>
    <r>
      <rPr>
        <sz val="11"/>
        <color theme="1"/>
        <rFont val="WenQuanYi Zen Hei"/>
        <family val="2"/>
      </rPr>
      <t xml:space="preserve">）を参照するよう是正した。</t>
    </r>
  </si>
  <si>
    <r>
      <rPr>
        <sz val="11"/>
        <color theme="1"/>
        <rFont val="WenQuanYi Zen Hei"/>
        <family val="2"/>
      </rPr>
      <t xml:space="preserve">・ネットキャッシュ</t>
    </r>
    <r>
      <rPr>
        <sz val="11"/>
        <color theme="1"/>
        <rFont val="游ゴシック Medium"/>
        <family val="2"/>
        <charset val="128"/>
      </rPr>
      <t xml:space="preserve">(F15)</t>
    </r>
    <r>
      <rPr>
        <sz val="11"/>
        <color theme="1"/>
        <rFont val="WenQuanYi Zen Hei"/>
        <family val="2"/>
      </rPr>
      <t xml:space="preserve">の参照先誤り（</t>
    </r>
    <r>
      <rPr>
        <sz val="11"/>
        <color theme="1"/>
        <rFont val="游ゴシック Medium"/>
        <family val="2"/>
        <charset val="128"/>
      </rPr>
      <t xml:space="preserve">=F13-I13</t>
    </r>
    <r>
      <rPr>
        <sz val="11"/>
        <color theme="1"/>
        <rFont val="WenQuanYi Zen Hei"/>
        <family val="2"/>
      </rPr>
      <t xml:space="preserve">）を</t>
    </r>
    <r>
      <rPr>
        <sz val="11"/>
        <color theme="1"/>
        <rFont val="游ゴシック Medium"/>
        <family val="2"/>
        <charset val="128"/>
      </rPr>
      <t xml:space="preserve">=F13-C13</t>
    </r>
    <r>
      <rPr>
        <sz val="11"/>
        <color theme="1"/>
        <rFont val="WenQuanYi Zen Hei"/>
        <family val="2"/>
      </rPr>
      <t xml:space="preserve">に是正した。</t>
    </r>
  </si>
  <si>
    <t xml:space="preserve">・グラフ／表／スケジュールのシートはテンプレートのダミーデータのみのため削除した。</t>
  </si>
</sst>
</file>

<file path=xl/styles.xml><?xml version="1.0" encoding="utf-8"?>
<styleSheet xmlns="http://schemas.openxmlformats.org/spreadsheetml/2006/main">
  <numFmts count="12">
    <numFmt numFmtId="164" formatCode="General"/>
    <numFmt numFmtId="165" formatCode="#,##0,"/>
    <numFmt numFmtId="166" formatCode="#,##0,;\△#,##0,;0"/>
    <numFmt numFmtId="167" formatCode="0.0%"/>
    <numFmt numFmtId="168" formatCode="#,##0_);[RED]\(#,##0\)"/>
    <numFmt numFmtId="169" formatCode="#,##0.00_ "/>
    <numFmt numFmtId="170" formatCode="#,##0_ "/>
    <numFmt numFmtId="171" formatCode="#,##0.0_ "/>
    <numFmt numFmtId="172" formatCode="#,##0;&quot;△ &quot;#,##0"/>
    <numFmt numFmtId="173" formatCode="m/d/yyyy"/>
    <numFmt numFmtId="174" formatCode="0_);[RED]\(0\)"/>
    <numFmt numFmtId="175" formatCode="0.00_);[RED]\(0.00\)"/>
  </numFmts>
  <fonts count="57">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font>
    <font>
      <b val="true"/>
      <sz val="12"/>
      <color theme="0"/>
      <name val="WenQuanYi Zen Hei"/>
      <family val="2"/>
    </font>
    <font>
      <b val="true"/>
      <sz val="12"/>
      <color theme="0"/>
      <name val="游ゴシック"/>
      <family val="3"/>
      <charset val="128"/>
    </font>
    <font>
      <b val="true"/>
      <sz val="12"/>
      <color theme="1"/>
      <name val="WenQuanYi Zen Hei"/>
      <family val="2"/>
    </font>
    <font>
      <b val="true"/>
      <sz val="12"/>
      <color theme="1"/>
      <name val="Arial"/>
      <family val="2"/>
      <charset val="1"/>
    </font>
    <font>
      <sz val="12"/>
      <color theme="1"/>
      <name val="WenQuanYi Zen Hei"/>
      <family val="2"/>
    </font>
    <font>
      <sz val="12"/>
      <color theme="1"/>
      <name val="Arial"/>
      <family val="2"/>
      <charset val="1"/>
    </font>
    <font>
      <b val="true"/>
      <sz val="11"/>
      <color rgb="FFFF0000"/>
      <name val="游ゴシック Medium"/>
      <family val="3"/>
      <charset val="128"/>
    </font>
    <font>
      <b val="true"/>
      <sz val="11"/>
      <color rgb="FFFF0000"/>
      <name val="WenQuanYi Zen Hei"/>
      <family val="2"/>
    </font>
    <font>
      <sz val="12"/>
      <color theme="1"/>
      <name val="游ゴシック"/>
      <family val="3"/>
      <charset val="128"/>
    </font>
    <font>
      <b val="true"/>
      <sz val="12"/>
      <color theme="0"/>
      <name val="Arial"/>
      <family val="2"/>
      <charset val="1"/>
    </font>
    <font>
      <b val="true"/>
      <sz val="10"/>
      <color rgb="FFFF0000"/>
      <name val="游ゴシック"/>
      <family val="3"/>
      <charset val="128"/>
    </font>
    <font>
      <sz val="11"/>
      <color theme="1"/>
      <name val="游ゴシック"/>
      <family val="3"/>
      <charset val="128"/>
    </font>
    <font>
      <sz val="12"/>
      <color theme="1"/>
      <name val="游ゴシック"/>
      <family val="2"/>
      <charset val="128"/>
    </font>
    <font>
      <b val="true"/>
      <sz val="12"/>
      <color theme="1"/>
      <name val="游ゴシック"/>
      <family val="3"/>
      <charset val="128"/>
    </font>
    <font>
      <sz val="12"/>
      <color rgb="FFFF0000"/>
      <name val="Arial"/>
      <family val="2"/>
      <charset val="1"/>
    </font>
    <font>
      <sz val="12"/>
      <color rgb="FFFF0000"/>
      <name val="WenQuanYi Zen Hei"/>
      <family val="2"/>
    </font>
    <font>
      <sz val="12"/>
      <name val="WenQuanYi Zen Hei"/>
      <family val="2"/>
    </font>
    <font>
      <sz val="12"/>
      <name val="Arial"/>
      <family val="2"/>
      <charset val="1"/>
    </font>
    <font>
      <sz val="12"/>
      <color theme="0" tint="-0.15"/>
      <name val="Arial"/>
      <family val="2"/>
      <charset val="1"/>
    </font>
    <font>
      <sz val="10"/>
      <color rgb="FF000000"/>
      <name val="Arial"/>
      <family val="2"/>
    </font>
    <font>
      <sz val="9"/>
      <color rgb="FF0B3041"/>
      <name val="Arial"/>
      <family val="2"/>
    </font>
    <font>
      <sz val="11"/>
      <color theme="1"/>
      <name val="Arial"/>
      <family val="2"/>
      <charset val="1"/>
    </font>
    <font>
      <sz val="9"/>
      <color theme="1"/>
      <name val="WenQuanYi Zen Hei"/>
      <family val="2"/>
    </font>
    <font>
      <sz val="9"/>
      <color theme="1"/>
      <name val="游ゴシック Medium"/>
      <family val="3"/>
      <charset val="128"/>
    </font>
    <font>
      <b val="true"/>
      <sz val="14"/>
      <color theme="1"/>
      <name val="Arial"/>
      <family val="2"/>
      <charset val="1"/>
    </font>
    <font>
      <sz val="11"/>
      <color theme="1"/>
      <name val="游ゴシック Medium"/>
      <family val="3"/>
      <charset val="128"/>
    </font>
    <font>
      <sz val="12"/>
      <color theme="1"/>
      <name val="Arial"/>
      <family val="3"/>
      <charset val="128"/>
    </font>
    <font>
      <sz val="12"/>
      <color theme="1"/>
      <name val="ＭＳ Ｐゴシック"/>
      <family val="2"/>
      <charset val="128"/>
    </font>
    <font>
      <b val="true"/>
      <sz val="14"/>
      <color theme="1"/>
      <name val="游ゴシック"/>
      <family val="3"/>
      <charset val="128"/>
    </font>
    <font>
      <sz val="10"/>
      <name val="WenQuanYi Zen Hei"/>
      <family val="2"/>
    </font>
    <font>
      <sz val="10"/>
      <name val="游ゴシック"/>
      <family val="0"/>
      <charset val="1"/>
    </font>
    <font>
      <sz val="12"/>
      <color theme="1"/>
      <name val="游ゴシック Medium"/>
      <family val="2"/>
      <charset val="128"/>
    </font>
    <font>
      <sz val="12"/>
      <color theme="0"/>
      <name val="游ゴシック"/>
      <family val="3"/>
      <charset val="128"/>
    </font>
    <font>
      <sz val="12"/>
      <color theme="0"/>
      <name val="WenQuanYi Zen Hei"/>
      <family val="2"/>
    </font>
    <font>
      <sz val="11"/>
      <color rgb="FFFF0000"/>
      <name val="游ゴシック"/>
      <family val="3"/>
      <charset val="128"/>
    </font>
    <font>
      <i val="true"/>
      <sz val="9"/>
      <color theme="1"/>
      <name val="游ゴシック"/>
      <family val="3"/>
      <charset val="128"/>
    </font>
    <font>
      <i val="true"/>
      <sz val="9"/>
      <color theme="1"/>
      <name val="WenQuanYi Zen Hei"/>
      <family val="2"/>
    </font>
    <font>
      <i val="true"/>
      <sz val="9"/>
      <color theme="1"/>
      <name val="Arial"/>
      <family val="2"/>
      <charset val="1"/>
    </font>
    <font>
      <b val="true"/>
      <sz val="11"/>
      <color theme="1"/>
      <name val="Arial"/>
      <family val="2"/>
      <charset val="1"/>
    </font>
    <font>
      <sz val="12"/>
      <color theme="1"/>
      <name val="Arial"/>
      <family val="2"/>
      <charset val="128"/>
    </font>
    <font>
      <b val="true"/>
      <sz val="11"/>
      <color theme="1"/>
      <name val="游ゴシック"/>
      <family val="3"/>
      <charset val="128"/>
    </font>
    <font>
      <sz val="10"/>
      <color theme="1"/>
      <name val="游ゴシック"/>
      <family val="3"/>
      <charset val="128"/>
    </font>
    <font>
      <sz val="10"/>
      <color theme="1"/>
      <name val="Arial"/>
      <family val="2"/>
      <charset val="1"/>
    </font>
    <font>
      <b val="true"/>
      <sz val="11"/>
      <color theme="1"/>
      <name val="游ゴシック Medium"/>
      <family val="2"/>
      <charset val="128"/>
    </font>
    <font>
      <b val="true"/>
      <sz val="11"/>
      <color theme="1"/>
      <name val="WenQuanYi Zen Hei"/>
      <family val="2"/>
    </font>
    <font>
      <sz val="9"/>
      <color theme="1"/>
      <name val="游ゴシック"/>
      <family val="3"/>
      <charset val="128"/>
    </font>
    <font>
      <b val="true"/>
      <sz val="9"/>
      <color theme="1"/>
      <name val="游ゴシック Medium"/>
      <family val="3"/>
      <charset val="128"/>
    </font>
    <font>
      <sz val="11"/>
      <color rgb="FFFF0000"/>
      <name val="游ゴシック Medium"/>
      <family val="2"/>
      <charset val="128"/>
    </font>
    <font>
      <b val="true"/>
      <sz val="12"/>
      <color rgb="FFFF0000"/>
      <name val="游ゴシック"/>
      <family val="3"/>
      <charset val="128"/>
    </font>
    <font>
      <b val="true"/>
      <sz val="12"/>
      <color rgb="FFFF0000"/>
      <name val="WenQuanYi Zen Hei"/>
      <family val="2"/>
    </font>
    <font>
      <b val="true"/>
      <sz val="12"/>
      <color theme="1"/>
      <name val="游ゴシック"/>
      <family val="2"/>
      <charset val="128"/>
    </font>
  </fonts>
  <fills count="12">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1F2FB"/>
      </patternFill>
    </fill>
    <fill>
      <patternFill patternType="solid">
        <fgColor theme="0"/>
        <bgColor rgb="FFE1F3FB"/>
      </patternFill>
    </fill>
    <fill>
      <patternFill patternType="solid">
        <fgColor theme="7"/>
        <bgColor rgb="FF008080"/>
      </patternFill>
    </fill>
    <fill>
      <patternFill patternType="solid">
        <fgColor rgb="FFFFFF00"/>
        <bgColor rgb="FFFFFF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FF0000"/>
        <bgColor rgb="FF993300"/>
      </patternFill>
    </fill>
  </fills>
  <borders count="74">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thin">
        <color theme="0"/>
      </left>
      <right style="thin">
        <color theme="0"/>
      </right>
      <top style="thin">
        <color theme="3"/>
      </top>
      <bottom/>
      <diagonal/>
    </border>
    <border diagonalUp="false" diagonalDown="false">
      <left style="thin">
        <color theme="0"/>
      </left>
      <right/>
      <top style="thin">
        <color theme="3"/>
      </top>
      <bottom/>
      <diagonal/>
    </border>
    <border diagonalUp="false" diagonalDown="false">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s>
  <cellStyleXfs count="22">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8" fontId="0" fillId="0" borderId="0" applyFont="true" applyBorder="true" applyAlignment="true" applyProtection="true">
      <alignment horizontal="general" vertical="center" textRotation="0" wrapText="false" indent="0" shrinkToFit="false"/>
      <protection locked="true" hidden="false"/>
    </xf>
  </cellStyleXfs>
  <cellXfs count="462">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true" applyBorder="false" applyAlignment="true" applyProtection="false">
      <alignment horizontal="general" vertical="center" textRotation="0" wrapText="false" indent="0" shrinkToFit="false"/>
      <protection locked="true" hidden="false"/>
    </xf>
    <xf numFmtId="164" fontId="0" fillId="3" borderId="0" xfId="0" applyFont="true" applyBorder="false" applyAlignment="true" applyProtection="false">
      <alignment horizontal="general" vertical="center" textRotation="0" wrapText="false" indent="0" shrinkToFit="false"/>
      <protection locked="true" hidden="false"/>
    </xf>
    <xf numFmtId="164" fontId="0"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true" applyBorder="false" applyAlignment="true" applyProtection="false">
      <alignment horizontal="general" vertical="center" textRotation="0" wrapText="false" indent="0" shrinkToFit="false"/>
      <protection locked="true" hidden="false"/>
    </xf>
    <xf numFmtId="164" fontId="0" fillId="6" borderId="0" xfId="0" applyFont="tru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2" xfId="0" applyFont="true" applyBorder="true" applyAlignment="true" applyProtection="false">
      <alignment horizontal="center" vertical="center" textRotation="0" wrapText="false" indent="0" shrinkToFit="false"/>
      <protection locked="true" hidden="false"/>
    </xf>
    <xf numFmtId="165" fontId="7" fillId="2" borderId="3" xfId="0" applyFont="true" applyBorder="true" applyAlignment="true" applyProtection="false">
      <alignment horizontal="center" vertical="center" textRotation="0" wrapText="false" indent="0" shrinkToFit="false"/>
      <protection locked="true" hidden="false"/>
    </xf>
    <xf numFmtId="164" fontId="6" fillId="2" borderId="4" xfId="0" applyFont="true" applyBorder="true" applyAlignment="true" applyProtection="false">
      <alignment horizontal="center" vertical="center" textRotation="0" wrapText="false" indent="0" shrinkToFit="false"/>
      <protection locked="true" hidden="false"/>
    </xf>
    <xf numFmtId="164" fontId="6" fillId="6" borderId="5"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true" applyProtection="false">
      <alignment horizontal="left" vertical="center" textRotation="0" wrapText="false" indent="1" shrinkToFit="false"/>
      <protection locked="true" hidden="false"/>
    </xf>
    <xf numFmtId="166" fontId="9" fillId="3" borderId="7" xfId="0" applyFont="true" applyBorder="true" applyAlignment="true" applyProtection="false">
      <alignment horizontal="right" vertical="center" textRotation="0" wrapText="false" indent="1" shrinkToFit="false"/>
      <protection locked="true" hidden="false"/>
    </xf>
    <xf numFmtId="166" fontId="9" fillId="3" borderId="8" xfId="0" applyFont="true" applyBorder="true" applyAlignment="true" applyProtection="false">
      <alignment horizontal="right" vertical="center" textRotation="0" wrapText="false" indent="1" shrinkToFit="false"/>
      <protection locked="true" hidden="false"/>
    </xf>
    <xf numFmtId="164" fontId="10" fillId="4" borderId="2" xfId="0" applyFont="true" applyBorder="true" applyAlignment="true" applyProtection="false">
      <alignment horizontal="left" vertical="center" textRotation="0" wrapText="false" indent="3" shrinkToFit="false"/>
      <protection locked="true" hidden="false"/>
    </xf>
    <xf numFmtId="166" fontId="11" fillId="0" borderId="0" xfId="0" applyFont="true" applyBorder="false" applyAlignment="true" applyProtection="false">
      <alignment horizontal="right" vertical="center" textRotation="0" wrapText="false" indent="1" shrinkToFit="false"/>
      <protection locked="true" hidden="false"/>
    </xf>
    <xf numFmtId="166" fontId="11" fillId="0" borderId="9" xfId="0" applyFont="true" applyBorder="true" applyAlignment="true" applyProtection="false">
      <alignment horizontal="right" vertical="center" textRotation="0" wrapText="false" indent="1" shrinkToFit="false"/>
      <protection locked="true" hidden="false"/>
    </xf>
    <xf numFmtId="164" fontId="0" fillId="0" borderId="2"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7" borderId="0" xfId="0" applyFont="true" applyBorder="false" applyAlignment="true" applyProtection="false">
      <alignment horizontal="center" vertical="center" textRotation="0" wrapText="false" indent="0" shrinkToFit="false"/>
      <protection locked="true" hidden="false"/>
    </xf>
    <xf numFmtId="164" fontId="0" fillId="7"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false" indent="0" shrinkToFit="false"/>
      <protection locked="true" hidden="false"/>
    </xf>
    <xf numFmtId="164" fontId="6" fillId="2" borderId="11"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true" indent="0" shrinkToFit="false"/>
      <protection locked="true" hidden="false"/>
    </xf>
    <xf numFmtId="165" fontId="9" fillId="3" borderId="6" xfId="0" applyFont="true" applyBorder="true" applyAlignment="true" applyProtection="false">
      <alignment horizontal="right" vertical="center" textRotation="0" wrapText="false" indent="1" shrinkToFit="false"/>
      <protection locked="true" hidden="false"/>
    </xf>
    <xf numFmtId="165" fontId="11" fillId="0" borderId="2" xfId="0" applyFont="true" applyBorder="true" applyAlignment="true" applyProtection="false">
      <alignment horizontal="right" vertical="center" textRotation="0" wrapText="false" indent="1" shrinkToFit="false"/>
      <protection locked="true" hidden="false"/>
    </xf>
    <xf numFmtId="164" fontId="14" fillId="4" borderId="6" xfId="0" applyFont="true" applyBorder="true" applyAlignment="true" applyProtection="false">
      <alignment horizontal="left" vertical="center" textRotation="0" wrapText="false" indent="3" shrinkToFit="false"/>
      <protection locked="true" hidden="false"/>
    </xf>
    <xf numFmtId="165"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2" shrinkToFit="false"/>
      <protection locked="true" hidden="false"/>
    </xf>
    <xf numFmtId="165" fontId="11" fillId="5" borderId="6" xfId="0" applyFont="true" applyBorder="true" applyAlignment="true" applyProtection="false">
      <alignment horizontal="right" vertical="center" textRotation="0" wrapText="false" indent="1" shrinkToFit="false"/>
      <protection locked="true" hidden="false"/>
    </xf>
    <xf numFmtId="166" fontId="11" fillId="5" borderId="6" xfId="0" applyFont="true" applyBorder="true" applyAlignment="true" applyProtection="false">
      <alignment horizontal="right" vertical="center" textRotation="0" wrapText="false" indent="1" shrinkToFit="false"/>
      <protection locked="true" hidden="false"/>
    </xf>
    <xf numFmtId="166" fontId="11" fillId="0" borderId="2" xfId="0" applyFont="true" applyBorder="true" applyAlignment="true" applyProtection="false">
      <alignment horizontal="right" vertical="center" textRotation="0" wrapText="false" indent="1" shrinkToFit="false"/>
      <protection locked="true" hidden="false"/>
    </xf>
    <xf numFmtId="166" fontId="11" fillId="5" borderId="2" xfId="0" applyFont="true" applyBorder="true" applyAlignment="true" applyProtection="false">
      <alignment horizontal="right" vertical="center" textRotation="0" wrapText="false" indent="1" shrinkToFit="false"/>
      <protection locked="true" hidden="false"/>
    </xf>
    <xf numFmtId="166"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0" shrinkToFit="false"/>
      <protection locked="true" hidden="false"/>
    </xf>
    <xf numFmtId="166" fontId="9" fillId="9" borderId="12" xfId="0" applyFont="true" applyBorder="true" applyAlignment="true" applyProtection="false">
      <alignment horizontal="right" vertical="center" textRotation="0" wrapText="false" indent="1" shrinkToFit="false"/>
      <protection locked="true" hidden="false"/>
    </xf>
    <xf numFmtId="164" fontId="6" fillId="2" borderId="12" xfId="0" applyFont="true" applyBorder="true" applyAlignment="true" applyProtection="false">
      <alignment horizontal="left" vertical="center" textRotation="0" wrapText="false" indent="1" shrinkToFit="false"/>
      <protection locked="true" hidden="false"/>
    </xf>
    <xf numFmtId="166" fontId="15" fillId="2" borderId="13" xfId="0" applyFont="true" applyBorder="true" applyAlignment="true" applyProtection="false">
      <alignment horizontal="right" vertical="center" textRotation="0" wrapText="false" indent="1" shrinkToFit="false"/>
      <protection locked="true" hidden="false"/>
    </xf>
    <xf numFmtId="166" fontId="0" fillId="0" borderId="0" xfId="0" applyFont="true" applyBorder="false" applyAlignment="true" applyProtection="false">
      <alignment horizontal="general" vertical="center" textRotation="0" wrapText="false" indent="0" shrinkToFit="false"/>
      <protection locked="true" hidden="false"/>
    </xf>
    <xf numFmtId="164" fontId="13" fillId="0" borderId="14" xfId="0" applyFont="true" applyBorder="true" applyAlignment="true" applyProtection="false">
      <alignment horizontal="general" vertical="center" textRotation="0" wrapText="false" indent="0" shrinkToFit="false"/>
      <protection locked="true" hidden="false"/>
    </xf>
    <xf numFmtId="166" fontId="16"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true" applyBorder="tru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right" vertical="center" textRotation="0" wrapText="false" indent="0" shrinkToFit="false"/>
      <protection locked="true" hidden="false"/>
    </xf>
    <xf numFmtId="164" fontId="6" fillId="2" borderId="15" xfId="0" applyFont="true" applyBorder="true" applyAlignment="true" applyProtection="false">
      <alignment horizontal="center" vertical="center" textRotation="0" wrapText="false" indent="0" shrinkToFit="false"/>
      <protection locked="true" hidden="false"/>
    </xf>
    <xf numFmtId="164" fontId="6" fillId="8" borderId="16" xfId="0" applyFont="true" applyBorder="true" applyAlignment="true" applyProtection="false">
      <alignment horizontal="center" vertical="center" textRotation="0" wrapText="true" indent="0" shrinkToFit="false"/>
      <protection locked="true" hidden="false"/>
    </xf>
    <xf numFmtId="164" fontId="8" fillId="3" borderId="7" xfId="0" applyFont="true" applyBorder="true" applyAlignment="true" applyProtection="false">
      <alignment horizontal="lef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3" shrinkToFit="false"/>
      <protection locked="true" hidden="false"/>
    </xf>
    <xf numFmtId="166" fontId="11" fillId="0" borderId="14" xfId="0" applyFont="true" applyBorder="true" applyAlignment="true" applyProtection="false">
      <alignment horizontal="right" vertical="center" textRotation="0" wrapText="false" indent="1" shrinkToFit="false"/>
      <protection locked="true" hidden="false"/>
    </xf>
    <xf numFmtId="164" fontId="14" fillId="4" borderId="7" xfId="0" applyFont="true" applyBorder="true" applyAlignment="true" applyProtection="false">
      <alignment horizontal="left" vertical="center" textRotation="0" wrapText="false" indent="3" shrinkToFit="false"/>
      <protection locked="true" hidden="false"/>
    </xf>
    <xf numFmtId="166" fontId="11" fillId="0" borderId="7" xfId="0" applyFont="true" applyBorder="true" applyAlignment="true" applyProtection="false">
      <alignment horizontal="right" vertical="center" textRotation="0" wrapText="false" indent="1" shrinkToFit="false"/>
      <protection locked="true" hidden="false"/>
    </xf>
    <xf numFmtId="166" fontId="11" fillId="0" borderId="17" xfId="0" applyFont="true" applyBorder="true" applyAlignment="true" applyProtection="false">
      <alignment horizontal="right" vertical="center" textRotation="0" wrapText="false" indent="1" shrinkToFit="false"/>
      <protection locked="true" hidden="false"/>
    </xf>
    <xf numFmtId="164" fontId="6" fillId="2" borderId="7" xfId="0" applyFont="true" applyBorder="true" applyAlignment="true" applyProtection="false">
      <alignment horizontal="left" vertical="center" textRotation="0" wrapText="false" indent="1" shrinkToFit="false"/>
      <protection locked="true" hidden="false"/>
    </xf>
    <xf numFmtId="166" fontId="15" fillId="2" borderId="7" xfId="0" applyFont="true" applyBorder="true" applyAlignment="true" applyProtection="false">
      <alignment horizontal="right" vertical="center" textRotation="0" wrapText="false" indent="1" shrinkToFit="false"/>
      <protection locked="true" hidden="false"/>
    </xf>
    <xf numFmtId="166" fontId="15" fillId="2" borderId="17" xfId="0" applyFont="true" applyBorder="true" applyAlignment="true" applyProtection="false">
      <alignment horizontal="right" vertical="center" textRotation="0" wrapText="false" indent="1" shrinkToFit="false"/>
      <protection locked="true" hidden="false"/>
    </xf>
    <xf numFmtId="165" fontId="11" fillId="0" borderId="14" xfId="0" applyFont="true" applyBorder="true" applyAlignment="true" applyProtection="false">
      <alignment horizontal="right" vertical="center" textRotation="0" wrapText="false" indent="1" shrinkToFit="false"/>
      <protection locked="true" hidden="false"/>
    </xf>
    <xf numFmtId="166" fontId="11" fillId="0" borderId="18" xfId="0" applyFont="true" applyBorder="true" applyAlignment="true" applyProtection="false">
      <alignment horizontal="right" vertical="center" textRotation="0" wrapText="false" indent="1" shrinkToFit="false"/>
      <protection locked="true" hidden="false"/>
    </xf>
    <xf numFmtId="164" fontId="6" fillId="2" borderId="19" xfId="0" applyFont="true" applyBorder="true" applyAlignment="true" applyProtection="false">
      <alignment horizontal="center" vertical="center" textRotation="0" wrapText="false" indent="0" shrinkToFit="false"/>
      <protection locked="true" hidden="false"/>
    </xf>
    <xf numFmtId="164" fontId="10" fillId="3" borderId="7" xfId="0" applyFont="true" applyBorder="true" applyAlignment="true" applyProtection="false">
      <alignment horizontal="left" vertical="center" textRotation="0" wrapText="false" indent="1" shrinkToFit="false"/>
      <protection locked="true" hidden="false"/>
    </xf>
    <xf numFmtId="166" fontId="11" fillId="3" borderId="20" xfId="0" applyFont="true" applyBorder="true" applyAlignment="true" applyProtection="false">
      <alignment horizontal="right" vertical="center" textRotation="0" wrapText="false" indent="1" shrinkToFit="false"/>
      <protection locked="true" hidden="false"/>
    </xf>
    <xf numFmtId="166" fontId="11" fillId="0" borderId="20" xfId="0" applyFont="true" applyBorder="true" applyAlignment="true" applyProtection="false">
      <alignment horizontal="right" vertical="center" textRotation="0" wrapText="false" indent="1" shrinkToFit="false"/>
      <protection locked="true" hidden="false"/>
    </xf>
    <xf numFmtId="164" fontId="18" fillId="4" borderId="0" xfId="0" applyFont="true" applyBorder="false" applyAlignment="true" applyProtection="false">
      <alignment horizontal="left" vertical="center" textRotation="0" wrapText="false" indent="3" shrinkToFit="false"/>
      <protection locked="true" hidden="false"/>
    </xf>
    <xf numFmtId="166" fontId="11" fillId="0" borderId="21" xfId="0" applyFont="true" applyBorder="true" applyAlignment="true" applyProtection="false">
      <alignment horizontal="right" vertical="center" textRotation="0" wrapText="false" indent="1" shrinkToFit="false"/>
      <protection locked="true" hidden="false"/>
    </xf>
    <xf numFmtId="166" fontId="11" fillId="0" borderId="22" xfId="0" applyFont="true" applyBorder="true" applyAlignment="true" applyProtection="false">
      <alignment horizontal="right" vertical="center" textRotation="0" wrapText="false" indent="1" shrinkToFit="false"/>
      <protection locked="true" hidden="false"/>
    </xf>
    <xf numFmtId="164" fontId="10" fillId="3" borderId="23" xfId="0" applyFont="true" applyBorder="true" applyAlignment="true" applyProtection="false">
      <alignment horizontal="left" vertical="center" textRotation="0" wrapText="false" indent="1" shrinkToFit="false"/>
      <protection locked="true" hidden="false"/>
    </xf>
    <xf numFmtId="164" fontId="10" fillId="3" borderId="14" xfId="0" applyFont="true" applyBorder="true" applyAlignment="true" applyProtection="false">
      <alignment horizontal="left" vertical="center" textRotation="0" wrapText="false" indent="1" shrinkToFit="false"/>
      <protection locked="true" hidden="false"/>
    </xf>
    <xf numFmtId="166" fontId="11" fillId="3" borderId="18" xfId="0" applyFont="true" applyBorder="true" applyAlignment="true" applyProtection="false">
      <alignment horizontal="right" vertical="center" textRotation="0" wrapText="false" indent="1" shrinkToFit="false"/>
      <protection locked="true" hidden="false"/>
    </xf>
    <xf numFmtId="166" fontId="11" fillId="3" borderId="2" xfId="0" applyFont="true" applyBorder="true" applyAlignment="true" applyProtection="false">
      <alignment horizontal="right" vertical="center" textRotation="0" wrapText="false" indent="1" shrinkToFit="false"/>
      <protection locked="true" hidden="false"/>
    </xf>
    <xf numFmtId="164" fontId="6" fillId="2" borderId="24" xfId="0" applyFont="true" applyBorder="true" applyAlignment="true" applyProtection="false">
      <alignment horizontal="left" vertical="center" textRotation="0" wrapText="false" indent="1" shrinkToFit="false"/>
      <protection locked="true" hidden="false"/>
    </xf>
    <xf numFmtId="166" fontId="15" fillId="2" borderId="25" xfId="0" applyFont="true" applyBorder="true" applyAlignment="true" applyProtection="false">
      <alignment horizontal="right" vertical="center" textRotation="0" wrapText="false" indent="1" shrinkToFit="false"/>
      <protection locked="true" hidden="false"/>
    </xf>
    <xf numFmtId="164" fontId="6" fillId="2" borderId="26" xfId="0" applyFont="true" applyBorder="true" applyAlignment="true" applyProtection="false">
      <alignment horizontal="left" vertical="center" textRotation="0" wrapText="false" indent="1" shrinkToFit="false"/>
      <protection locked="true" hidden="false"/>
    </xf>
    <xf numFmtId="166" fontId="15" fillId="2" borderId="11" xfId="0" applyFont="true" applyBorder="true" applyAlignment="true" applyProtection="false">
      <alignment horizontal="right" vertical="center" textRotation="0" wrapText="false" indent="1" shrinkToFit="false"/>
      <protection locked="true" hidden="false"/>
    </xf>
    <xf numFmtId="166" fontId="0" fillId="0" borderId="14" xfId="0" applyFont="true" applyBorder="true" applyAlignment="true" applyProtection="false">
      <alignment horizontal="general" vertical="center" textRotation="0" wrapText="false" indent="0" shrinkToFit="false"/>
      <protection locked="true" hidden="false"/>
    </xf>
    <xf numFmtId="166" fontId="12" fillId="0" borderId="14" xfId="0" applyFont="true" applyBorder="true" applyAlignment="true" applyProtection="false">
      <alignment horizontal="general" vertical="center" textRotation="0" wrapText="false" indent="0" shrinkToFit="false"/>
      <protection locked="true" hidden="false"/>
    </xf>
    <xf numFmtId="164" fontId="0" fillId="0" borderId="18" xfId="0" applyFont="true" applyBorder="true" applyAlignment="true" applyProtection="false">
      <alignment horizontal="general" vertical="center" textRotation="0" wrapText="false" indent="0" shrinkToFit="false"/>
      <protection locked="true" hidden="false"/>
    </xf>
    <xf numFmtId="164" fontId="6" fillId="2" borderId="0" xfId="0" applyFont="true" applyBorder="true" applyAlignment="true" applyProtection="false">
      <alignment horizontal="center" vertical="center" textRotation="0" wrapText="false" indent="0" shrinkToFit="false"/>
      <protection locked="true" hidden="false"/>
    </xf>
    <xf numFmtId="164" fontId="6" fillId="2" borderId="27" xfId="0" applyFont="true" applyBorder="true" applyAlignment="true" applyProtection="false">
      <alignment horizontal="center" vertical="center" textRotation="0" wrapText="false" indent="0" shrinkToFit="false"/>
      <protection locked="true" hidden="false"/>
    </xf>
    <xf numFmtId="164" fontId="6" fillId="8" borderId="10" xfId="0" applyFont="true" applyBorder="true" applyAlignment="true" applyProtection="false">
      <alignment horizontal="center" vertical="center" textRotation="0" wrapText="true" indent="0" shrinkToFit="false"/>
      <protection locked="true" hidden="false"/>
    </xf>
    <xf numFmtId="164" fontId="6" fillId="2" borderId="28" xfId="0" applyFont="true" applyBorder="true" applyAlignment="true" applyProtection="false">
      <alignment horizontal="center" vertical="center" textRotation="0" wrapText="false" indent="0" shrinkToFit="false"/>
      <protection locked="true" hidden="false"/>
    </xf>
    <xf numFmtId="164" fontId="6" fillId="2" borderId="18" xfId="0" applyFont="true" applyBorder="true" applyAlignment="true" applyProtection="false">
      <alignment horizontal="center" vertical="center" textRotation="0" wrapText="false" indent="0" shrinkToFit="false"/>
      <protection locked="true" hidden="false"/>
    </xf>
    <xf numFmtId="164" fontId="6" fillId="8" borderId="28" xfId="0" applyFont="true" applyBorder="true" applyAlignment="true" applyProtection="false">
      <alignment horizontal="center" vertical="center" textRotation="0" wrapText="false" indent="0" shrinkToFit="false"/>
      <protection locked="true" hidden="false"/>
    </xf>
    <xf numFmtId="164" fontId="6" fillId="8" borderId="18" xfId="0" applyFont="true" applyBorder="true" applyAlignment="true" applyProtection="false">
      <alignment horizontal="center" vertical="center" textRotation="0" wrapText="false" indent="0" shrinkToFit="false"/>
      <protection locked="true" hidden="false"/>
    </xf>
    <xf numFmtId="164" fontId="10" fillId="4" borderId="4" xfId="0" applyFont="true" applyBorder="true" applyAlignment="true" applyProtection="false">
      <alignment horizontal="left" vertical="center" textRotation="0" wrapText="false" indent="2" shrinkToFit="false"/>
      <protection locked="true" hidden="false"/>
    </xf>
    <xf numFmtId="166" fontId="11" fillId="0" borderId="3" xfId="0" applyFont="true" applyBorder="true" applyAlignment="true" applyProtection="false">
      <alignment horizontal="right" vertical="center" textRotation="0" wrapText="false" indent="1" shrinkToFit="false"/>
      <protection locked="true" hidden="false"/>
    </xf>
    <xf numFmtId="167" fontId="11" fillId="0" borderId="2" xfId="0" applyFont="true" applyBorder="true" applyAlignment="true" applyProtection="false">
      <alignment horizontal="right" vertical="center" textRotation="0" wrapText="false" indent="1" shrinkToFit="false"/>
      <protection locked="true" hidden="false"/>
    </xf>
    <xf numFmtId="164" fontId="14" fillId="4" borderId="0" xfId="0" applyFont="true" applyBorder="false" applyAlignment="true" applyProtection="false">
      <alignment horizontal="left" vertical="center" textRotation="0" wrapText="false" indent="2" shrinkToFit="false"/>
      <protection locked="true" hidden="false"/>
    </xf>
    <xf numFmtId="164" fontId="14" fillId="4" borderId="17" xfId="0" applyFont="true" applyBorder="true" applyAlignment="true" applyProtection="false">
      <alignment horizontal="left" vertical="center" textRotation="0" wrapText="false" indent="2" shrinkToFit="false"/>
      <protection locked="true" hidden="false"/>
    </xf>
    <xf numFmtId="167" fontId="11" fillId="0" borderId="6" xfId="0" applyFont="true" applyBorder="true" applyAlignment="true" applyProtection="false">
      <alignment horizontal="right" vertical="center" textRotation="0" wrapText="false" indent="1" shrinkToFit="false"/>
      <protection locked="true" hidden="false"/>
    </xf>
    <xf numFmtId="164" fontId="8" fillId="3" borderId="29" xfId="0" applyFont="true" applyBorder="true" applyAlignment="true" applyProtection="false">
      <alignment horizontal="left" vertical="center" textRotation="0" wrapText="false" indent="1" shrinkToFit="false"/>
      <protection locked="true" hidden="false"/>
    </xf>
    <xf numFmtId="166" fontId="9" fillId="3" borderId="6" xfId="0" applyFont="true" applyBorder="true" applyAlignment="true" applyProtection="false">
      <alignment horizontal="right" vertical="center" textRotation="0" wrapText="false" indent="1" shrinkToFit="false"/>
      <protection locked="true" hidden="false"/>
    </xf>
    <xf numFmtId="167" fontId="9" fillId="3" borderId="6" xfId="0" applyFont="true" applyBorder="true" applyAlignment="true" applyProtection="false">
      <alignment horizontal="right" vertical="center" textRotation="0" wrapText="false" indent="1" shrinkToFit="false"/>
      <protection locked="true" hidden="false"/>
    </xf>
    <xf numFmtId="164" fontId="10" fillId="4" borderId="30" xfId="0" applyFont="true" applyBorder="true" applyAlignment="true" applyProtection="false">
      <alignment horizontal="left" vertical="center" textRotation="0" wrapText="false" indent="2" shrinkToFit="false"/>
      <protection locked="true" hidden="false"/>
    </xf>
    <xf numFmtId="164" fontId="8" fillId="4" borderId="29" xfId="0" applyFont="true" applyBorder="true" applyAlignment="true" applyProtection="false">
      <alignment horizontal="left" vertical="center" textRotation="0" wrapText="false" indent="2" shrinkToFit="false"/>
      <protection locked="true" hidden="false"/>
    </xf>
    <xf numFmtId="166" fontId="9" fillId="0" borderId="12" xfId="0" applyFont="true" applyBorder="true" applyAlignment="true" applyProtection="false">
      <alignment horizontal="right" vertical="center" textRotation="0" wrapText="false" indent="1" shrinkToFit="false"/>
      <protection locked="true" hidden="false"/>
    </xf>
    <xf numFmtId="167" fontId="9" fillId="0" borderId="12" xfId="0" applyFont="true" applyBorder="true" applyAlignment="true" applyProtection="false">
      <alignment horizontal="right" vertical="center" textRotation="0" wrapText="false" indent="1" shrinkToFit="false"/>
      <protection locked="true" hidden="false"/>
    </xf>
    <xf numFmtId="166" fontId="9" fillId="0" borderId="6" xfId="0" applyFont="true" applyBorder="true" applyAlignment="true" applyProtection="false">
      <alignment horizontal="right" vertical="center" textRotation="0" wrapText="false" indent="1" shrinkToFit="false"/>
      <protection locked="true" hidden="false"/>
    </xf>
    <xf numFmtId="167" fontId="9" fillId="0" borderId="6" xfId="0" applyFont="true" applyBorder="true" applyAlignment="true" applyProtection="false">
      <alignment horizontal="right" vertical="center" textRotation="0" wrapText="false" indent="1" shrinkToFit="false"/>
      <protection locked="true" hidden="false"/>
    </xf>
    <xf numFmtId="164" fontId="10" fillId="4" borderId="30" xfId="0" applyFont="true" applyBorder="true" applyAlignment="true" applyProtection="false">
      <alignment horizontal="left" vertical="center" textRotation="0" wrapText="false" indent="3" shrinkToFit="false"/>
      <protection locked="true" hidden="false"/>
    </xf>
    <xf numFmtId="164" fontId="10" fillId="4" borderId="0" xfId="0" applyFont="true" applyBorder="false" applyAlignment="true" applyProtection="false">
      <alignment horizontal="left" vertical="center" textRotation="0" wrapText="false" indent="3" shrinkToFit="false"/>
      <protection locked="true" hidden="false"/>
    </xf>
    <xf numFmtId="164" fontId="14" fillId="4" borderId="17" xfId="0" applyFont="true" applyBorder="true" applyAlignment="true" applyProtection="false">
      <alignment horizontal="left" vertical="center" textRotation="0" wrapText="false" indent="3" shrinkToFit="false"/>
      <protection locked="true" hidden="false"/>
    </xf>
    <xf numFmtId="164" fontId="19" fillId="4" borderId="17" xfId="0" applyFont="true" applyBorder="true" applyAlignment="true" applyProtection="false">
      <alignment horizontal="left" vertical="center" textRotation="0" wrapText="false" indent="1" shrinkToFit="false"/>
      <protection locked="true" hidden="false"/>
    </xf>
    <xf numFmtId="167" fontId="0" fillId="0" borderId="0" xfId="0" applyFont="true" applyBorder="false" applyAlignment="true" applyProtection="false">
      <alignment horizontal="general" vertical="center" textRotation="0" wrapText="false" indent="0" shrinkToFit="false"/>
      <protection locked="true" hidden="false"/>
    </xf>
    <xf numFmtId="167" fontId="0" fillId="0" borderId="14" xfId="0" applyFont="true" applyBorder="true" applyAlignment="true" applyProtection="false">
      <alignment horizontal="general" vertical="center" textRotation="0" wrapText="false" indent="0" shrinkToFit="false"/>
      <protection locked="true" hidden="false"/>
    </xf>
    <xf numFmtId="167" fontId="0" fillId="0" borderId="18" xfId="0" applyFont="true" applyBorder="true" applyAlignment="true" applyProtection="false">
      <alignment horizontal="general" vertical="center" textRotation="0" wrapText="false" indent="0" shrinkToFit="false"/>
      <protection locked="true" hidden="false"/>
    </xf>
    <xf numFmtId="164" fontId="6" fillId="2" borderId="31" xfId="0" applyFont="true" applyBorder="true" applyAlignment="true" applyProtection="false">
      <alignment horizontal="center" vertical="center" textRotation="0" wrapText="false" indent="0" shrinkToFit="false"/>
      <protection locked="true" hidden="false"/>
    </xf>
    <xf numFmtId="164" fontId="6" fillId="2" borderId="25" xfId="0" applyFont="true" applyBorder="true" applyAlignment="true" applyProtection="false">
      <alignment horizontal="center" vertical="center" textRotation="0" wrapText="false" indent="0" shrinkToFit="false"/>
      <protection locked="true" hidden="false"/>
    </xf>
    <xf numFmtId="167" fontId="6" fillId="2" borderId="32" xfId="0" applyFont="true" applyBorder="true" applyAlignment="true" applyProtection="false">
      <alignment horizontal="center" vertical="center" textRotation="0" wrapText="false" indent="0" shrinkToFit="false"/>
      <protection locked="true" hidden="false"/>
    </xf>
    <xf numFmtId="167" fontId="6" fillId="2" borderId="25" xfId="0" applyFont="true" applyBorder="true" applyAlignment="true" applyProtection="false">
      <alignment horizontal="center" vertical="center" textRotation="0" wrapText="false" indent="0" shrinkToFit="false"/>
      <protection locked="true" hidden="false"/>
    </xf>
    <xf numFmtId="164" fontId="6" fillId="8" borderId="25" xfId="0" applyFont="true" applyBorder="true" applyAlignment="true" applyProtection="false">
      <alignment horizontal="center" vertical="center" textRotation="0" wrapText="false" indent="0" shrinkToFit="false"/>
      <protection locked="true" hidden="false"/>
    </xf>
    <xf numFmtId="167" fontId="6" fillId="8" borderId="32" xfId="0" applyFont="true" applyBorder="true" applyAlignment="true" applyProtection="false">
      <alignment horizontal="center" vertical="center" textRotation="0" wrapText="false" indent="0" shrinkToFit="false"/>
      <protection locked="true" hidden="false"/>
    </xf>
    <xf numFmtId="165" fontId="20" fillId="5" borderId="18" xfId="0" applyFont="true" applyBorder="true" applyAlignment="true" applyProtection="false">
      <alignment horizontal="left" vertical="center" textRotation="0" wrapText="false" indent="1" shrinkToFit="false"/>
      <protection locked="true" hidden="false"/>
    </xf>
    <xf numFmtId="164" fontId="10" fillId="10" borderId="26" xfId="0" applyFont="true" applyBorder="true" applyAlignment="true" applyProtection="false">
      <alignment horizontal="left" vertical="center" textRotation="0" wrapText="false" indent="2" shrinkToFit="false"/>
      <protection locked="true" hidden="false"/>
    </xf>
    <xf numFmtId="166" fontId="11" fillId="10" borderId="33" xfId="0" applyFont="true" applyBorder="true" applyAlignment="true" applyProtection="false">
      <alignment horizontal="right" vertical="center" textRotation="0" wrapText="false" indent="1" shrinkToFit="false"/>
      <protection locked="true" hidden="false"/>
    </xf>
    <xf numFmtId="167" fontId="11" fillId="10" borderId="11" xfId="0" applyFont="true" applyBorder="true" applyAlignment="true" applyProtection="false">
      <alignment horizontal="right" vertical="center" textRotation="0" wrapText="false" indent="1" shrinkToFit="false"/>
      <protection locked="true" hidden="false"/>
    </xf>
    <xf numFmtId="166" fontId="11" fillId="10" borderId="11" xfId="0" applyFont="true" applyBorder="true" applyAlignment="true" applyProtection="false">
      <alignment horizontal="righ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2" shrinkToFit="false"/>
      <protection locked="true" hidden="false"/>
    </xf>
    <xf numFmtId="164" fontId="10" fillId="4" borderId="0" xfId="0" applyFont="true" applyBorder="false" applyAlignment="true" applyProtection="false">
      <alignment horizontal="left" vertical="center" textRotation="0" wrapText="false" indent="2" shrinkToFit="false"/>
      <protection locked="true" hidden="false"/>
    </xf>
    <xf numFmtId="164" fontId="8" fillId="3" borderId="29" xfId="0" applyFont="true" applyBorder="true" applyAlignment="true" applyProtection="false">
      <alignment horizontal="left" vertical="center" textRotation="0" wrapText="false" indent="3" shrinkToFit="false"/>
      <protection locked="true" hidden="false"/>
    </xf>
    <xf numFmtId="166" fontId="9" fillId="3" borderId="20" xfId="0" applyFont="true" applyBorder="true" applyAlignment="true" applyProtection="false">
      <alignment horizontal="right" vertical="center" textRotation="0" wrapText="false" indent="1" shrinkToFit="false"/>
      <protection locked="true" hidden="false"/>
    </xf>
    <xf numFmtId="164" fontId="8" fillId="3" borderId="29" xfId="0" applyFont="true" applyBorder="true" applyAlignment="true" applyProtection="false">
      <alignment horizontal="left" vertical="center" textRotation="0" wrapText="false" indent="2" shrinkToFit="false"/>
      <protection locked="true" hidden="false"/>
    </xf>
    <xf numFmtId="164" fontId="10" fillId="0" borderId="29" xfId="0" applyFont="true" applyBorder="true" applyAlignment="true" applyProtection="false">
      <alignment horizontal="left" vertical="center" textRotation="0" wrapText="false" indent="2" shrinkToFit="false"/>
      <protection locked="true" hidden="false"/>
    </xf>
    <xf numFmtId="164" fontId="22" fillId="0" borderId="29" xfId="0" applyFont="true" applyBorder="true" applyAlignment="true" applyProtection="false">
      <alignment horizontal="left" vertical="center" textRotation="0" wrapText="false" indent="2" shrinkToFit="false"/>
      <protection locked="true" hidden="false"/>
    </xf>
    <xf numFmtId="166" fontId="23" fillId="0" borderId="20" xfId="0" applyFont="true" applyBorder="true" applyAlignment="true" applyProtection="false">
      <alignment horizontal="right" vertical="center" textRotation="0" wrapText="false" indent="1" shrinkToFit="false"/>
      <protection locked="true" hidden="false"/>
    </xf>
    <xf numFmtId="167" fontId="23" fillId="0" borderId="6" xfId="0" applyFont="true" applyBorder="true" applyAlignment="true" applyProtection="false">
      <alignment horizontal="right" vertical="center" textRotation="0" wrapText="false" indent="1" shrinkToFit="false"/>
      <protection locked="true" hidden="false"/>
    </xf>
    <xf numFmtId="166" fontId="23" fillId="0" borderId="6" xfId="0" applyFont="true" applyBorder="true" applyAlignment="true" applyProtection="false">
      <alignment horizontal="right" vertical="center" textRotation="0" wrapText="false" indent="1" shrinkToFit="false"/>
      <protection locked="true" hidden="false"/>
    </xf>
    <xf numFmtId="166" fontId="0" fillId="0" borderId="18" xfId="0" applyFont="true" applyBorder="true" applyAlignment="true" applyProtection="false">
      <alignment horizontal="general" vertical="center" textRotation="0" wrapText="false" indent="0" shrinkToFit="false"/>
      <protection locked="true" hidden="false"/>
    </xf>
    <xf numFmtId="167" fontId="0" fillId="0" borderId="2" xfId="0" applyFont="true" applyBorder="true" applyAlignment="true" applyProtection="false">
      <alignment horizontal="general" vertical="center" textRotation="0" wrapText="false" indent="0" shrinkToFit="false"/>
      <protection locked="true" hidden="false"/>
    </xf>
    <xf numFmtId="166" fontId="0" fillId="0" borderId="2" xfId="0" applyFont="true" applyBorder="true" applyAlignment="true" applyProtection="false">
      <alignment horizontal="general" vertical="center" textRotation="0" wrapText="false" indent="0" shrinkToFit="false"/>
      <protection locked="true" hidden="false"/>
    </xf>
    <xf numFmtId="164" fontId="6" fillId="2" borderId="14"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false" indent="0" shrinkToFit="false"/>
      <protection locked="true" hidden="false"/>
    </xf>
    <xf numFmtId="164" fontId="8" fillId="3" borderId="29" xfId="0" applyFont="true" applyBorder="true" applyAlignment="true" applyProtection="false">
      <alignment horizontal="left" vertical="center" textRotation="0" wrapText="false" indent="0" shrinkToFit="false"/>
      <protection locked="true" hidden="false"/>
    </xf>
    <xf numFmtId="166" fontId="9" fillId="3" borderId="34" xfId="0" applyFont="true" applyBorder="true" applyAlignment="true" applyProtection="false">
      <alignment horizontal="right" vertical="center" textRotation="0" wrapText="false" indent="1" shrinkToFit="false"/>
      <protection locked="true" hidden="false"/>
    </xf>
    <xf numFmtId="167" fontId="11" fillId="3" borderId="12" xfId="0" applyFont="true" applyBorder="true" applyAlignment="true" applyProtection="false">
      <alignment horizontal="right" vertical="center" textRotation="0" wrapText="false" indent="1" shrinkToFit="false"/>
      <protection locked="true" hidden="false"/>
    </xf>
    <xf numFmtId="166" fontId="9" fillId="3" borderId="12" xfId="0" applyFont="true" applyBorder="true" applyAlignment="true" applyProtection="false">
      <alignment horizontal="right" vertical="center" textRotation="0" wrapText="false" indent="1" shrinkToFit="false"/>
      <protection locked="true" hidden="false"/>
    </xf>
    <xf numFmtId="164" fontId="13" fillId="5" borderId="0" xfId="0" applyFont="true" applyBorder="false" applyAlignment="true" applyProtection="false">
      <alignment horizontal="general" vertical="center" textRotation="0" wrapText="false" indent="0" shrinkToFit="false"/>
      <protection locked="true" hidden="false"/>
    </xf>
    <xf numFmtId="164" fontId="7" fillId="2" borderId="35" xfId="0" applyFont="true" applyBorder="true" applyAlignment="true" applyProtection="false">
      <alignment horizontal="general" vertical="center" textRotation="0" wrapText="false" indent="0" shrinkToFit="false"/>
      <protection locked="true" hidden="false"/>
    </xf>
    <xf numFmtId="164" fontId="7" fillId="2" borderId="3" xfId="0" applyFont="true" applyBorder="true" applyAlignment="true" applyProtection="false">
      <alignment horizontal="center" vertical="center" textRotation="0" wrapText="false" indent="0" shrinkToFit="false"/>
      <protection locked="true" hidden="false"/>
    </xf>
    <xf numFmtId="164" fontId="7" fillId="2" borderId="36" xfId="0" applyFont="true" applyBorder="true" applyAlignment="true" applyProtection="false">
      <alignment horizontal="center" vertical="center" textRotation="0" wrapText="false" indent="0" shrinkToFit="false"/>
      <protection locked="true" hidden="false"/>
    </xf>
    <xf numFmtId="164" fontId="10" fillId="4" borderId="34" xfId="0" applyFont="true" applyBorder="true" applyAlignment="true" applyProtection="false">
      <alignment horizontal="left" vertical="center" textRotation="0" wrapText="false" indent="1" shrinkToFit="false"/>
      <protection locked="true" hidden="false"/>
    </xf>
    <xf numFmtId="165" fontId="11" fillId="0" borderId="12" xfId="21" applyFont="true" applyBorder="true" applyAlignment="true" applyProtection="false">
      <alignment horizontal="right" vertical="center" textRotation="0" wrapText="false" indent="1" shrinkToFit="false"/>
      <protection locked="true" hidden="false"/>
    </xf>
    <xf numFmtId="165" fontId="11" fillId="0" borderId="34" xfId="21" applyFont="true" applyBorder="true" applyAlignment="true" applyProtection="false">
      <alignment horizontal="right" vertical="center" textRotation="0" wrapText="false" indent="1" shrinkToFit="false"/>
      <protection locked="true" hidden="false"/>
    </xf>
    <xf numFmtId="165" fontId="24" fillId="0" borderId="12" xfId="21" applyFont="true" applyBorder="true" applyAlignment="true" applyProtection="false">
      <alignment horizontal="right" vertical="center" textRotation="0" wrapText="false" indent="1" shrinkToFit="false"/>
      <protection locked="true" hidden="false"/>
    </xf>
    <xf numFmtId="164" fontId="10" fillId="4" borderId="12" xfId="0" applyFont="true" applyBorder="true" applyAlignment="true" applyProtection="false">
      <alignment horizontal="left" vertical="center" textRotation="0" wrapText="false" indent="1" shrinkToFit="false"/>
      <protection locked="true" hidden="false"/>
    </xf>
    <xf numFmtId="166" fontId="9" fillId="3" borderId="37" xfId="0" applyFont="true" applyBorder="true" applyAlignment="true" applyProtection="false">
      <alignment horizontal="right" vertical="center" textRotation="0" wrapText="false" indent="1" shrinkToFit="false"/>
      <protection locked="true" hidden="false"/>
    </xf>
    <xf numFmtId="166" fontId="11" fillId="5" borderId="8"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1" shrinkToFit="false"/>
      <protection locked="true" hidden="false"/>
    </xf>
    <xf numFmtId="166" fontId="11" fillId="5" borderId="23" xfId="0" applyFont="true" applyBorder="true" applyAlignment="true" applyProtection="false">
      <alignment horizontal="right" vertical="center" textRotation="0" wrapText="false" indent="1" shrinkToFit="false"/>
      <protection locked="true" hidden="false"/>
    </xf>
    <xf numFmtId="166" fontId="11" fillId="5" borderId="37"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2" shrinkToFit="false"/>
      <protection locked="true" hidden="false"/>
    </xf>
    <xf numFmtId="166" fontId="11" fillId="5" borderId="23" xfId="0" applyFont="true" applyBorder="true" applyAlignment="true" applyProtection="false">
      <alignment horizontal="right" vertical="center" textRotation="0" wrapText="false" indent="2" shrinkToFit="false"/>
      <protection locked="true" hidden="false"/>
    </xf>
    <xf numFmtId="166" fontId="11" fillId="5" borderId="37" xfId="0" applyFont="true" applyBorder="true" applyAlignment="true" applyProtection="false">
      <alignment horizontal="right" vertical="center" textRotation="0" wrapText="false" indent="2" shrinkToFit="false"/>
      <protection locked="true" hidden="false"/>
    </xf>
    <xf numFmtId="164" fontId="10" fillId="4" borderId="2"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1" shrinkToFit="false"/>
      <protection locked="true" hidden="false"/>
    </xf>
    <xf numFmtId="166" fontId="9" fillId="9" borderId="37" xfId="0" applyFont="true" applyBorder="true" applyAlignment="true" applyProtection="false">
      <alignment horizontal="right" vertical="center" textRotation="0" wrapText="false" indent="1" shrinkToFit="false"/>
      <protection locked="true" hidden="false"/>
    </xf>
    <xf numFmtId="164" fontId="10" fillId="4" borderId="38" xfId="0" applyFont="true" applyBorder="true" applyAlignment="true" applyProtection="false">
      <alignment horizontal="left" vertical="center" textRotation="0" wrapText="false" indent="1" shrinkToFit="false"/>
      <protection locked="true" hidden="false"/>
    </xf>
    <xf numFmtId="166" fontId="11" fillId="5" borderId="39" xfId="0" applyFont="true" applyBorder="true" applyAlignment="true" applyProtection="false">
      <alignment horizontal="right" vertical="center" textRotation="0" wrapText="false" indent="1" shrinkToFit="false"/>
      <protection locked="true" hidden="false"/>
    </xf>
    <xf numFmtId="166" fontId="11" fillId="5" borderId="40" xfId="0" applyFont="true" applyBorder="true" applyAlignment="true" applyProtection="false">
      <alignment horizontal="right" vertical="center" textRotation="0" wrapText="false" indent="1" shrinkToFit="false"/>
      <protection locked="true" hidden="false"/>
    </xf>
    <xf numFmtId="166" fontId="11" fillId="0" borderId="41" xfId="0" applyFont="true" applyBorder="true" applyAlignment="true" applyProtection="false">
      <alignment horizontal="right" vertical="center" textRotation="0" wrapText="false" indent="1" shrinkToFit="false"/>
      <protection locked="true" hidden="false"/>
    </xf>
    <xf numFmtId="166" fontId="11" fillId="5" borderId="0" xfId="0" applyFont="true" applyBorder="false" applyAlignment="true" applyProtection="false">
      <alignment horizontal="right" vertical="center" textRotation="0" wrapText="false" indent="1" shrinkToFit="false"/>
      <protection locked="true" hidden="false"/>
    </xf>
    <xf numFmtId="164" fontId="14" fillId="4" borderId="6" xfId="0" applyFont="true" applyBorder="true" applyAlignment="true" applyProtection="false">
      <alignment horizontal="left" vertical="center" textRotation="0" wrapText="false" indent="1" shrinkToFit="false"/>
      <protection locked="true" hidden="false"/>
    </xf>
    <xf numFmtId="166" fontId="11" fillId="5" borderId="17" xfId="0" applyFont="true" applyBorder="true" applyAlignment="true" applyProtection="false">
      <alignment horizontal="right" vertical="center" textRotation="0" wrapText="false" indent="1" shrinkToFit="false"/>
      <protection locked="true" hidden="false"/>
    </xf>
    <xf numFmtId="166" fontId="11" fillId="0" borderId="8" xfId="0" applyFont="true" applyBorder="true" applyAlignment="true" applyProtection="false">
      <alignment horizontal="right" vertical="center" textRotation="0" wrapText="false" indent="1" shrinkToFit="false"/>
      <protection locked="true" hidden="false"/>
    </xf>
    <xf numFmtId="164" fontId="8" fillId="9" borderId="6" xfId="0" applyFont="true" applyBorder="true" applyAlignment="true" applyProtection="false">
      <alignment horizontal="left" vertical="center" textRotation="0" wrapText="false" indent="1" shrinkToFit="false"/>
      <protection locked="true" hidden="false"/>
    </xf>
    <xf numFmtId="166" fontId="9" fillId="9" borderId="17" xfId="0" applyFont="true" applyBorder="true" applyAlignment="true" applyProtection="false">
      <alignment horizontal="right" vertical="center" textRotation="0" wrapText="false" indent="1" shrinkToFit="false"/>
      <protection locked="true" hidden="false"/>
    </xf>
    <xf numFmtId="166" fontId="9" fillId="9" borderId="9" xfId="0" applyFont="true" applyBorder="true" applyAlignment="true" applyProtection="false">
      <alignment horizontal="right" vertical="center" textRotation="0" wrapText="false" indent="1" shrinkToFit="false"/>
      <protection locked="true" hidden="false"/>
    </xf>
    <xf numFmtId="166" fontId="15" fillId="2" borderId="12" xfId="0" applyFont="true" applyBorder="true" applyAlignment="true" applyProtection="false">
      <alignment horizontal="right" vertical="center" textRotation="0" wrapText="false" indent="1" shrinkToFit="false"/>
      <protection locked="true" hidden="false"/>
    </xf>
    <xf numFmtId="166" fontId="15" fillId="2" borderId="42" xfId="0" applyFont="true" applyBorder="true" applyAlignment="true" applyProtection="false">
      <alignment horizontal="right" vertical="center" textRotation="0" wrapText="false" indent="1" shrinkToFit="false"/>
      <protection locked="true" hidden="false"/>
    </xf>
    <xf numFmtId="166" fontId="27" fillId="0" borderId="0" xfId="0" applyFont="true" applyBorder="false" applyAlignment="true" applyProtection="false">
      <alignment horizontal="general" vertical="center" textRotation="0" wrapText="false" indent="0" shrinkToFit="false"/>
      <protection locked="true" hidden="false"/>
    </xf>
    <xf numFmtId="165" fontId="27" fillId="0" borderId="0" xfId="0" applyFont="true" applyBorder="fals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general" vertical="center" textRotation="0" wrapText="false" indent="0" shrinkToFit="false"/>
      <protection locked="true" hidden="false"/>
    </xf>
    <xf numFmtId="164" fontId="6" fillId="2" borderId="43"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10" fillId="4" borderId="3" xfId="0" applyFont="true" applyBorder="true" applyAlignment="true" applyProtection="false">
      <alignment horizontal="left" vertical="center" textRotation="0" wrapText="false" indent="1" shrinkToFit="false"/>
      <protection locked="true" hidden="false"/>
    </xf>
    <xf numFmtId="164" fontId="28" fillId="5" borderId="23"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1" shrinkToFit="false"/>
      <protection locked="true" hidden="false"/>
    </xf>
    <xf numFmtId="164" fontId="28" fillId="5" borderId="23" xfId="0" applyFont="true" applyBorder="true" applyAlignment="true" applyProtection="false">
      <alignment horizontal="left" vertical="center" textRotation="0" wrapText="true" indent="1" shrinkToFit="false"/>
      <protection locked="true" hidden="false"/>
    </xf>
    <xf numFmtId="164" fontId="10" fillId="4" borderId="44" xfId="0" applyFont="true" applyBorder="true" applyAlignment="true" applyProtection="false">
      <alignment horizontal="left" vertical="center" textRotation="0" wrapText="false" indent="1" shrinkToFit="false"/>
      <protection locked="true" hidden="false"/>
    </xf>
    <xf numFmtId="166" fontId="11" fillId="0" borderId="44" xfId="0" applyFont="true" applyBorder="true" applyAlignment="true" applyProtection="false">
      <alignment horizontal="right" vertical="center" textRotation="0" wrapText="false" indent="1" shrinkToFit="false"/>
      <protection locked="true" hidden="false"/>
    </xf>
    <xf numFmtId="164" fontId="28" fillId="5" borderId="45" xfId="0" applyFont="true" applyBorder="true" applyAlignment="true" applyProtection="false">
      <alignment horizontal="left" vertical="center" textRotation="0" wrapText="false" indent="1" shrinkToFit="false"/>
      <protection locked="true" hidden="false"/>
    </xf>
    <xf numFmtId="164" fontId="8" fillId="9" borderId="46" xfId="0" applyFont="true" applyBorder="true" applyAlignment="true" applyProtection="false">
      <alignment horizontal="left" vertical="center" textRotation="0" wrapText="false" indent="1" shrinkToFit="false"/>
      <protection locked="true" hidden="false"/>
    </xf>
    <xf numFmtId="166" fontId="30" fillId="9" borderId="46" xfId="0" applyFont="true" applyBorder="true" applyAlignment="true" applyProtection="false">
      <alignment horizontal="right" vertical="center" textRotation="0" wrapText="false" indent="1" shrinkToFit="false"/>
      <protection locked="true" hidden="false"/>
    </xf>
    <xf numFmtId="164" fontId="31" fillId="9" borderId="47" xfId="0" applyFont="true" applyBorder="true" applyAlignment="true" applyProtection="false">
      <alignment horizontal="left" vertical="center" textRotation="0" wrapText="false" indent="1" shrinkToFit="false"/>
      <protection locked="true" hidden="false"/>
    </xf>
    <xf numFmtId="164" fontId="6" fillId="2" borderId="48" xfId="0" applyFont="true" applyBorder="true" applyAlignment="true" applyProtection="false">
      <alignment horizontal="center" vertical="center" textRotation="0" wrapText="false" indent="0" shrinkToFit="false"/>
      <protection locked="true" hidden="false"/>
    </xf>
    <xf numFmtId="164" fontId="6" fillId="2" borderId="49" xfId="0" applyFont="true" applyBorder="true" applyAlignment="true" applyProtection="false">
      <alignment horizontal="center" vertical="center" textRotation="0" wrapText="false" indent="0" shrinkToFit="false"/>
      <protection locked="true" hidden="false"/>
    </xf>
    <xf numFmtId="164" fontId="10" fillId="4" borderId="29" xfId="0" applyFont="true" applyBorder="true" applyAlignment="true" applyProtection="false">
      <alignment horizontal="left" vertical="center" textRotation="0" wrapText="false" indent="1" shrinkToFit="false"/>
      <protection locked="true" hidden="false"/>
    </xf>
    <xf numFmtId="166" fontId="11" fillId="0" borderId="29" xfId="0" applyFont="true" applyBorder="true" applyAlignment="true" applyProtection="false">
      <alignment horizontal="right" vertical="center" textRotation="0" wrapText="false" indent="1" shrinkToFit="false"/>
      <protection locked="true" hidden="false"/>
    </xf>
    <xf numFmtId="164" fontId="28" fillId="5" borderId="29" xfId="0" applyFont="true" applyBorder="true" applyAlignment="true" applyProtection="false">
      <alignment horizontal="left" vertical="center" textRotation="0" wrapText="true" indent="1" shrinkToFit="false"/>
      <protection locked="true" hidden="false"/>
    </xf>
    <xf numFmtId="164" fontId="32" fillId="4" borderId="29" xfId="0" applyFont="true" applyBorder="true" applyAlignment="true" applyProtection="false">
      <alignment horizontal="left" vertical="center" textRotation="0" wrapText="false" indent="1" shrinkToFit="false"/>
      <protection locked="true" hidden="false"/>
    </xf>
    <xf numFmtId="164" fontId="29" fillId="5" borderId="29" xfId="0" applyFont="true" applyBorder="true" applyAlignment="true" applyProtection="false">
      <alignment horizontal="left" vertical="center" textRotation="0" wrapText="false" indent="1" shrinkToFit="false"/>
      <protection locked="true" hidden="false"/>
    </xf>
    <xf numFmtId="164" fontId="11" fillId="4" borderId="0" xfId="0" applyFont="true" applyBorder="false" applyAlignment="true" applyProtection="false">
      <alignment horizontal="left" vertical="center" textRotation="0" wrapText="false" indent="1" shrinkToFit="false"/>
      <protection locked="true" hidden="false"/>
    </xf>
    <xf numFmtId="164" fontId="29" fillId="5" borderId="0" xfId="0" applyFont="true" applyBorder="false" applyAlignment="true" applyProtection="false">
      <alignment horizontal="left" vertical="center" textRotation="0" wrapText="false" indent="1" shrinkToFit="false"/>
      <protection locked="true" hidden="false"/>
    </xf>
    <xf numFmtId="164" fontId="11" fillId="4" borderId="50" xfId="0" applyFont="true" applyBorder="true" applyAlignment="true" applyProtection="false">
      <alignment horizontal="left" vertical="center" textRotation="0" wrapText="false" indent="1" shrinkToFit="false"/>
      <protection locked="true" hidden="false"/>
    </xf>
    <xf numFmtId="166" fontId="11" fillId="0" borderId="50" xfId="0" applyFont="true" applyBorder="true" applyAlignment="true" applyProtection="false">
      <alignment horizontal="right" vertical="center" textRotation="0" wrapText="false" indent="1" shrinkToFit="false"/>
      <protection locked="true" hidden="false"/>
    </xf>
    <xf numFmtId="164" fontId="29" fillId="5" borderId="50" xfId="0" applyFont="true" applyBorder="true" applyAlignment="true" applyProtection="false">
      <alignment horizontal="left" vertical="center" textRotation="0" wrapText="true" indent="1" shrinkToFit="false"/>
      <protection locked="true" hidden="false"/>
    </xf>
    <xf numFmtId="166" fontId="30" fillId="9" borderId="0" xfId="0" applyFont="true" applyBorder="false" applyAlignment="true" applyProtection="false">
      <alignment horizontal="right" vertical="center" textRotation="0" wrapText="false" indent="1" shrinkToFit="false"/>
      <protection locked="true" hidden="false"/>
    </xf>
    <xf numFmtId="164" fontId="29" fillId="9" borderId="0" xfId="0" applyFont="true" applyBorder="false" applyAlignment="true" applyProtection="false">
      <alignment horizontal="left" vertical="center" textRotation="0" wrapText="false" indent="1" shrinkToFit="false"/>
      <protection locked="true" hidden="false"/>
    </xf>
    <xf numFmtId="169" fontId="10" fillId="0" borderId="3" xfId="0" applyFont="true" applyBorder="true" applyAlignment="true" applyProtection="false">
      <alignment horizontal="right" vertical="center" textRotation="0" wrapText="false" indent="1" shrinkToFit="false"/>
      <protection locked="true" hidden="false"/>
    </xf>
    <xf numFmtId="169" fontId="11" fillId="0" borderId="12" xfId="0" applyFont="true" applyBorder="true" applyAlignment="true" applyProtection="false">
      <alignment horizontal="right" vertical="center" textRotation="0" wrapText="false" indent="1" shrinkToFit="false"/>
      <protection locked="true" hidden="false"/>
    </xf>
    <xf numFmtId="169" fontId="11" fillId="0" borderId="44" xfId="0" applyFont="true" applyBorder="true" applyAlignment="true" applyProtection="false">
      <alignment horizontal="right" vertical="center" textRotation="0" wrapText="false" indent="1" shrinkToFit="false"/>
      <protection locked="true" hidden="false"/>
    </xf>
    <xf numFmtId="169" fontId="30" fillId="9" borderId="46" xfId="0" applyFont="true" applyBorder="true" applyAlignment="true" applyProtection="false">
      <alignment horizontal="right" vertical="center" textRotation="0" wrapText="false" indent="1" shrinkToFit="false"/>
      <protection locked="true" hidden="false"/>
    </xf>
    <xf numFmtId="164" fontId="8" fillId="3" borderId="46" xfId="0" applyFont="true" applyBorder="true" applyAlignment="true" applyProtection="false">
      <alignment horizontal="left" vertical="center" textRotation="0" wrapText="false" indent="1" shrinkToFit="false"/>
      <protection locked="true" hidden="false"/>
    </xf>
    <xf numFmtId="164" fontId="6" fillId="2" borderId="51" xfId="0" applyFont="true" applyBorder="true" applyAlignment="true" applyProtection="false">
      <alignment horizontal="center" vertical="center" textRotation="0" wrapText="false" indent="0" shrinkToFit="false"/>
      <protection locked="true" hidden="false"/>
    </xf>
    <xf numFmtId="168" fontId="19" fillId="5" borderId="3" xfId="21" applyFont="true" applyBorder="true" applyAlignment="true" applyProtection="false">
      <alignment horizontal="right" vertical="center" textRotation="0" wrapText="false" indent="1" shrinkToFit="false"/>
      <protection locked="true" hidden="false"/>
    </xf>
    <xf numFmtId="164" fontId="29" fillId="5" borderId="23" xfId="0" applyFont="true" applyBorder="true" applyAlignment="true" applyProtection="false">
      <alignment horizontal="left" vertical="center" textRotation="0" wrapText="false" indent="1" shrinkToFit="false"/>
      <protection locked="true" hidden="false"/>
    </xf>
    <xf numFmtId="168" fontId="19" fillId="5" borderId="12" xfId="21" applyFont="true" applyBorder="true" applyAlignment="true" applyProtection="false">
      <alignment horizontal="right" vertical="center" textRotation="0" wrapText="false" indent="1" shrinkToFit="false"/>
      <protection locked="true" hidden="false"/>
    </xf>
    <xf numFmtId="168" fontId="19" fillId="5" borderId="2" xfId="21" applyFont="true" applyBorder="true" applyAlignment="true" applyProtection="false">
      <alignment horizontal="right" vertical="center" textRotation="0" wrapText="false" indent="1" shrinkToFit="false"/>
      <protection locked="true" hidden="false"/>
    </xf>
    <xf numFmtId="168" fontId="19" fillId="5" borderId="44" xfId="21" applyFont="true" applyBorder="true" applyAlignment="true" applyProtection="false">
      <alignment horizontal="right" vertical="center" textRotation="0" wrapText="false" indent="1" shrinkToFit="false"/>
      <protection locked="true" hidden="false"/>
    </xf>
    <xf numFmtId="164" fontId="19" fillId="9" borderId="46" xfId="0" applyFont="true" applyBorder="true" applyAlignment="true" applyProtection="false">
      <alignment horizontal="right" vertical="center" textRotation="0" wrapText="false" indent="1" shrinkToFit="false"/>
      <protection locked="true" hidden="false"/>
    </xf>
    <xf numFmtId="164" fontId="6" fillId="2" borderId="52" xfId="0" applyFont="true" applyBorder="true" applyAlignment="true" applyProtection="false">
      <alignment horizontal="center" vertical="center" textRotation="0" wrapText="false" indent="0" shrinkToFit="false"/>
      <protection locked="true" hidden="false"/>
    </xf>
    <xf numFmtId="164" fontId="6" fillId="2" borderId="53" xfId="0" applyFont="true" applyBorder="true" applyAlignment="true" applyProtection="false">
      <alignment horizontal="center" vertical="center" textRotation="0" wrapText="false" indent="0" shrinkToFit="false"/>
      <protection locked="true" hidden="false"/>
    </xf>
    <xf numFmtId="164" fontId="6" fillId="2" borderId="54" xfId="0" applyFont="true" applyBorder="true" applyAlignment="true" applyProtection="false">
      <alignment horizontal="center" vertical="center" textRotation="0" wrapText="false" indent="0" shrinkToFit="false"/>
      <protection locked="true" hidden="false"/>
    </xf>
    <xf numFmtId="164" fontId="8" fillId="3" borderId="17" xfId="0" applyFont="true" applyBorder="true" applyAlignment="true" applyProtection="false">
      <alignment horizontal="left" vertical="center" textRotation="0" wrapText="false" indent="1" shrinkToFit="false"/>
      <protection locked="true" hidden="false"/>
    </xf>
    <xf numFmtId="166" fontId="9" fillId="3" borderId="23" xfId="0" applyFont="true" applyBorder="true" applyAlignment="true" applyProtection="false">
      <alignment horizontal="right" vertical="center" textRotation="0" wrapText="false" indent="1" shrinkToFit="false"/>
      <protection locked="true" hidden="false"/>
    </xf>
    <xf numFmtId="164" fontId="6" fillId="2" borderId="17" xfId="0" applyFont="true" applyBorder="true" applyAlignment="true" applyProtection="false">
      <alignment horizontal="left" vertical="center" textRotation="0" wrapText="false" indent="1" shrinkToFit="false"/>
      <protection locked="true" hidden="false"/>
    </xf>
    <xf numFmtId="166" fontId="15" fillId="2" borderId="6" xfId="0" applyFont="true" applyBorder="true" applyAlignment="true" applyProtection="false">
      <alignment horizontal="right" vertical="center" textRotation="0" wrapText="false" indent="1" shrinkToFit="false"/>
      <protection locked="true" hidden="false"/>
    </xf>
    <xf numFmtId="166" fontId="15" fillId="2" borderId="55" xfId="0" applyFont="true" applyBorder="true" applyAlignment="true" applyProtection="false">
      <alignment horizontal="right" vertical="center" textRotation="0" wrapText="false" indent="1" shrinkToFit="false"/>
      <protection locked="true" hidden="false"/>
    </xf>
    <xf numFmtId="165" fontId="11" fillId="0" borderId="0" xfId="0" applyFont="true" applyBorder="false" applyAlignment="true" applyProtection="false">
      <alignment horizontal="right" vertical="center" textRotation="0" wrapText="false" indent="1" shrinkToFit="false"/>
      <protection locked="true" hidden="false"/>
    </xf>
    <xf numFmtId="164" fontId="6" fillId="2" borderId="56"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false" indent="1" shrinkToFit="false"/>
      <protection locked="true" hidden="false"/>
    </xf>
    <xf numFmtId="164" fontId="14" fillId="4" borderId="17" xfId="0" applyFont="true" applyBorder="true" applyAlignment="true" applyProtection="false">
      <alignment horizontal="left" vertical="center" textRotation="0" wrapText="false" indent="1" shrinkToFit="false"/>
      <protection locked="true" hidden="false"/>
    </xf>
    <xf numFmtId="166" fontId="11" fillId="0" borderId="38" xfId="0" applyFont="true" applyBorder="true" applyAlignment="true" applyProtection="false">
      <alignment horizontal="right" vertical="center" textRotation="0" wrapText="false" indent="1" shrinkToFit="false"/>
      <protection locked="true" hidden="false"/>
    </xf>
    <xf numFmtId="166" fontId="11" fillId="0" borderId="57" xfId="0" applyFont="true" applyBorder="true" applyAlignment="true" applyProtection="false">
      <alignment horizontal="right" vertical="center" textRotation="0" wrapText="false" indent="1" shrinkToFit="false"/>
      <protection locked="true" hidden="false"/>
    </xf>
    <xf numFmtId="164" fontId="18" fillId="4" borderId="17" xfId="0" applyFont="true" applyBorder="true" applyAlignment="true" applyProtection="false">
      <alignment horizontal="left" vertical="center" textRotation="0" wrapText="false" indent="1" shrinkToFit="false"/>
      <protection locked="true" hidden="false"/>
    </xf>
    <xf numFmtId="164" fontId="10" fillId="5" borderId="36" xfId="0" applyFont="true" applyBorder="true" applyAlignment="true" applyProtection="false">
      <alignment horizontal="left" vertical="center" textRotation="0" wrapText="false" indent="3" shrinkToFit="false"/>
      <protection locked="true" hidden="false"/>
    </xf>
    <xf numFmtId="166" fontId="33" fillId="5" borderId="38" xfId="0" applyFont="true" applyBorder="true" applyAlignment="true" applyProtection="false">
      <alignment horizontal="right" vertical="center" textRotation="0" wrapText="false" indent="1" shrinkToFit="false"/>
      <protection locked="true" hidden="false"/>
    </xf>
    <xf numFmtId="166" fontId="11" fillId="5" borderId="57" xfId="0" applyFont="true" applyBorder="true" applyAlignment="true" applyProtection="false">
      <alignment horizontal="right" vertical="center" textRotation="0" wrapText="false" indent="1" shrinkToFit="false"/>
      <protection locked="true" hidden="false"/>
    </xf>
    <xf numFmtId="166" fontId="11" fillId="5" borderId="41" xfId="0" applyFont="true" applyBorder="true" applyAlignment="true" applyProtection="false">
      <alignment horizontal="right" vertical="center" textRotation="0" wrapText="false" indent="1" shrinkToFit="false"/>
      <protection locked="true" hidden="false"/>
    </xf>
    <xf numFmtId="164" fontId="10" fillId="5" borderId="17" xfId="0" applyFont="true" applyBorder="true" applyAlignment="true" applyProtection="false">
      <alignment horizontal="left" vertical="center" textRotation="0" wrapText="false" indent="3" shrinkToFit="false"/>
      <protection locked="true" hidden="false"/>
    </xf>
    <xf numFmtId="166" fontId="11" fillId="5" borderId="7" xfId="0" applyFont="true" applyBorder="true" applyAlignment="true" applyProtection="false">
      <alignment horizontal="right" vertical="center" textRotation="0" wrapText="false" indent="1" shrinkToFit="false"/>
      <protection locked="true" hidden="false"/>
    </xf>
    <xf numFmtId="164" fontId="6" fillId="2" borderId="27" xfId="0" applyFont="true" applyBorder="true" applyAlignment="true" applyProtection="false">
      <alignment horizontal="left" vertical="center" textRotation="0" wrapText="false" indent="1" shrinkToFit="false"/>
      <protection locked="true" hidden="false"/>
    </xf>
    <xf numFmtId="166" fontId="15" fillId="2" borderId="10" xfId="0" applyFont="true" applyBorder="true" applyAlignment="true" applyProtection="false">
      <alignment horizontal="right" vertical="center" textRotation="0" wrapText="false" indent="1" shrinkToFit="false"/>
      <protection locked="true" hidden="false"/>
    </xf>
    <xf numFmtId="166" fontId="15" fillId="2" borderId="58" xfId="0" applyFont="true" applyBorder="true" applyAlignment="true" applyProtection="false">
      <alignment horizontal="right" vertical="center" textRotation="0" wrapText="false" indent="1" shrinkToFit="false"/>
      <protection locked="true" hidden="false"/>
    </xf>
    <xf numFmtId="164" fontId="6" fillId="2" borderId="59" xfId="0" applyFont="true" applyBorder="true" applyAlignment="true" applyProtection="false">
      <alignment horizontal="left" vertical="center" textRotation="0" wrapText="false" indent="1" shrinkToFit="false"/>
      <protection locked="true" hidden="false"/>
    </xf>
    <xf numFmtId="166" fontId="15" fillId="2" borderId="26" xfId="0" applyFont="true" applyBorder="true" applyAlignment="true" applyProtection="false">
      <alignment horizontal="right" vertical="center" textRotation="0" wrapText="false" indent="1" shrinkToFit="false"/>
      <protection locked="true" hidden="false"/>
    </xf>
    <xf numFmtId="166" fontId="15" fillId="2" borderId="60" xfId="0" applyFont="true" applyBorder="true" applyAlignment="true" applyProtection="false">
      <alignment horizontal="right" vertical="center" textRotation="0" wrapText="false" indent="1" shrinkToFit="false"/>
      <protection locked="true" hidden="false"/>
    </xf>
    <xf numFmtId="166" fontId="6" fillId="2" borderId="12" xfId="0" applyFont="true" applyBorder="true" applyAlignment="true" applyProtection="false">
      <alignment horizontal="center" vertical="center" textRotation="0" wrapText="false" indent="0" shrinkToFit="false"/>
      <protection locked="true" hidden="false"/>
    </xf>
    <xf numFmtId="166" fontId="11" fillId="5" borderId="3" xfId="0" applyFont="true" applyBorder="true" applyAlignment="true" applyProtection="false">
      <alignment horizontal="right" vertical="center" textRotation="0" wrapText="false" indent="1" shrinkToFit="false"/>
      <protection locked="true" hidden="false"/>
    </xf>
    <xf numFmtId="166" fontId="14" fillId="5" borderId="3" xfId="0" applyFont="true" applyBorder="true" applyAlignment="true" applyProtection="false">
      <alignment horizontal="right" vertical="center" textRotation="0" wrapText="false" indent="1" shrinkToFit="false"/>
      <protection locked="true" hidden="false"/>
    </xf>
    <xf numFmtId="166" fontId="11" fillId="9" borderId="3" xfId="0" applyFont="true" applyBorder="true" applyAlignment="true" applyProtection="false">
      <alignment horizontal="right" vertical="center" textRotation="0" wrapText="false" indent="1" shrinkToFit="false"/>
      <protection locked="true" hidden="false"/>
    </xf>
    <xf numFmtId="166" fontId="11" fillId="5" borderId="38" xfId="0" applyFont="true" applyBorder="true" applyAlignment="true" applyProtection="false">
      <alignment horizontal="right" vertical="center" textRotation="0" wrapText="false" indent="1" shrinkToFit="false"/>
      <protection locked="true" hidden="false"/>
    </xf>
    <xf numFmtId="166" fontId="10" fillId="5" borderId="3" xfId="0" applyFont="true" applyBorder="true" applyAlignment="true" applyProtection="false">
      <alignment horizontal="right" vertical="center" textRotation="0" wrapText="false" indent="1" shrinkToFit="false"/>
      <protection locked="true" hidden="false"/>
    </xf>
    <xf numFmtId="166" fontId="11" fillId="3" borderId="3" xfId="0" applyFont="true" applyBorder="true" applyAlignment="true" applyProtection="false">
      <alignment horizontal="right" vertical="center" textRotation="0" wrapText="false" indent="1" shrinkToFit="false"/>
      <protection locked="true" hidden="false"/>
    </xf>
    <xf numFmtId="166" fontId="11" fillId="9" borderId="2" xfId="0" applyFont="true" applyBorder="true" applyAlignment="true" applyProtection="false">
      <alignment horizontal="right" vertical="center" textRotation="0" wrapText="false" indent="1" shrinkToFit="false"/>
      <protection locked="true" hidden="false"/>
    </xf>
    <xf numFmtId="164" fontId="7" fillId="2" borderId="19" xfId="0" applyFont="true" applyBorder="true" applyAlignment="true" applyProtection="false">
      <alignment horizontal="center" vertical="center" textRotation="0" wrapText="false" indent="0" shrinkToFit="false"/>
      <protection locked="true" hidden="false"/>
    </xf>
    <xf numFmtId="170" fontId="14" fillId="4" borderId="3" xfId="0" applyFont="true" applyBorder="true" applyAlignment="true" applyProtection="false">
      <alignment horizontal="left" vertical="center" textRotation="0" wrapText="false" indent="1" shrinkToFit="false"/>
      <protection locked="true" hidden="false"/>
    </xf>
    <xf numFmtId="166" fontId="10" fillId="4" borderId="3" xfId="0" applyFont="true" applyBorder="true" applyAlignment="true" applyProtection="false">
      <alignment horizontal="left" vertical="center" textRotation="0" wrapText="false" indent="1" shrinkToFit="false"/>
      <protection locked="true" hidden="false"/>
    </xf>
    <xf numFmtId="168" fontId="10" fillId="5" borderId="3" xfId="21" applyFont="true" applyBorder="true" applyAlignment="true" applyProtection="false">
      <alignment horizontal="center" vertical="center" textRotation="0" wrapText="false" indent="0" shrinkToFit="false"/>
      <protection locked="true" hidden="false"/>
    </xf>
    <xf numFmtId="164" fontId="28" fillId="5" borderId="39" xfId="0" applyFont="true" applyBorder="true" applyAlignment="true" applyProtection="false">
      <alignment horizontal="left" vertical="center" textRotation="0" wrapText="false" indent="1" shrinkToFit="false"/>
      <protection locked="true" hidden="false"/>
    </xf>
    <xf numFmtId="168" fontId="10" fillId="5" borderId="12" xfId="21" applyFont="true" applyBorder="true" applyAlignment="true" applyProtection="false">
      <alignment horizontal="center" vertical="center" textRotation="0" wrapText="false" indent="0" shrinkToFit="false"/>
      <protection locked="true" hidden="false"/>
    </xf>
    <xf numFmtId="168" fontId="14" fillId="5" borderId="12" xfId="21" applyFont="true" applyBorder="true" applyAlignment="true" applyProtection="false">
      <alignment horizontal="center" vertical="center" textRotation="0" wrapText="false" indent="0" shrinkToFit="false"/>
      <protection locked="true" hidden="false"/>
    </xf>
    <xf numFmtId="166" fontId="33" fillId="0" borderId="12" xfId="0" applyFont="true" applyBorder="true" applyAlignment="true" applyProtection="false">
      <alignment horizontal="right" vertical="center" textRotation="0" wrapText="false" indent="1" shrinkToFit="false"/>
      <protection locked="true" hidden="false"/>
    </xf>
    <xf numFmtId="168" fontId="10" fillId="5" borderId="44" xfId="21" applyFont="true" applyBorder="true" applyAlignment="true" applyProtection="false">
      <alignment horizontal="center" vertical="center" textRotation="0" wrapText="false" indent="0" shrinkToFit="false"/>
      <protection locked="true" hidden="false"/>
    </xf>
    <xf numFmtId="164" fontId="14" fillId="9" borderId="46" xfId="0" applyFont="true" applyBorder="true" applyAlignment="true" applyProtection="false">
      <alignment horizontal="right" vertical="center" textRotation="0" wrapText="false" indent="1" shrinkToFit="false"/>
      <protection locked="true" hidden="false"/>
    </xf>
    <xf numFmtId="166" fontId="10" fillId="4" borderId="12" xfId="0" applyFont="true" applyBorder="true" applyAlignment="true" applyProtection="false">
      <alignment horizontal="left" vertical="center" textRotation="0" wrapText="false" indent="1" shrinkToFit="false"/>
      <protection locked="true" hidden="false"/>
    </xf>
    <xf numFmtId="166" fontId="14" fillId="5" borderId="12" xfId="0" applyFont="true" applyBorder="true" applyAlignment="true" applyProtection="false">
      <alignment horizontal="right" vertical="center" textRotation="0" wrapText="false" indent="1" shrinkToFit="false"/>
      <protection locked="true" hidden="false"/>
    </xf>
    <xf numFmtId="166" fontId="10" fillId="4" borderId="2" xfId="0" applyFont="true" applyBorder="true" applyAlignment="true" applyProtection="false">
      <alignment horizontal="left" vertical="center" textRotation="0" wrapText="false" indent="1" shrinkToFit="false"/>
      <protection locked="true" hidden="false"/>
    </xf>
    <xf numFmtId="166" fontId="14" fillId="5" borderId="2" xfId="0" applyFont="true" applyBorder="true" applyAlignment="true" applyProtection="false">
      <alignment horizontal="right" vertical="center" textRotation="0" wrapText="false" indent="1" shrinkToFit="false"/>
      <protection locked="true" hidden="false"/>
    </xf>
    <xf numFmtId="166" fontId="34" fillId="9" borderId="46" xfId="0" applyFont="true" applyBorder="true" applyAlignment="true" applyProtection="false">
      <alignment horizontal="right" vertical="center" textRotation="0" wrapText="false" indent="1" shrinkToFit="false"/>
      <protection locked="true" hidden="false"/>
    </xf>
    <xf numFmtId="164" fontId="8" fillId="9" borderId="61" xfId="0" applyFont="true" applyBorder="true" applyAlignment="true" applyProtection="false">
      <alignment horizontal="left" vertical="center" textRotation="0" wrapText="false" indent="1" shrinkToFit="false"/>
      <protection locked="true" hidden="false"/>
    </xf>
    <xf numFmtId="166" fontId="34" fillId="9" borderId="62" xfId="0" applyFont="true" applyBorder="true" applyAlignment="true" applyProtection="false">
      <alignment horizontal="right" vertical="center" textRotation="0" wrapText="false" indent="1" shrinkToFit="false"/>
      <protection locked="true" hidden="false"/>
    </xf>
    <xf numFmtId="164" fontId="35" fillId="0" borderId="0" xfId="0" applyFont="true" applyBorder="true" applyAlignment="true" applyProtection="false">
      <alignment horizontal="left" vertical="center" textRotation="0" wrapText="false" indent="0" shrinkToFit="false"/>
      <protection locked="true" hidden="false"/>
    </xf>
    <xf numFmtId="164" fontId="6" fillId="8" borderId="14" xfId="0" applyFont="true" applyBorder="true" applyAlignment="true" applyProtection="false">
      <alignment horizontal="center" vertical="center" textRotation="0" wrapText="true" indent="0" shrinkToFit="false"/>
      <protection locked="true" hidden="false"/>
    </xf>
    <xf numFmtId="164" fontId="6" fillId="2" borderId="24" xfId="0" applyFont="true" applyBorder="true" applyAlignment="true" applyProtection="false">
      <alignment horizontal="center" vertical="center" textRotation="0" wrapText="false" indent="0" shrinkToFit="false"/>
      <protection locked="true" hidden="false"/>
    </xf>
    <xf numFmtId="164" fontId="6" fillId="6" borderId="63" xfId="0" applyFont="true" applyBorder="true" applyAlignment="true" applyProtection="false">
      <alignment horizontal="center" vertical="center" textRotation="0" wrapText="false" indent="0" shrinkToFit="false"/>
      <protection locked="true" hidden="false"/>
    </xf>
    <xf numFmtId="164" fontId="6" fillId="2" borderId="64" xfId="0" applyFont="true" applyBorder="true" applyAlignment="true" applyProtection="false">
      <alignment horizontal="center" vertical="center" textRotation="0" wrapText="false" indent="0" shrinkToFit="false"/>
      <protection locked="true" hidden="false"/>
    </xf>
    <xf numFmtId="166" fontId="9" fillId="0" borderId="37" xfId="0" applyFont="true" applyBorder="true" applyAlignment="true" applyProtection="false">
      <alignment horizontal="right" vertical="center" textRotation="0" wrapText="false" indent="1" shrinkToFit="false"/>
      <protection locked="true" hidden="false"/>
    </xf>
    <xf numFmtId="166" fontId="9" fillId="0" borderId="7" xfId="0" applyFont="true" applyBorder="true" applyAlignment="true" applyProtection="false">
      <alignment horizontal="right" vertical="center" textRotation="0" wrapText="false" indent="1" shrinkToFit="false"/>
      <protection locked="true" hidden="false"/>
    </xf>
    <xf numFmtId="166" fontId="9" fillId="0" borderId="8" xfId="0" applyFont="true" applyBorder="true" applyAlignment="true" applyProtection="false">
      <alignment horizontal="right" vertical="center" textRotation="0" wrapText="false" indent="1" shrinkToFit="false"/>
      <protection locked="true" hidden="false"/>
    </xf>
    <xf numFmtId="166" fontId="9" fillId="3" borderId="55" xfId="0" applyFont="true" applyBorder="true" applyAlignment="true" applyProtection="false">
      <alignment horizontal="right" vertical="center" textRotation="0" wrapText="false" indent="1" shrinkToFit="false"/>
      <protection locked="true" hidden="false"/>
    </xf>
    <xf numFmtId="164" fontId="6" fillId="8" borderId="24" xfId="0" applyFont="true" applyBorder="true" applyAlignment="true" applyProtection="false">
      <alignment horizontal="center" vertical="center" textRotation="0" wrapText="false" indent="0" shrinkToFit="false"/>
      <protection locked="true" hidden="false"/>
    </xf>
    <xf numFmtId="164" fontId="10" fillId="4" borderId="2" xfId="0" applyFont="true" applyBorder="true" applyAlignment="true" applyProtection="false">
      <alignment horizontal="left" vertical="center" textRotation="0" wrapText="false" indent="2" shrinkToFit="false"/>
      <protection locked="true" hidden="false"/>
    </xf>
    <xf numFmtId="166" fontId="9" fillId="3" borderId="42" xfId="0" applyFont="true" applyBorder="true" applyAlignment="true" applyProtection="false">
      <alignment horizontal="right" vertical="center" textRotation="0" wrapText="false" indent="1" shrinkToFit="false"/>
      <protection locked="true" hidden="false"/>
    </xf>
    <xf numFmtId="166" fontId="9" fillId="3" borderId="41" xfId="0" applyFont="true" applyBorder="true" applyAlignment="true" applyProtection="false">
      <alignment horizontal="right" vertical="center" textRotation="0" wrapText="false" indent="1" shrinkToFit="false"/>
      <protection locked="true" hidden="false"/>
    </xf>
    <xf numFmtId="166" fontId="23" fillId="0" borderId="17" xfId="0" applyFont="true" applyBorder="true" applyAlignment="true" applyProtection="false">
      <alignment horizontal="right" vertical="center" textRotation="0" wrapText="false" indent="1" shrinkToFit="false"/>
      <protection locked="true" hidden="false"/>
    </xf>
    <xf numFmtId="166" fontId="23" fillId="0" borderId="9" xfId="0" applyFont="true" applyBorder="true" applyAlignment="true" applyProtection="false">
      <alignment horizontal="right" vertical="center" textRotation="0" wrapText="false" indent="1"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10" fillId="4" borderId="65" xfId="0" applyFont="true" applyBorder="true" applyAlignment="true" applyProtection="false">
      <alignment horizontal="left" vertical="center" textRotation="0" wrapText="false" indent="1" shrinkToFit="false"/>
      <protection locked="true" hidden="false"/>
    </xf>
    <xf numFmtId="166" fontId="11" fillId="0" borderId="65" xfId="0" applyFont="true" applyBorder="true" applyAlignment="true" applyProtection="false">
      <alignment horizontal="center" vertical="center" textRotation="0" wrapText="false" indent="0" shrinkToFit="false"/>
      <protection locked="true" hidden="false"/>
    </xf>
    <xf numFmtId="164" fontId="8" fillId="3" borderId="34" xfId="0" applyFont="true" applyBorder="true" applyAlignment="true" applyProtection="false">
      <alignment horizontal="left" vertical="center" textRotation="0" wrapText="false" indent="1" shrinkToFit="false"/>
      <protection locked="true" hidden="false"/>
    </xf>
    <xf numFmtId="164" fontId="8" fillId="3" borderId="61" xfId="0" applyFont="true" applyBorder="true" applyAlignment="true" applyProtection="false">
      <alignment horizontal="left" vertical="center" textRotation="0" wrapText="false" indent="1" shrinkToFit="false"/>
      <protection locked="true" hidden="false"/>
    </xf>
    <xf numFmtId="166" fontId="30" fillId="3" borderId="66" xfId="0" applyFont="true" applyBorder="true" applyAlignment="true" applyProtection="false">
      <alignment horizontal="right" vertical="center" textRotation="0" wrapText="false" indent="1" shrinkToFit="false"/>
      <protection locked="true" hidden="false"/>
    </xf>
    <xf numFmtId="166" fontId="30" fillId="3" borderId="62" xfId="0" applyFont="true" applyBorder="true" applyAlignment="true" applyProtection="false">
      <alignment horizontal="right" vertical="center" textRotation="0" wrapText="false" indent="1" shrinkToFit="false"/>
      <protection locked="true" hidden="false"/>
    </xf>
    <xf numFmtId="164" fontId="8" fillId="9" borderId="46" xfId="0" applyFont="true" applyBorder="true" applyAlignment="true" applyProtection="false">
      <alignment horizontal="center" vertical="center" textRotation="0" wrapText="true" indent="0" shrinkToFit="false"/>
      <protection locked="true" hidden="false"/>
    </xf>
    <xf numFmtId="166" fontId="8" fillId="9" borderId="46" xfId="0" applyFont="true" applyBorder="true" applyAlignment="true" applyProtection="false">
      <alignment horizontal="center" vertical="center" textRotation="0" wrapText="true" indent="0" shrinkToFit="false"/>
      <protection locked="true" hidden="false"/>
    </xf>
    <xf numFmtId="164" fontId="8" fillId="4" borderId="3" xfId="0" applyFont="true" applyBorder="true" applyAlignment="true" applyProtection="false">
      <alignment horizontal="left" vertical="center" textRotation="0" wrapText="false" indent="1" shrinkToFit="false"/>
      <protection locked="true" hidden="false"/>
    </xf>
    <xf numFmtId="164" fontId="14" fillId="4" borderId="65" xfId="0" applyFont="true" applyBorder="true" applyAlignment="true" applyProtection="false">
      <alignment horizontal="left" vertical="center" textRotation="0" wrapText="false" indent="1" shrinkToFit="false"/>
      <protection locked="true" hidden="false"/>
    </xf>
    <xf numFmtId="166" fontId="11" fillId="0" borderId="65" xfId="0" applyFont="true" applyBorder="true" applyAlignment="true" applyProtection="false">
      <alignment horizontal="right" vertical="center" textRotation="0" wrapText="false" indent="0" shrinkToFit="false"/>
      <protection locked="true" hidden="false"/>
    </xf>
    <xf numFmtId="166" fontId="11" fillId="0" borderId="3" xfId="0" applyFont="true" applyBorder="true" applyAlignment="true" applyProtection="false">
      <alignment horizontal="right" vertical="center" textRotation="0" wrapText="false" indent="0" shrinkToFit="false"/>
      <protection locked="true" hidden="false"/>
    </xf>
    <xf numFmtId="164" fontId="8" fillId="4" borderId="34" xfId="0" applyFont="true" applyBorder="true" applyAlignment="true" applyProtection="false">
      <alignment horizontal="left" vertical="center" textRotation="0" wrapText="false" indent="1" shrinkToFit="false"/>
      <protection locked="true" hidden="false"/>
    </xf>
    <xf numFmtId="166" fontId="11" fillId="0" borderId="2" xfId="0" applyFont="true" applyBorder="true" applyAlignment="true" applyProtection="false">
      <alignment horizontal="center" vertical="center" textRotation="0" wrapText="false" indent="0" shrinkToFit="false"/>
      <protection locked="true" hidden="false"/>
    </xf>
    <xf numFmtId="164" fontId="8" fillId="9" borderId="46" xfId="0" applyFont="true" applyBorder="true" applyAlignment="true" applyProtection="false">
      <alignment horizontal="left" vertical="center" textRotation="0" wrapText="true" indent="1" shrinkToFit="false"/>
      <protection locked="true" hidden="false"/>
    </xf>
    <xf numFmtId="164" fontId="7" fillId="2" borderId="43" xfId="0" applyFont="true" applyBorder="true" applyAlignment="true" applyProtection="false">
      <alignment horizontal="center" vertical="center" textRotation="0" wrapText="false" indent="0" shrinkToFit="false"/>
      <protection locked="true" hidden="false"/>
    </xf>
    <xf numFmtId="164" fontId="14" fillId="0" borderId="3" xfId="0" applyFont="true" applyBorder="true" applyAlignment="true" applyProtection="false">
      <alignment horizontal="left" vertical="center" textRotation="0" wrapText="false" indent="1" shrinkToFit="false"/>
      <protection locked="true" hidden="false"/>
    </xf>
    <xf numFmtId="171" fontId="11" fillId="0" borderId="3" xfId="0" applyFont="true" applyBorder="true" applyAlignment="true" applyProtection="false">
      <alignment horizontal="right" vertical="center" textRotation="0" wrapText="false" indent="1" shrinkToFit="false"/>
      <protection locked="true" hidden="false"/>
    </xf>
    <xf numFmtId="164" fontId="14" fillId="0" borderId="34" xfId="0" applyFont="true" applyBorder="true" applyAlignment="true" applyProtection="false">
      <alignment horizontal="left" vertical="center" textRotation="0" wrapText="false" indent="1" shrinkToFit="false"/>
      <protection locked="true" hidden="false"/>
    </xf>
    <xf numFmtId="171" fontId="11" fillId="0" borderId="12" xfId="0" applyFont="true" applyBorder="true" applyAlignment="true" applyProtection="false">
      <alignment horizontal="right" vertical="center" textRotation="0" wrapText="false" indent="1" shrinkToFit="false"/>
      <protection locked="true" hidden="false"/>
    </xf>
    <xf numFmtId="164" fontId="14" fillId="0" borderId="18" xfId="0" applyFont="true" applyBorder="true" applyAlignment="true" applyProtection="false">
      <alignment horizontal="left" vertical="center" textRotation="0" wrapText="false" indent="1" shrinkToFit="false"/>
      <protection locked="true" hidden="false"/>
    </xf>
    <xf numFmtId="171" fontId="11" fillId="0" borderId="2" xfId="0" applyFont="true" applyBorder="true" applyAlignment="true" applyProtection="false">
      <alignment horizontal="right" vertical="center" textRotation="0" wrapText="false" indent="1" shrinkToFit="false"/>
      <protection locked="true" hidden="false"/>
    </xf>
    <xf numFmtId="164" fontId="19" fillId="9" borderId="67" xfId="0" applyFont="true" applyBorder="true" applyAlignment="true" applyProtection="false">
      <alignment horizontal="left" vertical="center" textRotation="0" wrapText="false" indent="1" shrinkToFit="false"/>
      <protection locked="true" hidden="false"/>
    </xf>
    <xf numFmtId="164" fontId="8" fillId="9" borderId="67" xfId="0" applyFont="true" applyBorder="true" applyAlignment="true" applyProtection="false">
      <alignment horizontal="right" vertical="center" textRotation="0" wrapText="false" indent="1" shrinkToFit="false"/>
      <protection locked="true" hidden="false"/>
    </xf>
    <xf numFmtId="171" fontId="30" fillId="9" borderId="67" xfId="0" applyFont="true" applyBorder="true" applyAlignment="true" applyProtection="false">
      <alignment horizontal="right" vertical="center" textRotation="0" wrapText="false" indent="1" shrinkToFit="false"/>
      <protection locked="true" hidden="false"/>
    </xf>
    <xf numFmtId="164" fontId="19" fillId="9" borderId="33" xfId="0" applyFont="true" applyBorder="true" applyAlignment="true" applyProtection="false">
      <alignment horizontal="left" vertical="center" textRotation="0" wrapText="false" indent="1" shrinkToFit="false"/>
      <protection locked="true" hidden="false"/>
    </xf>
    <xf numFmtId="164" fontId="8" fillId="9" borderId="33" xfId="0" applyFont="true" applyBorder="true" applyAlignment="true" applyProtection="false">
      <alignment horizontal="right" vertical="center" textRotation="0" wrapText="false" indent="1" shrinkToFit="false"/>
      <protection locked="true" hidden="false"/>
    </xf>
    <xf numFmtId="171" fontId="30" fillId="9" borderId="0" xfId="0" applyFont="true" applyBorder="false" applyAlignment="true" applyProtection="false">
      <alignment horizontal="right" vertical="center" textRotation="0" wrapText="false" indent="1"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72" fontId="10" fillId="0" borderId="65" xfId="0" applyFont="true" applyBorder="true" applyAlignment="true" applyProtection="false">
      <alignment horizontal="left" vertical="center" textRotation="0" wrapText="false" indent="1" shrinkToFit="false"/>
      <protection locked="true" hidden="false"/>
    </xf>
    <xf numFmtId="172" fontId="10" fillId="0" borderId="6" xfId="0" applyFont="true" applyBorder="true" applyAlignment="true" applyProtection="false">
      <alignment horizontal="left" vertical="center" textRotation="0" wrapText="false" indent="1" shrinkToFit="false"/>
      <protection locked="true" hidden="false"/>
    </xf>
    <xf numFmtId="172" fontId="10" fillId="0" borderId="6" xfId="0" applyFont="true" applyBorder="true" applyAlignment="true" applyProtection="false">
      <alignment horizontal="left" vertical="center" textRotation="0" wrapText="true" indent="1" shrinkToFit="false"/>
      <protection locked="true" hidden="false"/>
    </xf>
    <xf numFmtId="172" fontId="14" fillId="0" borderId="6" xfId="0" applyFont="true" applyBorder="true" applyAlignment="true" applyProtection="false">
      <alignment horizontal="left" vertical="center" textRotation="0" wrapText="false" indent="1" shrinkToFit="false"/>
      <protection locked="true" hidden="false"/>
    </xf>
    <xf numFmtId="164" fontId="38" fillId="2" borderId="19" xfId="0" applyFont="true" applyBorder="true" applyAlignment="true" applyProtection="false">
      <alignment horizontal="center" vertical="center" textRotation="0" wrapText="false" indent="0" shrinkToFit="false"/>
      <protection locked="true" hidden="false"/>
    </xf>
    <xf numFmtId="164" fontId="39" fillId="2" borderId="43" xfId="0" applyFont="true" applyBorder="true" applyAlignment="true" applyProtection="false">
      <alignment horizontal="center" vertical="center" textRotation="0" wrapText="false" indent="0" shrinkToFit="false"/>
      <protection locked="true" hidden="false"/>
    </xf>
    <xf numFmtId="164" fontId="39" fillId="8" borderId="43" xfId="0" applyFont="true" applyBorder="true" applyAlignment="true" applyProtection="false">
      <alignment horizontal="center" vertical="center" textRotation="0" wrapText="true" indent="0" shrinkToFit="false"/>
      <protection locked="true" hidden="false"/>
    </xf>
    <xf numFmtId="164" fontId="40" fillId="0" borderId="0" xfId="0" applyFont="true" applyBorder="false" applyAlignment="true" applyProtection="false">
      <alignment horizontal="general" vertical="center" textRotation="0" wrapText="false" indent="0" shrinkToFit="false"/>
      <protection locked="true" hidden="false"/>
    </xf>
    <xf numFmtId="164" fontId="41" fillId="0" borderId="0" xfId="0" applyFont="true" applyBorder="false" applyAlignment="true" applyProtection="false">
      <alignment horizontal="general" vertical="center" textRotation="0" wrapText="false" indent="0" shrinkToFit="false"/>
      <protection locked="true" hidden="false"/>
    </xf>
    <xf numFmtId="164" fontId="42" fillId="4" borderId="20" xfId="0" applyFont="true" applyBorder="true" applyAlignment="true" applyProtection="false">
      <alignment horizontal="right" vertical="center" textRotation="0" wrapText="false" indent="1" shrinkToFit="false"/>
      <protection locked="true" hidden="false"/>
    </xf>
    <xf numFmtId="167" fontId="43" fillId="0" borderId="6" xfId="0" applyFont="true" applyBorder="true" applyAlignment="true" applyProtection="false">
      <alignment horizontal="right" vertical="center" textRotation="0" wrapText="false" indent="1" shrinkToFit="false"/>
      <protection locked="true" hidden="false"/>
    </xf>
    <xf numFmtId="164" fontId="10" fillId="4" borderId="36"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0" shrinkToFit="false"/>
      <protection locked="true" hidden="false"/>
    </xf>
    <xf numFmtId="166" fontId="44" fillId="0" borderId="29" xfId="0" applyFont="true" applyBorder="true" applyAlignment="true" applyProtection="false">
      <alignment horizontal="general" vertical="center" textRotation="0" wrapText="false" indent="0" shrinkToFit="false"/>
      <protection locked="true" hidden="false"/>
    </xf>
    <xf numFmtId="164" fontId="10" fillId="4" borderId="36" xfId="0" applyFont="true" applyBorder="true" applyAlignment="true" applyProtection="false">
      <alignment horizontal="left" vertical="center" textRotation="0" wrapText="false" indent="2" shrinkToFit="false"/>
      <protection locked="true" hidden="false"/>
    </xf>
    <xf numFmtId="166" fontId="11" fillId="0" borderId="3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2" shrinkToFit="false"/>
      <protection locked="true" hidden="false"/>
    </xf>
    <xf numFmtId="166" fontId="45" fillId="0"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4" fontId="14" fillId="4" borderId="20" xfId="0" applyFont="true" applyBorder="true" applyAlignment="true" applyProtection="false">
      <alignment horizontal="left" vertical="center" textRotation="0" wrapText="false" indent="2" shrinkToFit="false"/>
      <protection locked="true" hidden="false"/>
    </xf>
    <xf numFmtId="166" fontId="11" fillId="0" borderId="6" xfId="0" applyFont="true" applyBorder="true" applyAlignment="true" applyProtection="false">
      <alignment horizontal="right" vertical="center" textRotation="0" wrapText="false" indent="0" shrinkToFit="false"/>
      <protection locked="true" hidden="false"/>
    </xf>
    <xf numFmtId="164" fontId="14" fillId="4" borderId="18" xfId="0" applyFont="true" applyBorder="true" applyAlignment="true" applyProtection="false">
      <alignment horizontal="left" vertical="center" textRotation="0" wrapText="false" indent="1" shrinkToFit="false"/>
      <protection locked="true" hidden="false"/>
    </xf>
    <xf numFmtId="164" fontId="46" fillId="0" borderId="0" xfId="0" applyFont="true" applyBorder="false" applyAlignment="true" applyProtection="false">
      <alignment horizontal="general" vertical="center" textRotation="0" wrapText="false" indent="0" shrinkToFit="false"/>
      <protection locked="true" hidden="false"/>
    </xf>
    <xf numFmtId="164" fontId="8" fillId="3" borderId="68" xfId="0" applyFont="true" applyBorder="true" applyAlignment="true" applyProtection="false">
      <alignment horizontal="left" vertical="center" textRotation="0" wrapText="false" indent="1" shrinkToFit="false"/>
      <protection locked="true" hidden="false"/>
    </xf>
    <xf numFmtId="166" fontId="9" fillId="0" borderId="69" xfId="0" applyFont="true" applyBorder="true" applyAlignment="true" applyProtection="false">
      <alignment horizontal="right" vertical="center" textRotation="0" wrapText="false" indent="1" shrinkToFit="false"/>
      <protection locked="true" hidden="false"/>
    </xf>
    <xf numFmtId="166" fontId="27" fillId="0" borderId="70" xfId="0" applyFont="true" applyBorder="true" applyAlignment="true" applyProtection="false">
      <alignment horizontal="general" vertical="center" textRotation="0" wrapText="false" indent="0" shrinkToFit="false"/>
      <protection locked="true" hidden="false"/>
    </xf>
    <xf numFmtId="164" fontId="47" fillId="0" borderId="0" xfId="0" applyFont="true" applyBorder="false" applyAlignment="true" applyProtection="false">
      <alignment horizontal="general" vertical="center" textRotation="0" wrapText="false" indent="0" shrinkToFit="false"/>
      <protection locked="true" hidden="false"/>
    </xf>
    <xf numFmtId="166" fontId="48" fillId="0" borderId="0" xfId="0" applyFont="true" applyBorder="false" applyAlignment="true" applyProtection="false">
      <alignment horizontal="center" vertical="center" textRotation="0" wrapText="false" indent="0" shrinkToFit="false"/>
      <protection locked="true" hidden="false"/>
    </xf>
    <xf numFmtId="166" fontId="48" fillId="0" borderId="0" xfId="0" applyFont="true" applyBorder="false" applyAlignment="true" applyProtection="false">
      <alignment horizontal="general" vertical="center" textRotation="0" wrapText="false" indent="0" shrinkToFit="false"/>
      <protection locked="true" hidden="false"/>
    </xf>
    <xf numFmtId="166" fontId="47" fillId="0" borderId="0" xfId="0" applyFont="true" applyBorder="false" applyAlignment="true" applyProtection="false">
      <alignment horizontal="center" vertical="center" textRotation="0" wrapText="false" indent="0" shrinkToFit="false"/>
      <protection locked="true" hidden="false"/>
    </xf>
    <xf numFmtId="166" fontId="47" fillId="0" borderId="0" xfId="0" applyFont="true" applyBorder="false" applyAlignment="true" applyProtection="false">
      <alignment horizontal="general" vertical="center" textRotation="0" wrapText="false" indent="0" shrinkToFit="false"/>
      <protection locked="true" hidden="false"/>
    </xf>
    <xf numFmtId="164" fontId="47" fillId="0" borderId="0" xfId="0" applyFont="true" applyBorder="false" applyAlignment="true" applyProtection="false">
      <alignment horizontal="center" vertical="center" textRotation="0" wrapText="false" indent="0" shrinkToFit="false"/>
      <protection locked="true" hidden="false"/>
    </xf>
    <xf numFmtId="164" fontId="39" fillId="2" borderId="1" xfId="0" applyFont="true" applyBorder="true" applyAlignment="true" applyProtection="false">
      <alignment horizontal="center" vertical="center" textRotation="0" wrapText="false" indent="0" shrinkToFit="false"/>
      <protection locked="true" hidden="false"/>
    </xf>
    <xf numFmtId="164" fontId="10" fillId="4" borderId="71" xfId="0" applyFont="true" applyBorder="true" applyAlignment="true" applyProtection="false">
      <alignment horizontal="left" vertical="center" textRotation="0" wrapText="false" indent="1" shrinkToFit="false"/>
      <protection locked="true" hidden="false"/>
    </xf>
    <xf numFmtId="165" fontId="11" fillId="4" borderId="71" xfId="0" applyFont="true" applyBorder="true" applyAlignment="true" applyProtection="false">
      <alignment horizontal="right" vertical="center" textRotation="0" wrapText="false" indent="1" shrinkToFit="false"/>
      <protection locked="true" hidden="false"/>
    </xf>
    <xf numFmtId="172" fontId="14" fillId="0" borderId="72" xfId="0" applyFont="true" applyBorder="true" applyAlignment="true" applyProtection="false">
      <alignment horizontal="right" vertical="center" textRotation="0" wrapText="false" indent="1" shrinkToFit="false"/>
      <protection locked="true" hidden="false"/>
    </xf>
    <xf numFmtId="164" fontId="10" fillId="4" borderId="23" xfId="0" applyFont="true" applyBorder="true" applyAlignment="true" applyProtection="false">
      <alignment horizontal="left" vertical="center" textRotation="0" wrapText="false" indent="1" shrinkToFit="false"/>
      <protection locked="true" hidden="false"/>
    </xf>
    <xf numFmtId="165" fontId="11" fillId="4" borderId="29"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left" vertical="center" textRotation="0" wrapText="false" indent="2" shrinkToFit="false"/>
      <protection locked="true" hidden="false"/>
    </xf>
    <xf numFmtId="172" fontId="14" fillId="0" borderId="2" xfId="0" applyFont="true" applyBorder="true" applyAlignment="true" applyProtection="false">
      <alignment horizontal="right" vertical="center" textRotation="0" wrapText="false" indent="1" shrinkToFit="false"/>
      <protection locked="true" hidden="false"/>
    </xf>
    <xf numFmtId="172" fontId="10" fillId="0" borderId="2" xfId="0" applyFont="true" applyBorder="true" applyAlignment="true" applyProtection="false">
      <alignment horizontal="left" vertical="center" textRotation="0" wrapText="false" indent="2" shrinkToFit="false"/>
      <protection locked="true" hidden="false"/>
    </xf>
    <xf numFmtId="165" fontId="11" fillId="0" borderId="2"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2" shrinkToFit="false"/>
      <protection locked="true" hidden="false"/>
    </xf>
    <xf numFmtId="172" fontId="14" fillId="0" borderId="0" xfId="0" applyFont="true" applyBorder="false" applyAlignment="true" applyProtection="false">
      <alignment horizontal="right" vertical="center" textRotation="0" wrapText="false" indent="1" shrinkToFit="false"/>
      <protection locked="true" hidden="false"/>
    </xf>
    <xf numFmtId="172" fontId="10" fillId="0" borderId="0" xfId="0" applyFont="true" applyBorder="false" applyAlignment="true" applyProtection="false">
      <alignment horizontal="left" vertical="center" textRotation="0" wrapText="false" indent="2"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5" fontId="11" fillId="4" borderId="34" xfId="0" applyFont="true" applyBorder="true" applyAlignment="true" applyProtection="false">
      <alignment horizontal="right" vertical="center" textRotation="0" wrapText="false" indent="1" shrinkToFit="false"/>
      <protection locked="true" hidden="false"/>
    </xf>
    <xf numFmtId="165" fontId="11" fillId="4" borderId="34" xfId="0" applyFont="true" applyBorder="true" applyAlignment="true" applyProtection="false">
      <alignment horizontal="general" vertical="center" textRotation="0" wrapText="false" indent="0" shrinkToFit="false"/>
      <protection locked="true" hidden="false"/>
    </xf>
    <xf numFmtId="164" fontId="8" fillId="4" borderId="73" xfId="0" applyFont="true" applyBorder="true" applyAlignment="true" applyProtection="false">
      <alignment horizontal="left" vertical="center" textRotation="0" wrapText="false" indent="1" shrinkToFit="false"/>
      <protection locked="true" hidden="false"/>
    </xf>
    <xf numFmtId="165" fontId="9" fillId="4" borderId="73" xfId="0" applyFont="true" applyBorder="true" applyAlignment="true" applyProtection="false">
      <alignment horizontal="general" vertical="center" textRotation="0" wrapText="false" indent="0" shrinkToFit="false"/>
      <protection locked="true" hidden="false"/>
    </xf>
    <xf numFmtId="164" fontId="8" fillId="4" borderId="29" xfId="0" applyFont="true" applyBorder="true" applyAlignment="true" applyProtection="false">
      <alignment horizontal="left" vertical="center" textRotation="0" wrapText="false" indent="1" shrinkToFit="false"/>
      <protection locked="true" hidden="false"/>
    </xf>
    <xf numFmtId="165" fontId="9" fillId="4" borderId="29" xfId="0" applyFont="true" applyBorder="true" applyAlignment="true" applyProtection="false">
      <alignment horizontal="general" vertical="center" textRotation="0" wrapText="false" indent="0" shrinkToFit="false"/>
      <protection locked="true" hidden="false"/>
    </xf>
    <xf numFmtId="165" fontId="9" fillId="4" borderId="29" xfId="0" applyFont="true" applyBorder="true" applyAlignment="true" applyProtection="false">
      <alignment horizontal="right" vertical="center" textRotation="0" wrapText="false" indent="1" shrinkToFit="false"/>
      <protection locked="true" hidden="false"/>
    </xf>
    <xf numFmtId="165" fontId="17" fillId="0" borderId="0" xfId="0" applyFont="true" applyBorder="false" applyAlignment="true" applyProtection="false">
      <alignment horizontal="general" vertical="center" textRotation="0" wrapText="false" indent="0" shrinkToFit="false"/>
      <protection locked="true" hidden="false"/>
    </xf>
    <xf numFmtId="164" fontId="7" fillId="2" borderId="10" xfId="0" applyFont="true" applyBorder="true" applyAlignment="true" applyProtection="false">
      <alignment horizontal="center" vertical="center" textRotation="0" wrapText="false" indent="0" shrinkToFit="false"/>
      <protection locked="true" hidden="false"/>
    </xf>
    <xf numFmtId="164" fontId="14" fillId="4" borderId="6" xfId="0" applyFont="true" applyBorder="true" applyAlignment="true" applyProtection="false">
      <alignment horizontal="center" vertical="center" textRotation="0" wrapText="false" indent="0" shrinkToFit="false"/>
      <protection locked="true" hidden="false"/>
    </xf>
    <xf numFmtId="165" fontId="11" fillId="0" borderId="6" xfId="0" applyFont="true" applyBorder="true" applyAlignment="true" applyProtection="false">
      <alignment horizontal="general" vertical="center" textRotation="0" wrapText="false" indent="0" shrinkToFit="false"/>
      <protection locked="true" hidden="false"/>
    </xf>
    <xf numFmtId="164" fontId="14" fillId="4" borderId="20" xfId="0" applyFont="true" applyBorder="true" applyAlignment="true" applyProtection="false">
      <alignment horizontal="center" vertical="center" textRotation="0" wrapText="false" indent="0" shrinkToFit="false"/>
      <protection locked="true" hidden="false"/>
    </xf>
    <xf numFmtId="164" fontId="10" fillId="5" borderId="7" xfId="0" applyFont="true" applyBorder="true" applyAlignment="true" applyProtection="false">
      <alignment horizontal="left" vertical="center" textRotation="0" wrapText="false" indent="1" shrinkToFit="false"/>
      <protection locked="true" hidden="false"/>
    </xf>
    <xf numFmtId="164" fontId="14" fillId="4" borderId="65" xfId="0" applyFont="true" applyBorder="true" applyAlignment="true" applyProtection="false">
      <alignment horizontal="center" vertical="center" textRotation="0" wrapText="false" indent="0" shrinkToFit="false"/>
      <protection locked="true" hidden="false"/>
    </xf>
    <xf numFmtId="164" fontId="19" fillId="4" borderId="65" xfId="0" applyFont="true" applyBorder="true" applyAlignment="true" applyProtection="false">
      <alignment horizontal="left" vertical="center" textRotation="0" wrapText="false" indent="1" shrinkToFit="false"/>
      <protection locked="true" hidden="false"/>
    </xf>
    <xf numFmtId="172" fontId="10" fillId="0" borderId="6" xfId="0" applyFont="true" applyBorder="true" applyAlignment="true" applyProtection="false">
      <alignment horizontal="center" vertical="center" textRotation="0" wrapText="false" indent="0" shrinkToFit="false"/>
      <protection locked="true" hidden="false"/>
    </xf>
    <xf numFmtId="164" fontId="19" fillId="3" borderId="65" xfId="0" applyFont="true" applyBorder="true" applyAlignment="true" applyProtection="false">
      <alignment horizontal="left" vertical="center" textRotation="0" wrapText="false" indent="1" shrinkToFit="false"/>
      <protection locked="true" hidden="false"/>
    </xf>
    <xf numFmtId="172" fontId="8" fillId="3" borderId="6" xfId="0" applyFont="true" applyBorder="true" applyAlignment="true" applyProtection="false">
      <alignment horizontal="center" vertical="center" textRotation="0" wrapText="false" indent="0" shrinkToFit="false"/>
      <protection locked="true" hidden="false"/>
    </xf>
    <xf numFmtId="165" fontId="9" fillId="3" borderId="6" xfId="0" applyFont="true" applyBorder="true" applyAlignment="true" applyProtection="false">
      <alignment horizontal="general" vertical="center" textRotation="0" wrapText="false" indent="0" shrinkToFit="false"/>
      <protection locked="true" hidden="false"/>
    </xf>
    <xf numFmtId="172" fontId="9" fillId="3" borderId="6" xfId="0" applyFont="true" applyBorder="true" applyAlignment="true" applyProtection="false">
      <alignment horizontal="right"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true" indent="0" shrinkToFit="false"/>
      <protection locked="true" hidden="false"/>
    </xf>
    <xf numFmtId="172" fontId="11" fillId="0" borderId="6" xfId="0" applyFont="true" applyBorder="true" applyAlignment="true" applyProtection="false">
      <alignment horizontal="right" vertical="center" textRotation="0" wrapText="false" indent="1" shrinkToFit="false"/>
      <protection locked="true" hidden="false"/>
    </xf>
    <xf numFmtId="164" fontId="19" fillId="3" borderId="20" xfId="0" applyFont="true" applyBorder="true" applyAlignment="true" applyProtection="false">
      <alignment horizontal="center" vertical="center" textRotation="0" wrapText="false" indent="0" shrinkToFit="false"/>
      <protection locked="true" hidden="false"/>
    </xf>
    <xf numFmtId="172" fontId="8" fillId="3" borderId="7" xfId="0" applyFont="true" applyBorder="true" applyAlignment="true" applyProtection="false">
      <alignment horizontal="center" vertical="center" textRotation="0" wrapText="false" indent="0" shrinkToFit="false"/>
      <protection locked="true" hidden="false"/>
    </xf>
    <xf numFmtId="165" fontId="9" fillId="3" borderId="7" xfId="0" applyFont="true" applyBorder="true" applyAlignment="true" applyProtection="false">
      <alignment horizontal="right" vertical="center" textRotation="0" wrapText="false" indent="1" shrinkToFit="false"/>
      <protection locked="true" hidden="false"/>
    </xf>
    <xf numFmtId="172" fontId="9" fillId="3" borderId="7" xfId="0" applyFont="true" applyBorder="true" applyAlignment="true" applyProtection="false">
      <alignment horizontal="right" vertical="center" textRotation="0" wrapText="false" indent="1" shrinkToFit="false"/>
      <protection locked="true" hidden="false"/>
    </xf>
    <xf numFmtId="165" fontId="10" fillId="0" borderId="6" xfId="0" applyFont="true" applyBorder="true" applyAlignment="true" applyProtection="false">
      <alignment horizontal="left" vertical="center" textRotation="0" wrapText="false" indent="1" shrinkToFit="false"/>
      <protection locked="true" hidden="false"/>
    </xf>
    <xf numFmtId="165" fontId="14" fillId="0" borderId="7" xfId="0" applyFont="true" applyBorder="true" applyAlignment="true" applyProtection="false">
      <alignment horizontal="left" vertical="center" textRotation="0" wrapText="false" indent="1" shrinkToFit="false"/>
      <protection locked="true" hidden="false"/>
    </xf>
    <xf numFmtId="165" fontId="33" fillId="0" borderId="6" xfId="0" applyFont="true" applyBorder="true" applyAlignment="true" applyProtection="false">
      <alignment horizontal="right" vertical="center" textRotation="0" wrapText="false" indent="1" shrinkToFit="false"/>
      <protection locked="true" hidden="false"/>
    </xf>
    <xf numFmtId="164" fontId="19" fillId="4" borderId="65" xfId="0" applyFont="true" applyBorder="true" applyAlignment="true" applyProtection="false">
      <alignment horizontal="center" vertical="center" textRotation="0" wrapText="false" indent="0" shrinkToFit="false"/>
      <protection locked="true" hidden="false"/>
    </xf>
    <xf numFmtId="164" fontId="19" fillId="4" borderId="20" xfId="0" applyFont="true" applyBorder="true" applyAlignment="true" applyProtection="false">
      <alignment horizontal="center" vertical="center" textRotation="0" wrapText="false" indent="0" shrinkToFit="false"/>
      <protection locked="true" hidden="false"/>
    </xf>
    <xf numFmtId="165" fontId="19" fillId="3" borderId="7" xfId="0" applyFont="true" applyBorder="true" applyAlignment="true" applyProtection="false">
      <alignment horizontal="left" vertical="center" textRotation="0" wrapText="false" indent="1" shrinkToFit="false"/>
      <protection locked="true" hidden="false"/>
    </xf>
    <xf numFmtId="164" fontId="49" fillId="0" borderId="0" xfId="0" applyFont="true" applyBorder="false" applyAlignment="true" applyProtection="false">
      <alignment horizontal="general" vertical="center" textRotation="0" wrapText="false" indent="0" shrinkToFit="false"/>
      <protection locked="true" hidden="false"/>
    </xf>
    <xf numFmtId="164" fontId="49"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50" fillId="7" borderId="0" xfId="0" applyFont="true" applyBorder="false" applyAlignment="true" applyProtection="false">
      <alignment horizontal="general" vertical="center" textRotation="0" wrapText="false" indent="0" shrinkToFit="false"/>
      <protection locked="true" hidden="false"/>
    </xf>
    <xf numFmtId="173" fontId="49" fillId="7" borderId="0" xfId="0" applyFont="true" applyBorder="false" applyAlignment="true" applyProtection="false">
      <alignment horizontal="right" vertical="center" textRotation="0" wrapText="false" indent="0" shrinkToFit="false"/>
      <protection locked="true" hidden="false"/>
    </xf>
    <xf numFmtId="164" fontId="6" fillId="11" borderId="51" xfId="0" applyFont="true" applyBorder="true" applyAlignment="true" applyProtection="false">
      <alignment horizontal="center" vertical="center" textRotation="0" wrapText="false" indent="0" shrinkToFit="false"/>
      <protection locked="true" hidden="false"/>
    </xf>
    <xf numFmtId="164" fontId="6" fillId="2" borderId="51" xfId="0" applyFont="true" applyBorder="true" applyAlignment="true" applyProtection="false">
      <alignment horizontal="center" vertical="center" textRotation="0" wrapText="true" indent="0" shrinkToFit="false"/>
      <protection locked="true" hidden="false"/>
    </xf>
    <xf numFmtId="164" fontId="6" fillId="11" borderId="43" xfId="0" applyFont="true" applyBorder="true" applyAlignment="true" applyProtection="false">
      <alignment horizontal="center" vertical="center" textRotation="0" wrapText="false" indent="0" shrinkToFit="false"/>
      <protection locked="true" hidden="false"/>
    </xf>
    <xf numFmtId="164" fontId="6" fillId="2" borderId="43" xfId="0" applyFont="true" applyBorder="true" applyAlignment="true" applyProtection="false">
      <alignment horizontal="center" vertical="center" textRotation="0" wrapText="true" indent="0" shrinkToFit="false"/>
      <protection locked="true" hidden="false"/>
    </xf>
    <xf numFmtId="164" fontId="7" fillId="2" borderId="43" xfId="0" applyFont="true" applyBorder="true" applyAlignment="true" applyProtection="false">
      <alignment horizontal="center" vertical="center" textRotation="0" wrapText="true" indent="0" shrinkToFit="false"/>
      <protection locked="true" hidden="false"/>
    </xf>
    <xf numFmtId="164" fontId="10" fillId="5" borderId="65" xfId="0" applyFont="true" applyBorder="true" applyAlignment="true" applyProtection="false">
      <alignment horizontal="left" vertical="center" textRotation="0" wrapText="false" indent="1" shrinkToFit="false"/>
      <protection locked="true" hidden="false"/>
    </xf>
    <xf numFmtId="173" fontId="11" fillId="5" borderId="65" xfId="0" applyFont="true" applyBorder="true" applyAlignment="true" applyProtection="false">
      <alignment horizontal="right" vertical="center" textRotation="0" wrapText="false" indent="1" shrinkToFit="false"/>
      <protection locked="true" hidden="false"/>
    </xf>
    <xf numFmtId="174" fontId="11" fillId="5" borderId="65" xfId="0" applyFont="true" applyBorder="true" applyAlignment="true" applyProtection="false">
      <alignment horizontal="right" vertical="center" textRotation="0" wrapText="false" indent="1" shrinkToFit="false"/>
      <protection locked="true" hidden="false"/>
    </xf>
    <xf numFmtId="172" fontId="11" fillId="0" borderId="65" xfId="0" applyFont="true" applyBorder="true" applyAlignment="true" applyProtection="false">
      <alignment horizontal="general" vertical="center" textRotation="0" wrapText="false" indent="0" shrinkToFit="false"/>
      <protection locked="true" hidden="false"/>
    </xf>
    <xf numFmtId="172" fontId="11" fillId="0" borderId="65" xfId="0" applyFont="true" applyBorder="true" applyAlignment="true" applyProtection="false">
      <alignment horizontal="right" vertical="center" textRotation="0" wrapText="false" indent="1" shrinkToFit="false"/>
      <protection locked="true" hidden="false"/>
    </xf>
    <xf numFmtId="164" fontId="28" fillId="5" borderId="65" xfId="0" applyFont="true" applyBorder="true" applyAlignment="true" applyProtection="false">
      <alignment horizontal="left" vertical="center" textRotation="0" wrapText="false" indent="1" shrinkToFit="false"/>
      <protection locked="true" hidden="false"/>
    </xf>
    <xf numFmtId="164" fontId="18" fillId="4" borderId="34" xfId="0" applyFont="true" applyBorder="true" applyAlignment="true" applyProtection="false">
      <alignment horizontal="center" vertical="center" textRotation="0" wrapText="false" indent="0" shrinkToFit="false"/>
      <protection locked="true" hidden="false"/>
    </xf>
    <xf numFmtId="164" fontId="10" fillId="5" borderId="20" xfId="0" applyFont="true" applyBorder="true" applyAlignment="true" applyProtection="false">
      <alignment horizontal="left" vertical="center" textRotation="0" wrapText="false" indent="1" shrinkToFit="false"/>
      <protection locked="true" hidden="false"/>
    </xf>
    <xf numFmtId="164" fontId="11" fillId="5" borderId="20" xfId="0" applyFont="true" applyBorder="true" applyAlignment="true" applyProtection="false">
      <alignment horizontal="right" vertical="center" textRotation="0" wrapText="false" indent="1" shrinkToFit="false"/>
      <protection locked="true" hidden="false"/>
    </xf>
    <xf numFmtId="172" fontId="11" fillId="0" borderId="6" xfId="0" applyFont="true" applyBorder="true" applyAlignment="true" applyProtection="false">
      <alignment horizontal="general" vertical="center" textRotation="0" wrapText="false" indent="0" shrinkToFit="false"/>
      <protection locked="true" hidden="false"/>
    </xf>
    <xf numFmtId="164" fontId="28" fillId="5" borderId="7" xfId="0" applyFont="true" applyBorder="true" applyAlignment="true" applyProtection="false">
      <alignment horizontal="left" vertical="center" textRotation="0" wrapText="false" indent="1" shrinkToFit="false"/>
      <protection locked="true" hidden="false"/>
    </xf>
    <xf numFmtId="164" fontId="29" fillId="5" borderId="7" xfId="0" applyFont="true" applyBorder="true" applyAlignment="true" applyProtection="false">
      <alignment horizontal="left" vertical="center" textRotation="0" wrapText="false" indent="1" shrinkToFit="false"/>
      <protection locked="true" hidden="false"/>
    </xf>
    <xf numFmtId="164" fontId="14" fillId="5" borderId="20" xfId="0" applyFont="true" applyBorder="true" applyAlignment="true" applyProtection="false">
      <alignment horizontal="left" vertical="center" textRotation="0" wrapText="false" indent="1" shrinkToFit="false"/>
      <protection locked="true" hidden="false"/>
    </xf>
    <xf numFmtId="164" fontId="29" fillId="5" borderId="7" xfId="0" applyFont="true" applyBorder="true" applyAlignment="true" applyProtection="false">
      <alignment horizontal="left" vertical="center" textRotation="0" wrapText="true" indent="1" shrinkToFit="false"/>
      <protection locked="true" hidden="false"/>
    </xf>
    <xf numFmtId="164" fontId="14" fillId="5" borderId="20" xfId="0" applyFont="true" applyBorder="true" applyAlignment="true" applyProtection="false">
      <alignment horizontal="right" vertical="center" textRotation="0" wrapText="false" indent="1" shrinkToFit="false"/>
      <protection locked="true" hidden="false"/>
    </xf>
    <xf numFmtId="164" fontId="10" fillId="0" borderId="65" xfId="0" applyFont="true" applyBorder="true" applyAlignment="true" applyProtection="false">
      <alignment horizontal="left" vertical="center" textRotation="0" wrapText="true" indent="1" shrinkToFit="false"/>
      <protection locked="true" hidden="false"/>
    </xf>
    <xf numFmtId="172" fontId="10" fillId="0" borderId="65" xfId="0" applyFont="true" applyBorder="true" applyAlignment="true" applyProtection="false">
      <alignment horizontal="center" vertical="center" textRotation="0" wrapText="true" indent="0" shrinkToFit="false"/>
      <protection locked="true" hidden="false"/>
    </xf>
    <xf numFmtId="172" fontId="10" fillId="0" borderId="65" xfId="0" applyFont="true" applyBorder="true" applyAlignment="true" applyProtection="false">
      <alignment horizontal="right" vertical="center" textRotation="0" wrapText="false" indent="1" shrinkToFit="false"/>
      <protection locked="true" hidden="false"/>
    </xf>
    <xf numFmtId="165" fontId="10" fillId="0" borderId="65" xfId="0" applyFont="true" applyBorder="true" applyAlignment="true" applyProtection="false">
      <alignment horizontal="right" vertical="center" textRotation="0" wrapText="false" indent="1" shrinkToFit="false"/>
      <protection locked="true" hidden="false"/>
    </xf>
    <xf numFmtId="164" fontId="10" fillId="5" borderId="65" xfId="0" applyFont="true" applyBorder="true" applyAlignment="true" applyProtection="false">
      <alignment horizontal="left" vertical="center" textRotation="0" wrapText="true" indent="1" shrinkToFit="false"/>
      <protection locked="true" hidden="false"/>
    </xf>
    <xf numFmtId="175" fontId="27" fillId="0" borderId="0" xfId="0" applyFont="true" applyBorder="false" applyAlignment="true" applyProtection="false">
      <alignment horizontal="general" vertical="center" textRotation="0" wrapText="false" indent="0" shrinkToFit="false"/>
      <protection locked="true" hidden="false"/>
    </xf>
    <xf numFmtId="172" fontId="10" fillId="4" borderId="65" xfId="0" applyFont="true" applyBorder="true" applyAlignment="true" applyProtection="false">
      <alignment horizontal="center" vertical="center" textRotation="0" wrapText="false" indent="0" shrinkToFit="false"/>
      <protection locked="true" hidden="false"/>
    </xf>
    <xf numFmtId="172" fontId="10" fillId="4" borderId="65" xfId="0" applyFont="true" applyBorder="true" applyAlignment="true" applyProtection="false">
      <alignment horizontal="left" vertical="center" textRotation="0" wrapText="false" indent="1" shrinkToFit="false"/>
      <protection locked="true" hidden="false"/>
    </xf>
    <xf numFmtId="175" fontId="10" fillId="4" borderId="65" xfId="0" applyFont="true" applyBorder="true" applyAlignment="true" applyProtection="false">
      <alignment horizontal="right" vertical="center" textRotation="0" wrapText="false" indent="1" shrinkToFit="false"/>
      <protection locked="true" hidden="false"/>
    </xf>
    <xf numFmtId="172" fontId="10" fillId="4" borderId="65" xfId="0" applyFont="true" applyBorder="true" applyAlignment="true" applyProtection="false">
      <alignment horizontal="right" vertical="center" textRotation="0" wrapText="false" indent="1" shrinkToFit="false"/>
      <protection locked="true" hidden="false"/>
    </xf>
    <xf numFmtId="165" fontId="11" fillId="4" borderId="65" xfId="0" applyFont="true" applyBorder="true" applyAlignment="true" applyProtection="false">
      <alignment horizontal="right" vertical="center" textRotation="0" wrapText="false" indent="1" shrinkToFit="false"/>
      <protection locked="true" hidden="false"/>
    </xf>
    <xf numFmtId="165" fontId="10" fillId="4" borderId="65" xfId="0" applyFont="true" applyBorder="true" applyAlignment="true" applyProtection="false">
      <alignment horizontal="right" vertical="center" textRotation="0" wrapText="false" indent="1" shrinkToFit="false"/>
      <protection locked="true" hidden="false"/>
    </xf>
    <xf numFmtId="164" fontId="28" fillId="4" borderId="65" xfId="0" applyFont="true" applyBorder="true" applyAlignment="true" applyProtection="false">
      <alignment horizontal="left" vertical="center" textRotation="0" wrapText="false" indent="1" shrinkToFit="false"/>
      <protection locked="true" hidden="false"/>
    </xf>
    <xf numFmtId="172" fontId="10" fillId="4" borderId="6" xfId="0" applyFont="true" applyBorder="true" applyAlignment="true" applyProtection="false">
      <alignment horizontal="left" vertical="center" textRotation="0" wrapText="false" indent="1" shrinkToFit="false"/>
      <protection locked="true" hidden="false"/>
    </xf>
    <xf numFmtId="175" fontId="10" fillId="4" borderId="6" xfId="0" applyFont="true" applyBorder="true" applyAlignment="true" applyProtection="false">
      <alignment horizontal="right" vertical="center" textRotation="0" wrapText="false" indent="1" shrinkToFit="false"/>
      <protection locked="true" hidden="false"/>
    </xf>
    <xf numFmtId="165" fontId="11" fillId="4" borderId="6" xfId="0" applyFont="true" applyBorder="true" applyAlignment="true" applyProtection="false">
      <alignment horizontal="right" vertical="center" textRotation="0" wrapText="false" indent="1" shrinkToFit="false"/>
      <protection locked="true" hidden="false"/>
    </xf>
    <xf numFmtId="165" fontId="10" fillId="4" borderId="6" xfId="0" applyFont="true" applyBorder="true" applyAlignment="true" applyProtection="false">
      <alignment horizontal="right" vertical="center" textRotation="0" wrapText="false" indent="1" shrinkToFit="false"/>
      <protection locked="true" hidden="false"/>
    </xf>
    <xf numFmtId="175" fontId="10" fillId="0" borderId="6" xfId="0" applyFont="true" applyBorder="true" applyAlignment="true" applyProtection="false">
      <alignment horizontal="right" vertical="center" textRotation="0" wrapText="true" indent="1" shrinkToFit="false"/>
      <protection locked="true" hidden="false"/>
    </xf>
    <xf numFmtId="172" fontId="10" fillId="0" borderId="6" xfId="0" applyFont="true" applyBorder="true" applyAlignment="true" applyProtection="false">
      <alignment horizontal="right" vertical="center" textRotation="0" wrapText="false" indent="1" shrinkToFit="false"/>
      <protection locked="true" hidden="false"/>
    </xf>
    <xf numFmtId="165" fontId="10" fillId="0" borderId="6" xfId="0" applyFont="true" applyBorder="true" applyAlignment="true" applyProtection="false">
      <alignment horizontal="right" vertical="center" textRotation="0" wrapText="false" indent="1" shrinkToFit="false"/>
      <protection locked="true" hidden="false"/>
    </xf>
    <xf numFmtId="164" fontId="28" fillId="5" borderId="7" xfId="0" applyFont="true" applyBorder="true" applyAlignment="true" applyProtection="false">
      <alignment horizontal="left" vertical="center" textRotation="0" wrapText="true" indent="1" shrinkToFit="false"/>
      <protection locked="true" hidden="false"/>
    </xf>
    <xf numFmtId="164" fontId="14" fillId="0" borderId="20" xfId="0" applyFont="true" applyBorder="true" applyAlignment="true" applyProtection="false">
      <alignment horizontal="left" vertical="center" textRotation="0" wrapText="false" indent="1" shrinkToFit="false"/>
      <protection locked="true" hidden="false"/>
    </xf>
    <xf numFmtId="175" fontId="11" fillId="0" borderId="6" xfId="0" applyFont="true" applyBorder="true" applyAlignment="true" applyProtection="false">
      <alignment horizontal="right" vertical="center" textRotation="0" wrapText="false" indent="1" shrinkToFit="false"/>
      <protection locked="true" hidden="false"/>
    </xf>
    <xf numFmtId="164" fontId="15" fillId="2" borderId="43" xfId="0" applyFont="true" applyBorder="true" applyAlignment="true" applyProtection="false">
      <alignment horizontal="center" vertical="center" textRotation="0" wrapText="true" indent="0" shrinkToFit="false"/>
      <protection locked="true" hidden="false"/>
    </xf>
    <xf numFmtId="172" fontId="14" fillId="0" borderId="65" xfId="0" applyFont="true" applyBorder="true" applyAlignment="true" applyProtection="false">
      <alignment horizontal="center" vertical="center" textRotation="0" wrapText="false" indent="0" shrinkToFit="false"/>
      <protection locked="true" hidden="false"/>
    </xf>
    <xf numFmtId="175" fontId="11" fillId="0" borderId="65" xfId="0" applyFont="true" applyBorder="true" applyAlignment="true" applyProtection="false">
      <alignment horizontal="right" vertical="center" textRotation="0" wrapText="false" indent="1" shrinkToFit="false"/>
      <protection locked="true" hidden="false"/>
    </xf>
    <xf numFmtId="164" fontId="51" fillId="5" borderId="65" xfId="0" applyFont="true" applyBorder="true" applyAlignment="true" applyProtection="false">
      <alignment horizontal="left" vertical="center" textRotation="0" wrapText="false" indent="1" shrinkToFit="false"/>
      <protection locked="true" hidden="false"/>
    </xf>
    <xf numFmtId="164" fontId="10" fillId="4" borderId="34" xfId="0" applyFont="true" applyBorder="true" applyAlignment="true" applyProtection="false">
      <alignment horizontal="center" vertical="center" textRotation="0" wrapText="false" indent="0" shrinkToFit="false"/>
      <protection locked="true" hidden="false"/>
    </xf>
    <xf numFmtId="175" fontId="10" fillId="0" borderId="65" xfId="0" applyFont="true" applyBorder="true" applyAlignment="true" applyProtection="false">
      <alignment horizontal="right" vertical="center" textRotation="0" wrapText="false" indent="1"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75" fontId="33" fillId="0" borderId="6" xfId="0" applyFont="true" applyBorder="true" applyAlignment="true" applyProtection="false">
      <alignment horizontal="right" vertical="center" textRotation="0" wrapText="true" indent="1" shrinkToFit="false"/>
      <protection locked="true" hidden="false"/>
    </xf>
    <xf numFmtId="168" fontId="6" fillId="2" borderId="43" xfId="0" applyFont="true" applyBorder="true" applyAlignment="true" applyProtection="false">
      <alignment horizontal="center" vertical="center" textRotation="0" wrapText="false" indent="0" shrinkToFit="false"/>
      <protection locked="true" hidden="false"/>
    </xf>
    <xf numFmtId="164" fontId="10" fillId="0" borderId="65" xfId="0" applyFont="true" applyBorder="true" applyAlignment="true" applyProtection="false">
      <alignment horizontal="left" vertical="center" textRotation="0" wrapText="false" indent="1" shrinkToFit="false"/>
      <protection locked="true" hidden="false"/>
    </xf>
    <xf numFmtId="164" fontId="10" fillId="0" borderId="34" xfId="0" applyFont="true" applyBorder="true" applyAlignment="true" applyProtection="false">
      <alignment horizontal="left" vertical="center" textRotation="0" wrapText="false" indent="1" shrinkToFit="false"/>
      <protection locked="true" hidden="false"/>
    </xf>
    <xf numFmtId="172" fontId="11" fillId="0" borderId="12" xfId="0" applyFont="true" applyBorder="true" applyAlignment="true" applyProtection="false">
      <alignment horizontal="right" vertical="center" textRotation="0" wrapText="false" indent="1" shrinkToFit="false"/>
      <protection locked="true" hidden="false"/>
    </xf>
    <xf numFmtId="164" fontId="18" fillId="3" borderId="20" xfId="0" applyFont="true" applyBorder="true" applyAlignment="true" applyProtection="false">
      <alignment horizontal="center" vertical="center" textRotation="0" wrapText="false" indent="0" shrinkToFit="false"/>
      <protection locked="true" hidden="false"/>
    </xf>
    <xf numFmtId="164" fontId="19" fillId="3" borderId="34" xfId="0" applyFont="true" applyBorder="true" applyAlignment="true" applyProtection="false">
      <alignment horizontal="left" vertical="center" textRotation="0" wrapText="false" indent="1" shrinkToFit="false"/>
      <protection locked="true" hidden="false"/>
    </xf>
    <xf numFmtId="172" fontId="9" fillId="3" borderId="6" xfId="0" applyFont="true" applyBorder="true" applyAlignment="true" applyProtection="false">
      <alignment horizontal="right" vertical="center" textRotation="0" wrapText="false" indent="1" shrinkToFit="false"/>
      <protection locked="true" hidden="false"/>
    </xf>
    <xf numFmtId="164" fontId="52" fillId="3" borderId="7" xfId="0" applyFont="true" applyBorder="true" applyAlignment="true" applyProtection="false">
      <alignment horizontal="left" vertical="center" textRotation="0" wrapText="true" indent="1" shrinkToFit="false"/>
      <protection locked="true" hidden="false"/>
    </xf>
    <xf numFmtId="164" fontId="53" fillId="5" borderId="0" xfId="0" applyFont="true" applyBorder="false" applyAlignment="true" applyProtection="false">
      <alignment horizontal="general" vertical="center" textRotation="0" wrapText="false" indent="0" shrinkToFit="false"/>
      <protection locked="true" hidden="false"/>
    </xf>
    <xf numFmtId="164" fontId="54" fillId="5" borderId="0" xfId="0" applyFont="true" applyBorder="false" applyAlignment="true" applyProtection="false">
      <alignment horizontal="left" vertical="center" textRotation="0" wrapText="false" indent="0" shrinkToFit="false"/>
      <protection locked="true" hidden="false"/>
    </xf>
    <xf numFmtId="164" fontId="7" fillId="5" borderId="0" xfId="0" applyFont="true" applyBorder="false" applyAlignment="true" applyProtection="false">
      <alignment horizontal="center" vertical="center" textRotation="0" wrapText="false" indent="0" shrinkToFit="false"/>
      <protection locked="true" hidden="false"/>
    </xf>
    <xf numFmtId="164" fontId="19" fillId="5" borderId="0" xfId="0" applyFont="true" applyBorder="false" applyAlignment="true" applyProtection="false">
      <alignment horizontal="left" vertical="center" textRotation="0" wrapText="false" indent="1" shrinkToFit="false"/>
      <protection locked="true" hidden="false"/>
    </xf>
    <xf numFmtId="172" fontId="11" fillId="5" borderId="0" xfId="0" applyFont="true" applyBorder="false" applyAlignment="true" applyProtection="false">
      <alignment horizontal="right" vertical="center" textRotation="0" wrapText="false" indent="1" shrinkToFit="false"/>
      <protection locked="true" hidden="false"/>
    </xf>
    <xf numFmtId="164" fontId="56" fillId="5" borderId="0" xfId="0" applyFont="true" applyBorder="false" applyAlignment="true" applyProtection="false">
      <alignment horizontal="left" vertical="center" textRotation="0" wrapText="false" indent="1" shrinkToFit="false"/>
      <protection locked="true" hidden="false"/>
    </xf>
    <xf numFmtId="164" fontId="29" fillId="5" borderId="0" xfId="0" applyFont="true" applyBorder="false" applyAlignment="true" applyProtection="false">
      <alignment horizontal="left" vertical="center" textRotation="0" wrapText="true" indent="1" shrinkToFit="false"/>
      <protection locked="true" hidden="false"/>
    </xf>
    <xf numFmtId="164" fontId="19" fillId="5" borderId="0" xfId="0" applyFont="true" applyBorder="true" applyAlignment="true" applyProtection="false">
      <alignment horizontal="left" vertical="center" textRotation="0" wrapText="false" indent="1" shrinkToFit="false"/>
      <protection locked="true" hidden="false"/>
    </xf>
    <xf numFmtId="172" fontId="9" fillId="5" borderId="0" xfId="0" applyFont="true" applyBorder="false" applyAlignment="true" applyProtection="false">
      <alignment horizontal="right" vertical="center" textRotation="0" wrapText="false" indent="1"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 name="Excel Built-in Comma [0]" xfId="21"/>
  </cellStyles>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889C9"/>
      <rgbColor rgb="FFA6A6A6"/>
      <rgbColor rgb="FF727F88"/>
      <rgbColor rgb="FF9999FF"/>
      <rgbColor rgb="FF993366"/>
      <rgbColor rgb="FFE3E7E9"/>
      <rgbColor rgb="FFDDF5F0"/>
      <rgbColor rgb="FF660066"/>
      <rgbColor rgb="FFFF8080"/>
      <rgbColor rgb="FF0066CC"/>
      <rgbColor rgb="FFD9D9D9"/>
      <rgbColor rgb="FF000080"/>
      <rgbColor rgb="FFFF00FF"/>
      <rgbColor rgb="FFFFFF00"/>
      <rgbColor rgb="FF00FFFF"/>
      <rgbColor rgb="FF800080"/>
      <rgbColor rgb="FF800000"/>
      <rgbColor rgb="FF008080"/>
      <rgbColor rgb="FF0000FF"/>
      <rgbColor rgb="FF00B0F0"/>
      <rgbColor rgb="FFE1F3FB"/>
      <rgbColor rgb="FFE1F2FB"/>
      <rgbColor rgb="FFFFFF99"/>
      <rgbColor rgb="FF99CCFF"/>
      <rgbColor rgb="FFFF99CC"/>
      <rgbColor rgb="FFCC99FF"/>
      <rgbColor rgb="FFFFCC99"/>
      <rgbColor rgb="FF3366FF"/>
      <rgbColor rgb="FF54CCB3"/>
      <rgbColor rgb="FF99CC00"/>
      <rgbColor rgb="FFFFCC00"/>
      <rgbColor rgb="FFFF9900"/>
      <rgbColor rgb="FFFF6600"/>
      <rgbColor rgb="FF666699"/>
      <rgbColor rgb="FF8B8B8B"/>
      <rgbColor rgb="FF044464"/>
      <rgbColor rgb="FF339966"/>
      <rgbColor rgb="FF0B304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0</c:v>
                </c:pt>
                <c:pt idx="2">
                  <c:v>320002051</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0</c:v>
                </c:pt>
                <c:pt idx="2">
                  <c:v>0</c:v>
                </c:pt>
              </c:numCache>
            </c:numRef>
          </c:val>
        </c:ser>
        <c:gapWidth val="70"/>
        <c:overlap val="100"/>
        <c:axId val="94181889"/>
        <c:axId val="81406667"/>
      </c:barChart>
      <c:catAx>
        <c:axId val="94181889"/>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81406667"/>
        <c:auto val="1"/>
        <c:lblAlgn val="ctr"/>
        <c:lblOffset val="100"/>
        <c:noMultiLvlLbl val="0"/>
      </c:catAx>
      <c:valAx>
        <c:axId val="81406667"/>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94181889"/>
        <c:crosses val="autoZero"/>
        <c:crossBetween val="between"/>
      </c:valAx>
      <c:spPr>
        <a:noFill/>
        <a:ln w="0">
          <a:noFill/>
        </a:ln>
      </c:spPr>
    </c:plotArea>
    <c:plotVisOnly val="1"/>
    <c:dispBlanksAs val="gap"/>
  </c:chart>
  <c:spPr>
    <a:solidFill>
      <a:srgbClr val="ffffff"/>
    </a:solidFill>
    <a:ln w="1260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883800</xdr:colOff>
      <xdr:row>21</xdr:row>
      <xdr:rowOff>37800</xdr:rowOff>
    </xdr:to>
    <xdr:graphicFrame>
      <xdr:nvGraphicFramePr>
        <xdr:cNvPr id="0" name="グラフ 4"/>
        <xdr:cNvGraphicFramePr/>
      </xdr:nvGraphicFramePr>
      <xdr:xfrm>
        <a:off x="2686320" y="2493720"/>
        <a:ext cx="5674680" cy="3211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8" zeroHeight="false" outlineLevelRow="0" outlineLevelCol="0"/>
  <cols>
    <col collapsed="false" customWidth="true" hidden="false" outlineLevel="0" max="2" min="2" style="1" width="6.3"/>
  </cols>
  <sheetData>
    <row r="3" customFormat="false" ht="18" hidden="false" customHeight="false" outlineLevel="0" collapsed="false">
      <c r="B3" s="1" t="n">
        <v>1</v>
      </c>
      <c r="C3" s="2" t="s">
        <v>0</v>
      </c>
    </row>
    <row r="4" customFormat="false" ht="18" hidden="false" customHeight="false" outlineLevel="0" collapsed="false">
      <c r="B4" s="1" t="n">
        <v>2</v>
      </c>
      <c r="C4" s="2" t="s">
        <v>1</v>
      </c>
    </row>
    <row r="5" customFormat="false" ht="18" hidden="false" customHeight="false" outlineLevel="0" collapsed="false">
      <c r="B5" s="1" t="n">
        <v>3</v>
      </c>
      <c r="C5" s="2" t="s">
        <v>2</v>
      </c>
    </row>
    <row r="6" customFormat="false" ht="18" hidden="false" customHeight="false" outlineLevel="0" collapsed="false">
      <c r="B6" s="1" t="n">
        <v>4</v>
      </c>
      <c r="C6" s="2" t="s">
        <v>3</v>
      </c>
    </row>
    <row r="7" customFormat="false" ht="18" hidden="false" customHeight="false" outlineLevel="0" collapsed="false">
      <c r="C7" s="3"/>
      <c r="D7" s="4"/>
      <c r="E7" s="5"/>
      <c r="F7" s="6"/>
      <c r="G7" s="7"/>
    </row>
    <row r="8" customFormat="false" ht="18" hidden="false" customHeight="fals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false" showOutlineSymbols="true" defaultGridColor="true" view="normal" topLeftCell="A1" colorId="64" zoomScale="54" zoomScaleNormal="54" zoomScalePageLayoutView="100" workbookViewId="0">
      <pane xSplit="0" ySplit="4" topLeftCell="A26" activePane="bottomLeft" state="frozen"/>
      <selection pane="topLeft" activeCell="A1" activeCellId="0" sqref="A1"/>
      <selection pane="bottomLeft" activeCell="N61" activeCellId="0" sqref="N6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6.1"/>
    <col collapsed="false" customWidth="true" hidden="false" outlineLevel="0" max="8" min="8" style="20" width="8.8"/>
  </cols>
  <sheetData>
    <row r="1" customFormat="false" ht="18" hidden="false" customHeight="false" outlineLevel="0" collapsed="false">
      <c r="C1" s="21"/>
      <c r="D1" s="22"/>
      <c r="E1" s="22"/>
    </row>
    <row r="2" customFormat="false" ht="18" hidden="false" customHeight="false" outlineLevel="0" collapsed="false">
      <c r="C2" s="23" t="s">
        <v>11</v>
      </c>
      <c r="D2" s="23" t="s">
        <v>12</v>
      </c>
      <c r="E2" s="23" t="s">
        <v>13</v>
      </c>
      <c r="F2" s="24" t="s">
        <v>14</v>
      </c>
      <c r="G2" s="24" t="s">
        <v>15</v>
      </c>
    </row>
    <row r="3" customFormat="false" ht="27.75" hidden="false" customHeight="true" outlineLevel="0" collapsed="false">
      <c r="B3" s="25" t="s">
        <v>5</v>
      </c>
      <c r="C3" s="25"/>
      <c r="D3" s="25"/>
      <c r="E3" s="25"/>
      <c r="F3" s="25"/>
      <c r="G3" s="25"/>
    </row>
    <row r="4" customFormat="false" ht="39" hidden="false" customHeight="true" outlineLevel="0" collapsed="false">
      <c r="B4" s="26" t="s">
        <v>6</v>
      </c>
      <c r="C4" s="26" t="s">
        <v>16</v>
      </c>
      <c r="D4" s="26" t="s">
        <v>17</v>
      </c>
      <c r="E4" s="26" t="s">
        <v>18</v>
      </c>
      <c r="F4" s="26" t="s">
        <v>19</v>
      </c>
      <c r="G4" s="27" t="s">
        <v>20</v>
      </c>
    </row>
    <row r="5" customFormat="false" ht="22.5" hidden="false" customHeight="true" outlineLevel="0" collapsed="false">
      <c r="B5" s="13" t="s">
        <v>9</v>
      </c>
      <c r="C5" s="28" t="n">
        <f aca="false">SUM(C6:C19)</f>
        <v>243651732</v>
      </c>
      <c r="D5" s="28" t="n">
        <f aca="false">SUM(D6:D19)</f>
        <v>899318583</v>
      </c>
      <c r="E5" s="28" t="n">
        <f aca="false">SUM(E6:E19)</f>
        <v>293198020</v>
      </c>
      <c r="F5" s="28" t="n">
        <f aca="false">SUM(F6:F19)</f>
        <v>0</v>
      </c>
      <c r="G5" s="28" t="n">
        <f aca="false">SUM(G6:G19)</f>
        <v>0</v>
      </c>
    </row>
    <row r="6" customFormat="false" ht="22.5" hidden="false" customHeight="true" outlineLevel="0" collapsed="false">
      <c r="B6" s="16" t="s">
        <v>10</v>
      </c>
      <c r="C6" s="29" t="n">
        <v>154741516</v>
      </c>
      <c r="D6" s="29" t="n">
        <v>31966530</v>
      </c>
      <c r="E6" s="29" t="n">
        <v>226057309</v>
      </c>
      <c r="F6" s="29"/>
      <c r="G6" s="29"/>
    </row>
    <row r="7" customFormat="false" ht="22.5" hidden="false" customHeight="true" outlineLevel="0" collapsed="false">
      <c r="B7" s="16" t="s">
        <v>21</v>
      </c>
      <c r="C7" s="29"/>
      <c r="D7" s="29"/>
      <c r="E7" s="29"/>
      <c r="F7" s="29"/>
      <c r="G7" s="29"/>
    </row>
    <row r="8" customFormat="false" ht="22.5" hidden="false" customHeight="true" outlineLevel="0" collapsed="false">
      <c r="B8" s="16" t="s">
        <v>22</v>
      </c>
      <c r="C8" s="29" t="n">
        <v>2064629</v>
      </c>
      <c r="D8" s="29" t="n">
        <v>841410642</v>
      </c>
      <c r="E8" s="29" t="n">
        <v>28512083</v>
      </c>
      <c r="F8" s="29"/>
      <c r="G8" s="29"/>
    </row>
    <row r="9" customFormat="false" ht="22.5" hidden="false" customHeight="true" outlineLevel="0" collapsed="false">
      <c r="B9" s="16" t="s">
        <v>23</v>
      </c>
      <c r="C9" s="29"/>
      <c r="D9" s="29"/>
      <c r="E9" s="29"/>
      <c r="F9" s="29"/>
      <c r="G9" s="29"/>
    </row>
    <row r="10" customFormat="false" ht="22.5" hidden="false" customHeight="true" outlineLevel="0" collapsed="false">
      <c r="B10" s="16" t="s">
        <v>24</v>
      </c>
      <c r="C10" s="29"/>
      <c r="D10" s="29"/>
      <c r="E10" s="29"/>
      <c r="F10" s="29"/>
      <c r="G10" s="29"/>
    </row>
    <row r="11" customFormat="false" ht="22.5" hidden="false" customHeight="true" outlineLevel="0" collapsed="false">
      <c r="B11" s="16" t="s">
        <v>25</v>
      </c>
      <c r="C11" s="29"/>
      <c r="D11" s="29"/>
      <c r="E11" s="29"/>
      <c r="F11" s="29"/>
      <c r="G11" s="29"/>
    </row>
    <row r="12" customFormat="false" ht="22.5" hidden="false" customHeight="true" outlineLevel="0" collapsed="false">
      <c r="B12" s="16" t="s">
        <v>26</v>
      </c>
      <c r="C12" s="29" t="n">
        <v>0</v>
      </c>
      <c r="D12" s="29" t="n">
        <v>0</v>
      </c>
      <c r="E12" s="29" t="n">
        <v>18507883</v>
      </c>
      <c r="F12" s="29"/>
      <c r="G12" s="29"/>
    </row>
    <row r="13" customFormat="false" ht="22.5" hidden="false" customHeight="true" outlineLevel="0" collapsed="false">
      <c r="B13" s="16" t="s">
        <v>27</v>
      </c>
      <c r="C13" s="29" t="n">
        <v>77752587</v>
      </c>
      <c r="D13" s="29" t="n">
        <v>16432051</v>
      </c>
      <c r="E13" s="29" t="n">
        <v>0</v>
      </c>
      <c r="F13" s="29"/>
      <c r="G13" s="29"/>
    </row>
    <row r="14" customFormat="false" ht="22.5" hidden="false" customHeight="true" outlineLevel="0" collapsed="false">
      <c r="B14" s="16" t="s">
        <v>28</v>
      </c>
      <c r="C14" s="29"/>
      <c r="D14" s="29"/>
      <c r="E14" s="29"/>
      <c r="F14" s="29"/>
      <c r="G14" s="29"/>
    </row>
    <row r="15" customFormat="false" ht="22.5" hidden="false" customHeight="true" outlineLevel="0" collapsed="false">
      <c r="B15" s="16" t="s">
        <v>29</v>
      </c>
      <c r="C15" s="29" t="n">
        <v>8732000</v>
      </c>
      <c r="D15" s="29" t="n">
        <v>8732000</v>
      </c>
      <c r="E15" s="29" t="n">
        <v>8532000</v>
      </c>
      <c r="F15" s="29"/>
      <c r="G15" s="29"/>
    </row>
    <row r="16" customFormat="false" ht="22.5" hidden="false" customHeight="true" outlineLevel="0" collapsed="false">
      <c r="B16" s="16" t="s">
        <v>30</v>
      </c>
      <c r="C16" s="29" t="n">
        <v>361000</v>
      </c>
      <c r="D16" s="29" t="n">
        <v>386500</v>
      </c>
      <c r="E16" s="29" t="n">
        <v>710345</v>
      </c>
      <c r="F16" s="29"/>
      <c r="G16" s="29"/>
    </row>
    <row r="17" customFormat="false" ht="22.5" hidden="false" customHeight="true" outlineLevel="0" collapsed="false">
      <c r="B17" s="16" t="s">
        <v>31</v>
      </c>
      <c r="C17" s="29" t="n">
        <v>0</v>
      </c>
      <c r="D17" s="29" t="n">
        <v>390860</v>
      </c>
      <c r="E17" s="29" t="n">
        <v>0</v>
      </c>
      <c r="F17" s="29"/>
      <c r="G17" s="29"/>
    </row>
    <row r="18" customFormat="false" ht="22.5" hidden="false" customHeight="true" outlineLevel="0" collapsed="false">
      <c r="B18" s="16" t="s">
        <v>32</v>
      </c>
      <c r="C18" s="29" t="n">
        <v>0</v>
      </c>
      <c r="D18" s="29" t="n">
        <v>0</v>
      </c>
      <c r="E18" s="29" t="n">
        <v>10878400</v>
      </c>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33</v>
      </c>
      <c r="C20" s="28" t="n">
        <f aca="false">C21+C35+C46</f>
        <v>1096640549</v>
      </c>
      <c r="D20" s="28" t="n">
        <f aca="false">D21+D35+D46</f>
        <v>509171536</v>
      </c>
      <c r="E20" s="28" t="n">
        <f aca="false">E21+E35+E46</f>
        <v>503310970</v>
      </c>
      <c r="F20" s="28" t="n">
        <f aca="false">F21+F35+F46</f>
        <v>0</v>
      </c>
      <c r="G20" s="28" t="n">
        <f aca="false">G21+G35+G46</f>
        <v>0</v>
      </c>
    </row>
    <row r="21" customFormat="false" ht="22.5" hidden="false" customHeight="true" outlineLevel="0" collapsed="false">
      <c r="B21" s="32" t="s">
        <v>34</v>
      </c>
      <c r="C21" s="33" t="n">
        <f aca="false">SUM(C22:C34)</f>
        <v>1074867927</v>
      </c>
      <c r="D21" s="33" t="n">
        <f aca="false">SUM(D22:D34)</f>
        <v>496979036</v>
      </c>
      <c r="E21" s="33" t="n">
        <f aca="false">SUM(E22:E34)</f>
        <v>490145870</v>
      </c>
      <c r="F21" s="33" t="n">
        <f aca="false">SUM(F22:F34)</f>
        <v>0</v>
      </c>
      <c r="G21" s="33" t="n">
        <f aca="false">SUM(G22:G34)</f>
        <v>0</v>
      </c>
    </row>
    <row r="22" customFormat="false" ht="22.5" hidden="false" customHeight="true" outlineLevel="0" collapsed="false">
      <c r="B22" s="16" t="s">
        <v>35</v>
      </c>
      <c r="C22" s="29" t="n">
        <v>160070644</v>
      </c>
      <c r="D22" s="29" t="n">
        <v>125537878</v>
      </c>
      <c r="E22" s="29" t="n">
        <v>118721091</v>
      </c>
      <c r="F22" s="29"/>
      <c r="G22" s="29"/>
    </row>
    <row r="23" customFormat="false" ht="22.5" hidden="false" customHeight="true" outlineLevel="0" collapsed="false">
      <c r="B23" s="16" t="s">
        <v>36</v>
      </c>
      <c r="C23" s="29" t="n">
        <v>64040157</v>
      </c>
      <c r="D23" s="29" t="n">
        <v>22588959</v>
      </c>
      <c r="E23" s="29" t="n">
        <v>20091490</v>
      </c>
      <c r="F23" s="29"/>
      <c r="G23" s="29"/>
    </row>
    <row r="24" customFormat="false" ht="22.5" hidden="false" customHeight="true" outlineLevel="0" collapsed="false">
      <c r="B24" s="16" t="s">
        <v>37</v>
      </c>
      <c r="C24" s="29" t="n">
        <v>2425672</v>
      </c>
      <c r="D24" s="29" t="n">
        <v>0</v>
      </c>
      <c r="E24" s="29" t="n">
        <v>0</v>
      </c>
      <c r="F24" s="29"/>
      <c r="G24" s="29"/>
    </row>
    <row r="25" customFormat="false" ht="22.5" hidden="false" customHeight="true" outlineLevel="0" collapsed="false">
      <c r="B25" s="16" t="s">
        <v>38</v>
      </c>
      <c r="C25" s="29" t="n">
        <v>1</v>
      </c>
      <c r="D25" s="29" t="n">
        <v>0</v>
      </c>
      <c r="E25" s="29" t="n">
        <v>0</v>
      </c>
      <c r="F25" s="29"/>
      <c r="G25" s="29"/>
    </row>
    <row r="26" customFormat="false" ht="22.5" hidden="false" customHeight="true" outlineLevel="0" collapsed="false">
      <c r="B26" s="16" t="s">
        <v>39</v>
      </c>
      <c r="C26" s="29" t="n">
        <v>2205038</v>
      </c>
      <c r="D26" s="29" t="n">
        <v>2756526</v>
      </c>
      <c r="E26" s="29" t="n">
        <v>5394909</v>
      </c>
      <c r="F26" s="29"/>
      <c r="G26" s="29"/>
    </row>
    <row r="27" customFormat="false" ht="22.5" hidden="false" customHeight="true" outlineLevel="0" collapsed="false">
      <c r="B27" s="16" t="s">
        <v>40</v>
      </c>
      <c r="C27" s="29" t="n">
        <v>1222069</v>
      </c>
      <c r="D27" s="29" t="n">
        <v>766047</v>
      </c>
      <c r="E27" s="29" t="n">
        <v>908754</v>
      </c>
      <c r="F27" s="29"/>
      <c r="G27" s="29"/>
    </row>
    <row r="28" customFormat="false" ht="22.5" hidden="false" customHeight="true" outlineLevel="0" collapsed="false">
      <c r="B28" s="16" t="s">
        <v>41</v>
      </c>
      <c r="C28" s="29"/>
      <c r="D28" s="29"/>
      <c r="E28" s="29"/>
      <c r="F28" s="29"/>
      <c r="G28" s="29"/>
    </row>
    <row r="29" customFormat="false" ht="22.5" hidden="false" customHeight="true" outlineLevel="0" collapsed="false">
      <c r="B29" s="16" t="s">
        <v>42</v>
      </c>
      <c r="C29" s="29" t="n">
        <v>807629626</v>
      </c>
      <c r="D29" s="29" t="n">
        <v>341829626</v>
      </c>
      <c r="E29" s="29" t="n">
        <v>345029626</v>
      </c>
      <c r="F29" s="29"/>
      <c r="G29" s="29"/>
    </row>
    <row r="30" customFormat="false" ht="22.5" hidden="false" customHeight="true" outlineLevel="0" collapsed="false">
      <c r="B30" s="16" t="s">
        <v>43</v>
      </c>
      <c r="C30" s="29" t="n">
        <v>37274720</v>
      </c>
      <c r="D30" s="29" t="n">
        <v>3500000</v>
      </c>
      <c r="E30" s="29" t="n">
        <v>0</v>
      </c>
      <c r="F30" s="29"/>
      <c r="G30" s="29"/>
    </row>
    <row r="31" customFormat="false" ht="22.5" hidden="false" customHeight="true" outlineLevel="0" collapsed="false">
      <c r="B31" s="16"/>
      <c r="C31" s="29"/>
      <c r="D31" s="29"/>
      <c r="E31" s="29"/>
      <c r="F31" s="29"/>
      <c r="G31" s="29"/>
    </row>
    <row r="32" customFormat="false" ht="22.5" hidden="false" customHeight="true" outlineLevel="0" collapsed="false">
      <c r="B32" s="16"/>
      <c r="C32" s="29"/>
      <c r="D32" s="29"/>
      <c r="E32" s="29"/>
      <c r="F32" s="29"/>
      <c r="G32" s="29"/>
    </row>
    <row r="33" customFormat="false" ht="22.5" hidden="false" customHeight="true" outlineLevel="0" collapsed="false">
      <c r="B33" s="16"/>
      <c r="C33" s="29"/>
      <c r="D33" s="29"/>
      <c r="E33" s="29"/>
      <c r="F33" s="29"/>
      <c r="G33" s="29"/>
    </row>
    <row r="34" customFormat="false" ht="22.5" hidden="false" customHeight="true" outlineLevel="0" collapsed="false">
      <c r="B34" s="30"/>
      <c r="C34" s="31"/>
      <c r="D34" s="31"/>
      <c r="E34" s="31"/>
      <c r="F34" s="31"/>
      <c r="G34" s="31"/>
    </row>
    <row r="35" customFormat="false" ht="22.5" hidden="false" customHeight="true" outlineLevel="0" collapsed="false">
      <c r="B35" s="32" t="s">
        <v>44</v>
      </c>
      <c r="C35" s="34" t="n">
        <f aca="false">SUM(C36:C45)</f>
        <v>78231</v>
      </c>
      <c r="D35" s="34" t="n">
        <f aca="false">SUM(D36:D45)</f>
        <v>0</v>
      </c>
      <c r="E35" s="34" t="n">
        <f aca="false">SUM(E36:E45)</f>
        <v>0</v>
      </c>
      <c r="F35" s="34" t="n">
        <f aca="false">SUM(F36:F45)</f>
        <v>0</v>
      </c>
      <c r="G35" s="34" t="n">
        <f aca="false">SUM(G36:G45)</f>
        <v>0</v>
      </c>
    </row>
    <row r="36" customFormat="false" ht="21.75" hidden="false" customHeight="true" outlineLevel="0" collapsed="false">
      <c r="B36" s="16" t="s">
        <v>45</v>
      </c>
      <c r="C36" s="35"/>
      <c r="D36" s="35"/>
      <c r="E36" s="35"/>
      <c r="F36" s="36"/>
      <c r="G36" s="36"/>
    </row>
    <row r="37" customFormat="false" ht="21.75" hidden="false" customHeight="true" outlineLevel="0" collapsed="false">
      <c r="B37" s="16" t="s">
        <v>46</v>
      </c>
      <c r="C37" s="35"/>
      <c r="D37" s="35"/>
      <c r="E37" s="35"/>
      <c r="F37" s="36"/>
      <c r="G37" s="36"/>
    </row>
    <row r="38" customFormat="false" ht="21.75" hidden="false" customHeight="true" outlineLevel="0" collapsed="false">
      <c r="B38" s="16" t="s">
        <v>47</v>
      </c>
      <c r="C38" s="35" t="n">
        <v>78231</v>
      </c>
      <c r="D38" s="35" t="n">
        <v>0</v>
      </c>
      <c r="E38" s="35" t="n">
        <v>0</v>
      </c>
      <c r="F38" s="36"/>
      <c r="G38" s="36"/>
    </row>
    <row r="39" customFormat="false" ht="21.75" hidden="false" customHeight="true" outlineLevel="0" collapsed="false">
      <c r="B39" s="16"/>
      <c r="C39" s="35"/>
      <c r="D39" s="35"/>
      <c r="E39" s="35"/>
      <c r="F39" s="36"/>
      <c r="G39" s="36"/>
    </row>
    <row r="40" customFormat="false" ht="21.75" hidden="false" customHeight="true" outlineLevel="0" collapsed="false">
      <c r="B40" s="16"/>
      <c r="C40" s="35"/>
      <c r="D40" s="35"/>
      <c r="E40" s="35"/>
      <c r="F40" s="36"/>
      <c r="G40" s="36"/>
    </row>
    <row r="41" customFormat="false" ht="21.75" hidden="false" customHeight="true" outlineLevel="0" collapsed="false">
      <c r="B41" s="16"/>
      <c r="C41" s="35"/>
      <c r="D41" s="35"/>
      <c r="E41" s="35"/>
      <c r="F41" s="36"/>
      <c r="G41" s="36"/>
    </row>
    <row r="42" customFormat="false" ht="21.75" hidden="false" customHeight="true" outlineLevel="0" collapsed="false">
      <c r="B42" s="16"/>
      <c r="C42" s="35"/>
      <c r="D42" s="35"/>
      <c r="E42" s="35"/>
      <c r="F42" s="36"/>
      <c r="G42" s="36"/>
    </row>
    <row r="43" customFormat="false" ht="21.75" hidden="false" customHeight="true" outlineLevel="0" collapsed="false">
      <c r="B43" s="16"/>
      <c r="C43" s="35"/>
      <c r="D43" s="35"/>
      <c r="E43" s="35"/>
      <c r="F43" s="36"/>
      <c r="G43" s="36"/>
    </row>
    <row r="44" customFormat="false" ht="21.75" hidden="false" customHeight="true" outlineLevel="0" collapsed="false">
      <c r="B44" s="16"/>
      <c r="C44" s="35"/>
      <c r="D44" s="35"/>
      <c r="E44" s="35"/>
      <c r="F44" s="36"/>
      <c r="G44" s="36"/>
    </row>
    <row r="45" customFormat="false" ht="21.75" hidden="false" customHeight="true" outlineLevel="0" collapsed="false">
      <c r="B45" s="30"/>
      <c r="C45" s="37"/>
      <c r="D45" s="37"/>
      <c r="E45" s="37"/>
      <c r="F45" s="34"/>
      <c r="G45" s="34"/>
    </row>
    <row r="46" customFormat="false" ht="21.75" hidden="false" customHeight="true" outlineLevel="0" collapsed="false">
      <c r="B46" s="38" t="s">
        <v>48</v>
      </c>
      <c r="C46" s="34" t="n">
        <f aca="false">SUM(C47:C55)</f>
        <v>21694391</v>
      </c>
      <c r="D46" s="34" t="n">
        <f aca="false">SUM(D47:D55)</f>
        <v>12192500</v>
      </c>
      <c r="E46" s="34" t="n">
        <f aca="false">SUM(E47:E55)</f>
        <v>13165100</v>
      </c>
      <c r="F46" s="34" t="n">
        <f aca="false">SUM(F47:F55)</f>
        <v>0</v>
      </c>
      <c r="G46" s="34" t="n">
        <f aca="false">SUM(G47:G55)</f>
        <v>0</v>
      </c>
    </row>
    <row r="47" customFormat="false" ht="22.5" hidden="false" customHeight="true" outlineLevel="0" collapsed="false">
      <c r="B47" s="16" t="s">
        <v>49</v>
      </c>
      <c r="C47" s="35" t="n">
        <v>5000</v>
      </c>
      <c r="D47" s="35" t="n">
        <v>5000</v>
      </c>
      <c r="E47" s="35" t="n">
        <v>5000</v>
      </c>
      <c r="F47" s="36"/>
      <c r="G47" s="36"/>
    </row>
    <row r="48" customFormat="false" ht="22.5" hidden="false" customHeight="true" outlineLevel="0" collapsed="false">
      <c r="B48" s="16" t="s">
        <v>50</v>
      </c>
      <c r="C48" s="35"/>
      <c r="D48" s="35"/>
      <c r="E48" s="35"/>
      <c r="F48" s="35"/>
      <c r="G48" s="35"/>
    </row>
    <row r="49" customFormat="false" ht="22.5" hidden="false" customHeight="true" outlineLevel="0" collapsed="false">
      <c r="B49" s="16" t="s">
        <v>51</v>
      </c>
      <c r="C49" s="35"/>
      <c r="D49" s="35"/>
      <c r="E49" s="35"/>
      <c r="F49" s="35"/>
      <c r="G49" s="35"/>
    </row>
    <row r="50" customFormat="false" ht="22.5" hidden="false" customHeight="true" outlineLevel="0" collapsed="false">
      <c r="B50" s="16" t="s">
        <v>52</v>
      </c>
      <c r="C50" s="35"/>
      <c r="D50" s="35"/>
      <c r="E50" s="35"/>
      <c r="F50" s="35"/>
      <c r="G50" s="35"/>
    </row>
    <row r="51" customFormat="false" ht="22.5" hidden="false" customHeight="true" outlineLevel="0" collapsed="false">
      <c r="B51" s="16" t="s">
        <v>53</v>
      </c>
      <c r="C51" s="35" t="n">
        <v>15707391</v>
      </c>
      <c r="D51" s="35" t="n">
        <v>12187500</v>
      </c>
      <c r="E51" s="35" t="n">
        <v>13160100</v>
      </c>
      <c r="F51" s="35"/>
      <c r="G51" s="35"/>
    </row>
    <row r="52" customFormat="false" ht="22.5" hidden="false" customHeight="true" outlineLevel="0" collapsed="false">
      <c r="B52" s="16" t="s">
        <v>54</v>
      </c>
      <c r="C52" s="35" t="n">
        <v>5982000</v>
      </c>
      <c r="D52" s="35" t="n">
        <v>0</v>
      </c>
      <c r="E52" s="35" t="n">
        <v>0</v>
      </c>
      <c r="F52" s="35"/>
      <c r="G52" s="35"/>
    </row>
    <row r="53" customFormat="false" ht="22.5" hidden="false" customHeight="true" outlineLevel="0" collapsed="false">
      <c r="B53" s="16"/>
      <c r="C53" s="35"/>
      <c r="D53" s="35"/>
      <c r="E53" s="35"/>
      <c r="F53" s="35"/>
      <c r="G53" s="35"/>
    </row>
    <row r="54" customFormat="false" ht="22.5" hidden="false" customHeight="true" outlineLevel="0" collapsed="false">
      <c r="B54" s="16"/>
      <c r="C54" s="35"/>
      <c r="D54" s="35"/>
      <c r="E54" s="35"/>
      <c r="F54" s="35"/>
      <c r="G54" s="35"/>
    </row>
    <row r="55" customFormat="false" ht="22.5" hidden="false" customHeight="true" outlineLevel="0" collapsed="false">
      <c r="B55" s="16"/>
      <c r="C55" s="35"/>
      <c r="D55" s="35"/>
      <c r="E55" s="35"/>
      <c r="F55" s="35"/>
      <c r="G55" s="35"/>
    </row>
    <row r="56" customFormat="false" ht="22.5" hidden="false" customHeight="true" outlineLevel="0" collapsed="false">
      <c r="B56" s="39" t="s">
        <v>55</v>
      </c>
      <c r="C56" s="40" t="n">
        <f aca="false">SUM(C57:C60)</f>
        <v>0</v>
      </c>
      <c r="D56" s="40" t="n">
        <f aca="false">SUM(D57:D60)</f>
        <v>0</v>
      </c>
      <c r="E56" s="40" t="n">
        <f aca="false">SUM(E57:E60)</f>
        <v>0</v>
      </c>
      <c r="F56" s="40" t="n">
        <f aca="false">SUM(F57:F60)</f>
        <v>0</v>
      </c>
      <c r="G56" s="40" t="n">
        <f aca="false">SUM(G57:G60)</f>
        <v>0</v>
      </c>
    </row>
    <row r="57" customFormat="false" ht="22.5" hidden="false" customHeight="true" outlineLevel="0" collapsed="false">
      <c r="B57" s="16" t="s">
        <v>56</v>
      </c>
      <c r="C57" s="35"/>
      <c r="D57" s="35"/>
      <c r="E57" s="35"/>
      <c r="F57" s="35"/>
      <c r="G57" s="35"/>
    </row>
    <row r="58" customFormat="false" ht="22.5" hidden="false" customHeight="true" outlineLevel="0" collapsed="false">
      <c r="B58" s="16"/>
      <c r="C58" s="35"/>
      <c r="D58" s="35"/>
      <c r="E58" s="35"/>
      <c r="F58" s="35"/>
      <c r="G58" s="35"/>
    </row>
    <row r="59" customFormat="false" ht="22.5" hidden="false" customHeight="true" outlineLevel="0" collapsed="false">
      <c r="B59" s="16"/>
      <c r="C59" s="35"/>
      <c r="D59" s="35"/>
      <c r="E59" s="35"/>
      <c r="F59" s="35"/>
      <c r="G59" s="35"/>
    </row>
    <row r="60" customFormat="false" ht="22.5" hidden="false" customHeight="true" outlineLevel="0" collapsed="false">
      <c r="B60" s="30"/>
      <c r="C60" s="37"/>
      <c r="D60" s="37"/>
      <c r="E60" s="37"/>
      <c r="F60" s="37"/>
      <c r="G60" s="37"/>
    </row>
    <row r="61" customFormat="false" ht="22.5" hidden="false" customHeight="true" outlineLevel="0" collapsed="false">
      <c r="B61" s="41" t="s">
        <v>57</v>
      </c>
      <c r="C61" s="42" t="n">
        <f aca="false">C5+C20+C56</f>
        <v>1340292281</v>
      </c>
      <c r="D61" s="42" t="n">
        <f aca="false">D5+D20+D56</f>
        <v>1408490119</v>
      </c>
      <c r="E61" s="42" t="n">
        <f aca="false">E5+E20+E56</f>
        <v>796508990</v>
      </c>
      <c r="F61" s="42" t="n">
        <f aca="false">F5+F20+F56</f>
        <v>0</v>
      </c>
      <c r="G61" s="42" t="n">
        <f aca="false">G5+G20+G56</f>
        <v>0</v>
      </c>
    </row>
    <row r="62" customFormat="false" ht="18" hidden="false" customHeight="false" outlineLevel="0" collapsed="false">
      <c r="C62" s="43"/>
      <c r="D62" s="43"/>
      <c r="E62" s="43"/>
      <c r="F62" s="43"/>
      <c r="G62" s="43"/>
    </row>
    <row r="63" customFormat="false" ht="18" hidden="false" customHeight="false" outlineLevel="0" collapsed="false">
      <c r="B63" s="44" t="s">
        <v>58</v>
      </c>
      <c r="C63" s="45" t="n">
        <f aca="false">EXACT(C61,'BS (貸方)'!C51)</f>
        <v>1</v>
      </c>
      <c r="D63" s="45" t="n">
        <f aca="false">EXACT(D61,'BS (貸方)'!D51)</f>
        <v>1</v>
      </c>
      <c r="E63" s="45" t="n">
        <f aca="false">EXACT(E61,'BS (貸方)'!E51)</f>
        <v>1</v>
      </c>
      <c r="F63" s="45" t="n">
        <f aca="false">EXACT(F61,'BS (貸方)'!F51)</f>
        <v>1</v>
      </c>
      <c r="G63" s="45" t="n">
        <f aca="false">EXACT(G61,'BS (貸方)'!G51)</f>
        <v>1</v>
      </c>
    </row>
    <row r="64" customFormat="false" ht="18" hidden="false" customHeight="false" outlineLevel="0" collapsed="false">
      <c r="C64" s="43"/>
      <c r="D64" s="43"/>
      <c r="E64" s="43"/>
      <c r="F64" s="43"/>
      <c r="G64" s="43"/>
    </row>
    <row r="65" customFormat="false" ht="18" hidden="false" customHeight="false" outlineLevel="0" collapsed="false">
      <c r="C65" s="43"/>
      <c r="D65" s="43"/>
      <c r="E65" s="43"/>
      <c r="F65" s="43"/>
      <c r="G65" s="43"/>
    </row>
    <row r="66" customFormat="false" ht="18" hidden="false" customHeight="false" outlineLevel="0" collapsed="false">
      <c r="C66" s="43"/>
      <c r="D66" s="43"/>
      <c r="E66" s="43"/>
      <c r="F66" s="43"/>
      <c r="G66" s="43"/>
    </row>
    <row r="67" customFormat="false" ht="18" hidden="false" customHeight="false" outlineLevel="0" collapsed="false">
      <c r="C67" s="43"/>
      <c r="D67" s="43"/>
      <c r="E67" s="43"/>
      <c r="F67" s="43"/>
      <c r="G67" s="43"/>
    </row>
    <row r="68" customFormat="false" ht="18" hidden="false" customHeight="false" outlineLevel="0" collapsed="false">
      <c r="C68" s="43"/>
      <c r="D68" s="43"/>
      <c r="E68" s="43"/>
      <c r="F68" s="43"/>
      <c r="G68" s="43"/>
    </row>
    <row r="69" customFormat="false" ht="18" hidden="false" customHeight="false" outlineLevel="0" collapsed="false">
      <c r="C69" s="43"/>
      <c r="D69" s="43"/>
      <c r="E69" s="43"/>
      <c r="F69" s="43"/>
      <c r="G69" s="43"/>
    </row>
    <row r="70" customFormat="false" ht="18" hidden="false" customHeight="false" outlineLevel="0" collapsed="false">
      <c r="C70" s="43"/>
      <c r="D70" s="43"/>
      <c r="E70" s="43"/>
      <c r="F70" s="43"/>
      <c r="G70" s="43"/>
    </row>
    <row r="71" customFormat="false" ht="18" hidden="false" customHeight="false" outlineLevel="0" collapsed="false">
      <c r="C71" s="43"/>
      <c r="D71" s="43"/>
      <c r="E71" s="43"/>
      <c r="F71" s="43"/>
      <c r="G71" s="43"/>
    </row>
    <row r="72" customFormat="false" ht="18" hidden="false" customHeight="false" outlineLevel="0" collapsed="false">
      <c r="C72" s="43"/>
      <c r="D72" s="43"/>
      <c r="E72" s="43"/>
      <c r="F72" s="43"/>
      <c r="G72" s="43"/>
    </row>
    <row r="73" customFormat="false" ht="18" hidden="false" customHeight="false" outlineLevel="0" collapsed="false">
      <c r="C73" s="43"/>
      <c r="D73" s="43"/>
      <c r="E73" s="43"/>
      <c r="F73" s="43"/>
      <c r="G73" s="43"/>
    </row>
    <row r="74" customFormat="false" ht="18" hidden="false" customHeight="false" outlineLevel="0" collapsed="false">
      <c r="C74" s="43"/>
      <c r="D74" s="43"/>
      <c r="E74" s="43"/>
      <c r="F74" s="43"/>
      <c r="G74" s="43"/>
    </row>
    <row r="75" customFormat="false" ht="18" hidden="false" customHeight="false" outlineLevel="0" collapsed="false">
      <c r="C75" s="43"/>
      <c r="D75" s="43"/>
      <c r="E75" s="43"/>
      <c r="F75" s="43"/>
      <c r="G75" s="43"/>
    </row>
    <row r="76" customFormat="false" ht="18" hidden="false" customHeight="false" outlineLevel="0" collapsed="false">
      <c r="C76" s="43"/>
      <c r="D76" s="43"/>
      <c r="E76" s="43"/>
      <c r="F76" s="43"/>
      <c r="G76" s="43"/>
    </row>
    <row r="77" customFormat="false" ht="18" hidden="false" customHeight="false" outlineLevel="0" collapsed="false">
      <c r="C77" s="43"/>
      <c r="D77" s="43"/>
      <c r="E77" s="43"/>
      <c r="F77" s="43"/>
      <c r="G77" s="43"/>
    </row>
    <row r="78" customFormat="false" ht="18" hidden="false" customHeight="false" outlineLevel="0" collapsed="false">
      <c r="C78" s="43"/>
      <c r="D78" s="43"/>
      <c r="E78" s="43"/>
      <c r="F78" s="43"/>
      <c r="G78" s="43"/>
    </row>
  </sheetData>
  <mergeCells count="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72" zoomScaleNormal="72" zoomScalePageLayoutView="100" workbookViewId="0">
      <pane xSplit="0" ySplit="4" topLeftCell="A5" activePane="bottomLeft" state="frozen"/>
      <selection pane="topLeft" activeCell="A1" activeCellId="0" sqref="A1"/>
      <selection pane="bottomLeft" activeCell="K42" activeCellId="0" sqref="K42"/>
    </sheetView>
  </sheetViews>
  <sheetFormatPr defaultColWidth="8.53125" defaultRowHeight="18" zeroHeight="false" outlineLevelRow="0" outlineLevelCol="0"/>
  <cols>
    <col collapsed="false" customWidth="true" hidden="false" outlineLevel="0" max="2" min="2" style="46" width="28"/>
    <col collapsed="false" customWidth="true" hidden="false" outlineLevel="0" max="3" min="3" style="46" width="16.1"/>
    <col collapsed="false" customWidth="true" hidden="false" outlineLevel="0" max="7" min="4" style="20" width="16.1"/>
    <col collapsed="false" customWidth="true" hidden="false" outlineLevel="0" max="8" min="8" style="20" width="8.8"/>
  </cols>
  <sheetData>
    <row r="2" customFormat="false" ht="18" hidden="false" customHeight="false" outlineLevel="0" collapsed="false">
      <c r="E2" s="47" t="s">
        <v>59</v>
      </c>
    </row>
    <row r="3" customFormat="false" ht="27.75" hidden="false" customHeight="true" outlineLevel="0" collapsed="false">
      <c r="B3" s="48" t="s">
        <v>60</v>
      </c>
      <c r="C3" s="48"/>
      <c r="D3" s="48"/>
      <c r="E3" s="48"/>
      <c r="F3" s="48"/>
      <c r="G3" s="48"/>
    </row>
    <row r="4" customFormat="false" ht="39.75" hidden="false" customHeight="true" outlineLevel="0" collapsed="false">
      <c r="B4" s="26" t="s">
        <v>6</v>
      </c>
      <c r="C4" s="26" t="str">
        <f aca="false">'BS(借方)'!C4</f>
        <v>令和6年3月期</v>
      </c>
      <c r="D4" s="26" t="str">
        <f aca="false">'BS(借方)'!D4</f>
        <v>令和7年3月期</v>
      </c>
      <c r="E4" s="26" t="str">
        <f aca="false">'BS(借方)'!E4</f>
        <v>令和8年3月期</v>
      </c>
      <c r="F4" s="26" t="str">
        <f aca="false">'BS(借方)'!F4</f>
        <v>－</v>
      </c>
      <c r="G4" s="49" t="str">
        <f aca="false">'BS(借方)'!G4</f>
        <v>進行期
（試算表未受領）</v>
      </c>
    </row>
    <row r="5" customFormat="false" ht="22.5" hidden="false" customHeight="true" outlineLevel="0" collapsed="false">
      <c r="B5" s="50" t="s">
        <v>61</v>
      </c>
      <c r="C5" s="14" t="n">
        <f aca="false">SUM(C6:C17)</f>
        <v>546936524</v>
      </c>
      <c r="D5" s="14" t="n">
        <f aca="false">SUM(D6:D17)</f>
        <v>549868324</v>
      </c>
      <c r="E5" s="14" t="n">
        <f aca="false">SUM(E6:E17)</f>
        <v>196854699</v>
      </c>
      <c r="F5" s="14" t="n">
        <f aca="false">SUM(F6:F17)</f>
        <v>0</v>
      </c>
      <c r="G5" s="14" t="n">
        <f aca="false">SUM(G6:G17)</f>
        <v>0</v>
      </c>
    </row>
    <row r="6" customFormat="false" ht="22.5" hidden="false" customHeight="true" outlineLevel="0" collapsed="false">
      <c r="B6" s="51" t="s">
        <v>62</v>
      </c>
      <c r="C6" s="52" t="n">
        <v>10530062</v>
      </c>
      <c r="D6" s="17" t="n">
        <v>106089259</v>
      </c>
      <c r="E6" s="17" t="n">
        <v>10296760</v>
      </c>
      <c r="F6" s="17"/>
      <c r="G6" s="17"/>
    </row>
    <row r="7" customFormat="false" ht="22.5" hidden="false" customHeight="true" outlineLevel="0" collapsed="false">
      <c r="B7" s="51" t="s">
        <v>63</v>
      </c>
      <c r="C7" s="52" t="n">
        <v>6830374</v>
      </c>
      <c r="D7" s="17" t="n">
        <v>11297305</v>
      </c>
      <c r="E7" s="17" t="n">
        <v>7639437</v>
      </c>
      <c r="F7" s="17"/>
      <c r="G7" s="17"/>
    </row>
    <row r="8" customFormat="false" ht="22.5" hidden="false" customHeight="true" outlineLevel="0" collapsed="false">
      <c r="B8" s="51" t="s">
        <v>64</v>
      </c>
      <c r="C8" s="52"/>
      <c r="D8" s="17"/>
      <c r="E8" s="17"/>
      <c r="F8" s="17"/>
      <c r="G8" s="17"/>
    </row>
    <row r="9" customFormat="false" ht="22.5" hidden="false" customHeight="true" outlineLevel="0" collapsed="false">
      <c r="B9" s="51" t="s">
        <v>65</v>
      </c>
      <c r="C9" s="52" t="n">
        <v>4995000</v>
      </c>
      <c r="D9" s="17" t="n">
        <v>3049800</v>
      </c>
      <c r="E9" s="17" t="n">
        <v>4950000</v>
      </c>
      <c r="F9" s="17"/>
      <c r="G9" s="17"/>
    </row>
    <row r="10" customFormat="false" ht="22.5" hidden="false" customHeight="true" outlineLevel="0" collapsed="false">
      <c r="B10" s="51" t="s">
        <v>66</v>
      </c>
      <c r="C10" s="52" t="n">
        <v>990436</v>
      </c>
      <c r="D10" s="17" t="n">
        <v>831047</v>
      </c>
      <c r="E10" s="17" t="n">
        <v>794225</v>
      </c>
      <c r="F10" s="17"/>
      <c r="G10" s="17"/>
    </row>
    <row r="11" customFormat="false" ht="22.5" hidden="false" customHeight="true" outlineLevel="0" collapsed="false">
      <c r="B11" s="51" t="s">
        <v>67</v>
      </c>
      <c r="C11" s="52" t="n">
        <v>194500</v>
      </c>
      <c r="D11" s="17" t="n">
        <v>21952200</v>
      </c>
      <c r="E11" s="17" t="n">
        <v>97300</v>
      </c>
      <c r="F11" s="17"/>
      <c r="G11" s="17"/>
    </row>
    <row r="12" customFormat="false" ht="22.5" hidden="false" customHeight="true" outlineLevel="0" collapsed="false">
      <c r="B12" s="51" t="s">
        <v>68</v>
      </c>
      <c r="C12" s="52" t="n">
        <v>523396152</v>
      </c>
      <c r="D12" s="17" t="n">
        <v>406648713</v>
      </c>
      <c r="E12" s="17" t="n">
        <v>173076977</v>
      </c>
      <c r="F12" s="17"/>
      <c r="G12" s="17"/>
    </row>
    <row r="13" customFormat="false" ht="22.5" hidden="false" customHeight="true" outlineLevel="0" collapsed="false">
      <c r="B13" s="51"/>
      <c r="C13" s="52"/>
      <c r="D13" s="17"/>
      <c r="E13" s="17"/>
      <c r="F13" s="17"/>
      <c r="G13" s="17"/>
    </row>
    <row r="14" customFormat="false" ht="22.5" hidden="false" customHeight="true" outlineLevel="0" collapsed="false">
      <c r="B14" s="51"/>
      <c r="C14" s="52"/>
      <c r="D14" s="17"/>
      <c r="E14" s="17"/>
      <c r="F14" s="17"/>
      <c r="G14" s="17"/>
    </row>
    <row r="15" customFormat="false" ht="22.5" hidden="false" customHeight="true" outlineLevel="0" collapsed="false">
      <c r="B15" s="51"/>
      <c r="C15" s="52"/>
      <c r="D15" s="17"/>
      <c r="E15" s="17"/>
      <c r="F15" s="17"/>
      <c r="G15" s="17"/>
    </row>
    <row r="16" customFormat="false" ht="22.5" hidden="false" customHeight="true" outlineLevel="0" collapsed="false">
      <c r="B16" s="51"/>
      <c r="C16" s="52"/>
      <c r="D16" s="17"/>
      <c r="E16" s="17"/>
      <c r="F16" s="17"/>
      <c r="G16" s="17"/>
    </row>
    <row r="17" customFormat="false" ht="22.5" hidden="false" customHeight="true" outlineLevel="0" collapsed="false">
      <c r="B17" s="53"/>
      <c r="C17" s="54"/>
      <c r="D17" s="55"/>
      <c r="E17" s="55"/>
      <c r="F17" s="55"/>
      <c r="G17" s="55"/>
    </row>
    <row r="18" customFormat="false" ht="22.5" hidden="false" customHeight="true" outlineLevel="0" collapsed="false">
      <c r="B18" s="50" t="s">
        <v>69</v>
      </c>
      <c r="C18" s="14" t="n">
        <f aca="false">SUM(C19:C24)</f>
        <v>526719849</v>
      </c>
      <c r="D18" s="14" t="n">
        <f aca="false">SUM(D19:D24)</f>
        <v>483629529</v>
      </c>
      <c r="E18" s="14" t="n">
        <f aca="false">SUM(E19:E24)</f>
        <v>272745529</v>
      </c>
      <c r="F18" s="14" t="n">
        <f aca="false">SUM(F19:F24)</f>
        <v>0</v>
      </c>
      <c r="G18" s="14" t="n">
        <f aca="false">SUM(G19:G24)</f>
        <v>0</v>
      </c>
    </row>
    <row r="19" customFormat="false" ht="22.5" hidden="false" customHeight="true" outlineLevel="0" collapsed="false">
      <c r="B19" s="51" t="s">
        <v>70</v>
      </c>
      <c r="C19" s="52" t="n">
        <v>526321529</v>
      </c>
      <c r="D19" s="17" t="n">
        <v>483629529</v>
      </c>
      <c r="E19" s="17" t="n">
        <v>272745529</v>
      </c>
      <c r="F19" s="17"/>
      <c r="G19" s="17"/>
    </row>
    <row r="20" customFormat="false" ht="22.5" hidden="false" customHeight="true" outlineLevel="0" collapsed="false">
      <c r="B20" s="51" t="s">
        <v>71</v>
      </c>
      <c r="C20" s="52" t="n">
        <v>398320</v>
      </c>
      <c r="D20" s="17" t="n">
        <v>0</v>
      </c>
      <c r="E20" s="17" t="n">
        <v>0</v>
      </c>
      <c r="F20" s="17"/>
      <c r="G20" s="17"/>
    </row>
    <row r="21" customFormat="false" ht="22.5" hidden="false" customHeight="true" outlineLevel="0" collapsed="false">
      <c r="B21" s="51"/>
      <c r="C21" s="52"/>
      <c r="D21" s="17"/>
      <c r="E21" s="17"/>
      <c r="F21" s="17"/>
      <c r="G21" s="17"/>
    </row>
    <row r="22" customFormat="false" ht="22.5" hidden="false" customHeight="true" outlineLevel="0" collapsed="false">
      <c r="B22" s="51"/>
      <c r="C22" s="52"/>
      <c r="D22" s="17"/>
      <c r="E22" s="17"/>
      <c r="F22" s="17"/>
      <c r="G22" s="17"/>
    </row>
    <row r="23" customFormat="false" ht="22.5" hidden="false" customHeight="true" outlineLevel="0" collapsed="false">
      <c r="B23" s="51"/>
      <c r="C23" s="52"/>
      <c r="D23" s="17"/>
      <c r="E23" s="17"/>
      <c r="F23" s="17"/>
      <c r="G23" s="17"/>
    </row>
    <row r="24" customFormat="false" ht="22.5" hidden="false" customHeight="true" outlineLevel="0" collapsed="false">
      <c r="B24" s="53"/>
      <c r="C24" s="54"/>
      <c r="D24" s="55"/>
      <c r="E24" s="55"/>
      <c r="F24" s="55"/>
      <c r="G24" s="55"/>
    </row>
    <row r="25" customFormat="false" ht="22.5" hidden="false" customHeight="true" outlineLevel="0" collapsed="false">
      <c r="B25" s="56" t="s">
        <v>72</v>
      </c>
      <c r="C25" s="57" t="n">
        <f aca="false">C5+C18</f>
        <v>1073656373</v>
      </c>
      <c r="D25" s="58" t="n">
        <f aca="false">D5+D18</f>
        <v>1033497853</v>
      </c>
      <c r="E25" s="58" t="n">
        <f aca="false">E5+E18</f>
        <v>469600228</v>
      </c>
      <c r="F25" s="58" t="n">
        <f aca="false">F5+F18</f>
        <v>0</v>
      </c>
      <c r="G25" s="58" t="n">
        <f aca="false">G5+G18</f>
        <v>0</v>
      </c>
    </row>
    <row r="26" customFormat="false" ht="22.5" hidden="false" customHeight="true" outlineLevel="0" collapsed="false">
      <c r="B26" s="59"/>
      <c r="C26" s="35"/>
      <c r="D26" s="60"/>
      <c r="E26" s="60"/>
      <c r="F26" s="60"/>
      <c r="G26" s="60"/>
    </row>
    <row r="27" customFormat="false" ht="22.5" hidden="false" customHeight="true" outlineLevel="0" collapsed="false">
      <c r="B27" s="59"/>
      <c r="C27" s="52"/>
      <c r="D27" s="17"/>
      <c r="E27" s="17"/>
      <c r="F27" s="17"/>
      <c r="G27" s="17"/>
    </row>
    <row r="28" customFormat="false" ht="22.5" hidden="false" customHeight="true" outlineLevel="0" collapsed="false">
      <c r="B28" s="59"/>
      <c r="C28" s="52"/>
      <c r="D28" s="17"/>
      <c r="E28" s="17"/>
      <c r="F28" s="17"/>
      <c r="G28" s="17"/>
    </row>
    <row r="29" customFormat="false" ht="22.5" hidden="false" customHeight="true" outlineLevel="0" collapsed="false">
      <c r="B29" s="59"/>
      <c r="C29" s="52"/>
      <c r="D29" s="17"/>
      <c r="E29" s="17"/>
      <c r="F29" s="17"/>
      <c r="G29" s="17"/>
    </row>
    <row r="30" customFormat="false" ht="22.5" hidden="false" customHeight="true" outlineLevel="0" collapsed="false">
      <c r="B30" s="59"/>
      <c r="C30" s="52"/>
      <c r="D30" s="17"/>
      <c r="E30" s="17"/>
      <c r="F30" s="17"/>
      <c r="G30" s="17"/>
    </row>
    <row r="31" customFormat="false" ht="21.75" hidden="false" customHeight="true" outlineLevel="0" collapsed="false">
      <c r="B31" s="59"/>
      <c r="C31" s="52"/>
      <c r="D31" s="17"/>
      <c r="E31" s="17"/>
      <c r="F31" s="17"/>
      <c r="G31" s="17"/>
    </row>
    <row r="32" customFormat="false" ht="21.75" hidden="false" customHeight="true" outlineLevel="0" collapsed="false">
      <c r="B32" s="59"/>
      <c r="C32" s="52"/>
      <c r="D32" s="17"/>
      <c r="E32" s="17"/>
      <c r="F32" s="17"/>
      <c r="G32" s="17"/>
    </row>
    <row r="33" customFormat="false" ht="21.75" hidden="false" customHeight="true" outlineLevel="0" collapsed="false">
      <c r="B33" s="59"/>
      <c r="C33" s="52"/>
      <c r="D33" s="17"/>
      <c r="E33" s="17"/>
      <c r="F33" s="17"/>
      <c r="G33" s="17"/>
    </row>
    <row r="34" customFormat="false" ht="21.75" hidden="false" customHeight="true" outlineLevel="0" collapsed="false">
      <c r="B34" s="61" t="s">
        <v>73</v>
      </c>
      <c r="C34" s="61"/>
      <c r="D34" s="61"/>
      <c r="E34" s="61"/>
      <c r="F34" s="61"/>
      <c r="G34" s="61"/>
    </row>
    <row r="35" customFormat="false" ht="21.75" hidden="false" customHeight="true" outlineLevel="0" collapsed="false">
      <c r="B35" s="62" t="s">
        <v>74</v>
      </c>
      <c r="C35" s="63" t="n">
        <f aca="false">SUM(C36:C38)</f>
        <v>500000</v>
      </c>
      <c r="D35" s="63" t="n">
        <f aca="false">SUM(D36:D38)</f>
        <v>500000</v>
      </c>
      <c r="E35" s="63" t="n">
        <f aca="false">SUM(E36:E38)</f>
        <v>500000</v>
      </c>
      <c r="F35" s="63" t="n">
        <f aca="false">SUM(F36:F38)</f>
        <v>0</v>
      </c>
      <c r="G35" s="63" t="n">
        <f aca="false">SUM(G36:G38)</f>
        <v>0</v>
      </c>
    </row>
    <row r="36" customFormat="false" ht="21.75" hidden="false" customHeight="true" outlineLevel="0" collapsed="false">
      <c r="B36" s="51" t="s">
        <v>75</v>
      </c>
      <c r="C36" s="60" t="n">
        <v>500000</v>
      </c>
      <c r="D36" s="35" t="n">
        <v>500000</v>
      </c>
      <c r="E36" s="35" t="n">
        <v>500000</v>
      </c>
      <c r="F36" s="35"/>
      <c r="G36" s="35"/>
    </row>
    <row r="37" customFormat="false" ht="21.75" hidden="false" customHeight="true" outlineLevel="0" collapsed="false">
      <c r="B37" s="51"/>
      <c r="C37" s="60"/>
      <c r="D37" s="35"/>
      <c r="E37" s="35"/>
      <c r="F37" s="35"/>
      <c r="G37" s="35"/>
    </row>
    <row r="38" customFormat="false" ht="21.75" hidden="false" customHeight="true" outlineLevel="0" collapsed="false">
      <c r="B38" s="53"/>
      <c r="C38" s="64"/>
      <c r="D38" s="37"/>
      <c r="E38" s="37"/>
      <c r="F38" s="37"/>
      <c r="G38" s="37"/>
    </row>
    <row r="39" customFormat="false" ht="22.5" hidden="false" customHeight="true" outlineLevel="0" collapsed="false">
      <c r="B39" s="62" t="s">
        <v>76</v>
      </c>
      <c r="C39" s="63" t="n">
        <f aca="false">SUM(C40:C42)</f>
        <v>5000000</v>
      </c>
      <c r="D39" s="63" t="n">
        <f aca="false">SUM(D40:D42)</f>
        <v>5000000</v>
      </c>
      <c r="E39" s="63" t="n">
        <f aca="false">SUM(E40:E42)</f>
        <v>5000000</v>
      </c>
      <c r="F39" s="63" t="n">
        <f aca="false">SUM(F40:F42)</f>
        <v>0</v>
      </c>
      <c r="G39" s="63" t="n">
        <f aca="false">SUM(G40:G42)</f>
        <v>0</v>
      </c>
    </row>
    <row r="40" customFormat="false" ht="22.5" hidden="false" customHeight="true" outlineLevel="0" collapsed="false">
      <c r="B40" s="51" t="s">
        <v>77</v>
      </c>
      <c r="C40" s="60" t="n">
        <v>5000000</v>
      </c>
      <c r="D40" s="35" t="n">
        <v>5000000</v>
      </c>
      <c r="E40" s="35" t="n">
        <v>5000000</v>
      </c>
      <c r="F40" s="35"/>
      <c r="G40" s="35"/>
    </row>
    <row r="41" customFormat="false" ht="22.5" hidden="false" customHeight="true" outlineLevel="0" collapsed="false">
      <c r="B41" s="51"/>
      <c r="C41" s="60"/>
      <c r="D41" s="35"/>
      <c r="E41" s="35"/>
      <c r="F41" s="35"/>
      <c r="G41" s="35"/>
    </row>
    <row r="42" customFormat="false" ht="22.5" hidden="false" customHeight="true" outlineLevel="0" collapsed="false">
      <c r="B42" s="65"/>
      <c r="C42" s="66"/>
      <c r="D42" s="67"/>
      <c r="E42" s="67"/>
      <c r="F42" s="67"/>
      <c r="G42" s="67"/>
    </row>
    <row r="43" customFormat="false" ht="22.5" hidden="false" customHeight="true" outlineLevel="0" collapsed="false">
      <c r="B43" s="68" t="s">
        <v>78</v>
      </c>
      <c r="C43" s="63" t="n">
        <f aca="false">SUM(C44:C48)</f>
        <v>261135908</v>
      </c>
      <c r="D43" s="63" t="n">
        <f aca="false">SUM(D44:D48)</f>
        <v>369492266</v>
      </c>
      <c r="E43" s="63" t="n">
        <f aca="false">SUM(E44:E48)</f>
        <v>321408762</v>
      </c>
      <c r="F43" s="63" t="n">
        <f aca="false">SUM(F44:F48)</f>
        <v>0</v>
      </c>
      <c r="G43" s="63" t="n">
        <f aca="false">SUM(G44:G48)</f>
        <v>0</v>
      </c>
    </row>
    <row r="44" customFormat="false" ht="22.5" hidden="false" customHeight="true" outlineLevel="0" collapsed="false">
      <c r="B44" s="51" t="s">
        <v>79</v>
      </c>
      <c r="C44" s="60"/>
      <c r="D44" s="35"/>
      <c r="E44" s="35"/>
      <c r="F44" s="35"/>
      <c r="G44" s="35"/>
    </row>
    <row r="45" customFormat="false" ht="22.5" hidden="false" customHeight="true" outlineLevel="0" collapsed="false">
      <c r="B45" s="51" t="s">
        <v>80</v>
      </c>
      <c r="C45" s="60"/>
      <c r="D45" s="35"/>
      <c r="E45" s="35"/>
      <c r="F45" s="35"/>
      <c r="G45" s="35"/>
    </row>
    <row r="46" customFormat="false" ht="22.5" hidden="false" customHeight="true" outlineLevel="0" collapsed="false">
      <c r="B46" s="51" t="s">
        <v>81</v>
      </c>
      <c r="C46" s="60" t="n">
        <v>261135908</v>
      </c>
      <c r="D46" s="35" t="n">
        <v>369492266</v>
      </c>
      <c r="E46" s="35" t="n">
        <v>321408762</v>
      </c>
      <c r="F46" s="35"/>
      <c r="G46" s="35"/>
    </row>
    <row r="47" customFormat="false" ht="22.5" hidden="false" customHeight="true" outlineLevel="0" collapsed="false">
      <c r="B47" s="51"/>
      <c r="C47" s="60"/>
      <c r="D47" s="35"/>
      <c r="E47" s="35"/>
      <c r="F47" s="35"/>
      <c r="G47" s="35"/>
    </row>
    <row r="48" customFormat="false" ht="22.5" hidden="false" customHeight="true" outlineLevel="0" collapsed="false">
      <c r="B48" s="53"/>
      <c r="C48" s="64"/>
      <c r="D48" s="37"/>
      <c r="E48" s="37"/>
      <c r="F48" s="37"/>
      <c r="G48" s="37"/>
    </row>
    <row r="49" customFormat="false" ht="22.5" hidden="false" customHeight="true" outlineLevel="0" collapsed="false">
      <c r="B49" s="69" t="s">
        <v>82</v>
      </c>
      <c r="C49" s="70" t="n">
        <v>0</v>
      </c>
      <c r="D49" s="71" t="n">
        <v>0</v>
      </c>
      <c r="E49" s="71" t="n">
        <v>0</v>
      </c>
      <c r="F49" s="71" t="n">
        <v>0</v>
      </c>
      <c r="G49" s="71" t="n">
        <v>0</v>
      </c>
    </row>
    <row r="50" customFormat="false" ht="22.5" hidden="false" customHeight="true" outlineLevel="0" collapsed="false">
      <c r="B50" s="72" t="s">
        <v>83</v>
      </c>
      <c r="C50" s="73" t="n">
        <f aca="false">C35+C39+C43+C49</f>
        <v>266635908</v>
      </c>
      <c r="D50" s="73" t="n">
        <f aca="false">D35+D39+D43+D49</f>
        <v>374992266</v>
      </c>
      <c r="E50" s="73" t="n">
        <f aca="false">E35+E39+E43+E49</f>
        <v>326908762</v>
      </c>
      <c r="F50" s="73" t="n">
        <f aca="false">F35+F39+F43+F49</f>
        <v>0</v>
      </c>
      <c r="G50" s="73" t="n">
        <f aca="false">G35+G39+G43+G49</f>
        <v>0</v>
      </c>
    </row>
    <row r="51" customFormat="false" ht="22.5" hidden="false" customHeight="true" outlineLevel="0" collapsed="false">
      <c r="B51" s="74" t="s">
        <v>84</v>
      </c>
      <c r="C51" s="75" t="n">
        <f aca="false">C25+C50</f>
        <v>1340292281</v>
      </c>
      <c r="D51" s="75" t="n">
        <f aca="false">D25+D50</f>
        <v>1408490119</v>
      </c>
      <c r="E51" s="75" t="n">
        <f aca="false">E25+E50</f>
        <v>796508990</v>
      </c>
      <c r="F51" s="75" t="n">
        <f aca="false">F25+F50</f>
        <v>0</v>
      </c>
      <c r="G51" s="75" t="n">
        <f aca="false">G25+G50</f>
        <v>0</v>
      </c>
    </row>
    <row r="52" customFormat="false" ht="18" hidden="false" customHeight="false" outlineLevel="0" collapsed="false">
      <c r="C52" s="76"/>
      <c r="D52" s="43"/>
      <c r="E52" s="43"/>
      <c r="F52" s="43"/>
      <c r="G52" s="43"/>
    </row>
    <row r="53" customFormat="false" ht="18" hidden="false" customHeight="false" outlineLevel="0" collapsed="false">
      <c r="B53" s="44" t="s">
        <v>58</v>
      </c>
      <c r="C53" s="77" t="n">
        <f aca="false">EXACT(C51,'BS(借方)'!C61)</f>
        <v>1</v>
      </c>
      <c r="D53" s="77" t="n">
        <f aca="false">EXACT(D51,'BS(借方)'!D61)</f>
        <v>1</v>
      </c>
      <c r="E53" s="77" t="n">
        <f aca="false">EXACT(E51,'BS(借方)'!E61)</f>
        <v>1</v>
      </c>
      <c r="F53" s="77" t="n">
        <f aca="false">EXACT(F51,'BS(借方)'!F61)</f>
        <v>1</v>
      </c>
      <c r="G53" s="77" t="n">
        <f aca="false">EXACT(G51,'BS(借方)'!G61)</f>
        <v>1</v>
      </c>
    </row>
    <row r="54" customFormat="false" ht="18" hidden="false" customHeight="false" outlineLevel="0" collapsed="false">
      <c r="C54" s="76"/>
      <c r="D54" s="43"/>
      <c r="E54" s="43"/>
      <c r="F54" s="43"/>
      <c r="G54" s="43"/>
    </row>
    <row r="55" customFormat="false" ht="18" hidden="false" customHeight="false" outlineLevel="0" collapsed="false">
      <c r="C55" s="76"/>
      <c r="D55" s="43"/>
      <c r="E55" s="43"/>
      <c r="F55" s="43"/>
      <c r="G55" s="43"/>
    </row>
    <row r="56" customFormat="false" ht="18" hidden="false" customHeight="false" outlineLevel="0" collapsed="false">
      <c r="C56" s="76"/>
      <c r="D56" s="43"/>
      <c r="E56" s="43"/>
      <c r="F56" s="43"/>
      <c r="G56" s="43"/>
    </row>
    <row r="57" customFormat="false" ht="18" hidden="false" customHeight="false" outlineLevel="0" collapsed="false">
      <c r="C57" s="76"/>
      <c r="D57" s="43"/>
      <c r="E57" s="43"/>
      <c r="F57" s="43"/>
      <c r="G57" s="43"/>
    </row>
    <row r="58" customFormat="false" ht="18" hidden="false" customHeight="false" outlineLevel="0" collapsed="false">
      <c r="C58" s="76"/>
      <c r="D58" s="43"/>
      <c r="E58" s="43"/>
      <c r="F58" s="43"/>
      <c r="G58" s="43"/>
    </row>
    <row r="59" customFormat="false" ht="18" hidden="false" customHeight="false" outlineLevel="0" collapsed="false">
      <c r="C59" s="76"/>
      <c r="D59" s="43"/>
      <c r="E59" s="43"/>
      <c r="F59" s="43"/>
      <c r="G59" s="43"/>
    </row>
    <row r="60" customFormat="false" ht="18" hidden="false" customHeight="false" outlineLevel="0" collapsed="false">
      <c r="C60" s="76"/>
      <c r="D60" s="43"/>
      <c r="E60" s="43"/>
      <c r="F60" s="43"/>
      <c r="G60" s="43"/>
    </row>
    <row r="61" customFormat="false" ht="18" hidden="false" customHeight="false" outlineLevel="0" collapsed="false">
      <c r="C61" s="76"/>
      <c r="D61" s="43"/>
      <c r="E61" s="43"/>
      <c r="F61" s="43"/>
      <c r="G61" s="43"/>
    </row>
    <row r="62" customFormat="false" ht="18" hidden="false" customHeight="false" outlineLevel="0" collapsed="false">
      <c r="C62" s="76"/>
      <c r="D62" s="43"/>
      <c r="E62" s="43"/>
      <c r="F62" s="43"/>
      <c r="G62" s="43"/>
    </row>
    <row r="63" customFormat="false" ht="18" hidden="false" customHeight="false" outlineLevel="0" collapsed="false">
      <c r="C63" s="76"/>
      <c r="D63" s="43"/>
      <c r="E63" s="43"/>
      <c r="F63" s="43"/>
      <c r="G63" s="43"/>
    </row>
    <row r="64" customFormat="false" ht="18" hidden="false" customHeight="false" outlineLevel="0" collapsed="false">
      <c r="C64" s="76"/>
      <c r="D64" s="43"/>
      <c r="E64" s="43"/>
      <c r="F64" s="43"/>
      <c r="G64" s="43"/>
    </row>
    <row r="65" customFormat="false" ht="18" hidden="false" customHeight="false" outlineLevel="0" collapsed="false">
      <c r="C65" s="76"/>
      <c r="D65" s="43"/>
      <c r="E65" s="43"/>
      <c r="F65" s="43"/>
      <c r="G65" s="43"/>
    </row>
    <row r="66" customFormat="false" ht="18" hidden="false" customHeight="false" outlineLevel="0" collapsed="false">
      <c r="C66" s="76"/>
      <c r="D66" s="43"/>
      <c r="E66" s="43"/>
      <c r="F66" s="43"/>
      <c r="G66" s="43"/>
    </row>
    <row r="67" customFormat="false" ht="18" hidden="false" customHeight="false" outlineLevel="0" collapsed="false">
      <c r="C67" s="76"/>
      <c r="D67" s="43"/>
      <c r="E67" s="43"/>
      <c r="F67" s="43"/>
      <c r="G67" s="43"/>
    </row>
    <row r="68" customFormat="false" ht="18" hidden="false" customHeight="false" outlineLevel="0" collapsed="false">
      <c r="C68" s="76"/>
      <c r="D68" s="43"/>
      <c r="E68" s="43"/>
      <c r="F68" s="43"/>
      <c r="G68" s="43"/>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0" activePane="bottomLeft" state="frozen"/>
      <selection pane="topLeft" activeCell="A1" activeCellId="0" sqref="A1"/>
      <selection pane="bottomLeft" activeCell="H2" activeCellId="0" sqref="H2"/>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
    <col collapsed="false" customWidth="true" hidden="false" outlineLevel="0" max="14" min="14" style="20" width="8.8"/>
  </cols>
  <sheetData>
    <row r="2" customFormat="false" ht="18" hidden="false" customHeight="false" outlineLevel="0" collapsed="false">
      <c r="B2" s="2"/>
      <c r="C2" s="46"/>
      <c r="D2" s="78"/>
      <c r="G2" s="46"/>
      <c r="H2" s="47" t="s">
        <v>59</v>
      </c>
      <c r="I2" s="2"/>
      <c r="K2" s="46"/>
      <c r="L2" s="78"/>
    </row>
    <row r="3" customFormat="false" ht="19.5" hidden="false" customHeight="true" outlineLevel="0" collapsed="false">
      <c r="B3" s="8" t="s">
        <v>6</v>
      </c>
      <c r="C3" s="9" t="str">
        <f aca="false">'BS(借方)'!C4</f>
        <v>令和6年3月期</v>
      </c>
      <c r="D3" s="9"/>
      <c r="E3" s="79" t="str">
        <f aca="false">'BS(借方)'!D4</f>
        <v>令和7年3月期</v>
      </c>
      <c r="F3" s="79"/>
      <c r="G3" s="25" t="str">
        <f aca="false">'BS(借方)'!E4</f>
        <v>令和8年3月期</v>
      </c>
      <c r="H3" s="25"/>
      <c r="I3" s="80" t="str">
        <f aca="false">'BS(借方)'!F4</f>
        <v>－</v>
      </c>
      <c r="J3" s="80"/>
      <c r="K3" s="81" t="str">
        <f aca="false">'BS(借方)'!G4</f>
        <v>進行期
（試算表未受領）</v>
      </c>
      <c r="L3" s="81"/>
    </row>
    <row r="4" customFormat="false" ht="19.5" hidden="false" customHeight="true" outlineLevel="0" collapsed="false">
      <c r="B4" s="8"/>
      <c r="C4" s="82" t="s">
        <v>85</v>
      </c>
      <c r="D4" s="83" t="s">
        <v>86</v>
      </c>
      <c r="E4" s="82" t="s">
        <v>85</v>
      </c>
      <c r="F4" s="82" t="s">
        <v>86</v>
      </c>
      <c r="G4" s="82" t="s">
        <v>85</v>
      </c>
      <c r="H4" s="83" t="s">
        <v>86</v>
      </c>
      <c r="I4" s="82" t="s">
        <v>85</v>
      </c>
      <c r="J4" s="83" t="s">
        <v>86</v>
      </c>
      <c r="K4" s="84" t="s">
        <v>85</v>
      </c>
      <c r="L4" s="85" t="s">
        <v>86</v>
      </c>
    </row>
    <row r="5" customFormat="false" ht="22.5" hidden="false" customHeight="true" outlineLevel="0" collapsed="false">
      <c r="B5" s="86" t="s">
        <v>87</v>
      </c>
      <c r="C5" s="87" t="n">
        <v>366805605</v>
      </c>
      <c r="D5" s="88" t="n">
        <f aca="false">IF(C5=0,"",C5/C$11)</f>
        <v>0.956619866232735</v>
      </c>
      <c r="E5" s="87" t="n">
        <v>344797561</v>
      </c>
      <c r="F5" s="88" t="n">
        <f aca="false">IF(E5=0,"",E5/E$11)</f>
        <v>0.280134193287368</v>
      </c>
      <c r="G5" s="87" t="n">
        <v>303702978</v>
      </c>
      <c r="H5" s="88" t="n">
        <f aca="false">IF(G5=0,"",G5/G$11)</f>
        <v>0.951038154907121</v>
      </c>
      <c r="I5" s="87"/>
      <c r="J5" s="88" t="str">
        <f aca="false">IF(I5=0,"",I5/I$11)</f>
        <v/>
      </c>
      <c r="K5" s="87"/>
      <c r="L5" s="88" t="str">
        <f aca="false">IF(K5=0,"",K5/K$11)</f>
        <v/>
      </c>
    </row>
    <row r="6" customFormat="false" ht="22.5" hidden="false" customHeight="true" outlineLevel="0" collapsed="false">
      <c r="B6" s="86" t="s">
        <v>88</v>
      </c>
      <c r="C6" s="35" t="n">
        <v>16633646</v>
      </c>
      <c r="D6" s="88" t="n">
        <f aca="false">IF(C6=0,"",C6/C$11)</f>
        <v>0.0433801337672653</v>
      </c>
      <c r="E6" s="35" t="n">
        <v>16832410</v>
      </c>
      <c r="F6" s="88" t="n">
        <f aca="false">IF(E6=0,"",E6/E$11)</f>
        <v>0.0136756582116085</v>
      </c>
      <c r="G6" s="35" t="n">
        <v>1635396</v>
      </c>
      <c r="H6" s="88" t="n">
        <f aca="false">IF(G6=0,"",G6/G$11)</f>
        <v>0.00512120099916335</v>
      </c>
      <c r="I6" s="35"/>
      <c r="J6" s="88" t="str">
        <f aca="false">IF(I6=0,"",I6/I$11)</f>
        <v/>
      </c>
      <c r="K6" s="35"/>
      <c r="L6" s="88" t="str">
        <f aca="false">IF(K6=0,"",K6/K$11)</f>
        <v/>
      </c>
    </row>
    <row r="7" customFormat="false" ht="22.5" hidden="false" customHeight="true" outlineLevel="0" collapsed="false">
      <c r="B7" s="86" t="s">
        <v>89</v>
      </c>
      <c r="C7" s="35" t="n">
        <v>0</v>
      </c>
      <c r="D7" s="88" t="str">
        <f aca="false">IF(C7=0,"",C7/C$11)</f>
        <v/>
      </c>
      <c r="E7" s="35" t="n">
        <v>869200000</v>
      </c>
      <c r="F7" s="88" t="n">
        <f aca="false">IF(E7=0,"",E7/E$11)</f>
        <v>0.706190148501023</v>
      </c>
      <c r="G7" s="35" t="n">
        <v>0</v>
      </c>
      <c r="H7" s="88" t="str">
        <f aca="false">IF(G7=0,"",G7/G$11)</f>
        <v/>
      </c>
      <c r="I7" s="35"/>
      <c r="J7" s="88" t="str">
        <f aca="false">IF(I7=0,"",I7/I$11)</f>
        <v/>
      </c>
      <c r="K7" s="35"/>
      <c r="L7" s="88" t="str">
        <f aca="false">IF(K7=0,"",K7/K$11)</f>
        <v/>
      </c>
    </row>
    <row r="8" customFormat="false" ht="22.5" hidden="false" customHeight="true" outlineLevel="0" collapsed="false">
      <c r="B8" s="86" t="s">
        <v>90</v>
      </c>
      <c r="C8" s="35" t="n">
        <v>0</v>
      </c>
      <c r="D8" s="88" t="str">
        <f aca="false">IF(C8=0,"",C8/C$11)</f>
        <v/>
      </c>
      <c r="E8" s="35" t="n">
        <v>0</v>
      </c>
      <c r="F8" s="88" t="str">
        <f aca="false">IF(E8=0,"",E8/E$11)</f>
        <v/>
      </c>
      <c r="G8" s="35" t="n">
        <v>14000000</v>
      </c>
      <c r="H8" s="88" t="n">
        <f aca="false">IF(G8=0,"",G8/G$11)</f>
        <v>0.0438406440937161</v>
      </c>
      <c r="I8" s="35"/>
      <c r="J8" s="88" t="str">
        <f aca="false">IF(I8=0,"",I8/I$11)</f>
        <v/>
      </c>
      <c r="K8" s="35"/>
      <c r="L8" s="88" t="str">
        <f aca="false">IF(K8=0,"",K8/K$11)</f>
        <v/>
      </c>
    </row>
    <row r="9" customFormat="false" ht="22.5" hidden="false" customHeight="true" outlineLevel="0" collapsed="false">
      <c r="B9" s="89"/>
      <c r="C9" s="35"/>
      <c r="D9" s="88" t="str">
        <f aca="false">IF(C9=0,"",C9/C$11)</f>
        <v/>
      </c>
      <c r="E9" s="35"/>
      <c r="F9" s="88" t="str">
        <f aca="false">IF(E9=0,"",E9/E$11)</f>
        <v/>
      </c>
      <c r="G9" s="35"/>
      <c r="H9" s="88" t="str">
        <f aca="false">IF(G9=0,"",G9/G$11)</f>
        <v/>
      </c>
      <c r="I9" s="35"/>
      <c r="J9" s="88" t="str">
        <f aca="false">IF(I9=0,"",I9/I$11)</f>
        <v/>
      </c>
      <c r="K9" s="35"/>
      <c r="L9" s="88" t="str">
        <f aca="false">IF(K9=0,"",K9/K$11)</f>
        <v/>
      </c>
    </row>
    <row r="10" customFormat="false" ht="22.5" hidden="false" customHeight="true" outlineLevel="0" collapsed="false">
      <c r="B10" s="90"/>
      <c r="C10" s="37"/>
      <c r="D10" s="91" t="str">
        <f aca="false">IF(C10=0,"",C10/C$11)</f>
        <v/>
      </c>
      <c r="E10" s="37"/>
      <c r="F10" s="91" t="str">
        <f aca="false">IF(E10=0,"",E10/E$11)</f>
        <v/>
      </c>
      <c r="G10" s="37"/>
      <c r="H10" s="91" t="str">
        <f aca="false">IF(G10=0,"",G10/G$11)</f>
        <v/>
      </c>
      <c r="I10" s="37"/>
      <c r="J10" s="91" t="str">
        <f aca="false">IF(I10=0,"",I10/I$11)</f>
        <v/>
      </c>
      <c r="K10" s="37"/>
      <c r="L10" s="91" t="str">
        <f aca="false">IF(K10=0,"",K10/K$11)</f>
        <v/>
      </c>
    </row>
    <row r="11" customFormat="false" ht="22.5" hidden="false" customHeight="true" outlineLevel="0" collapsed="false">
      <c r="B11" s="92" t="s">
        <v>91</v>
      </c>
      <c r="C11" s="93" t="n">
        <f aca="false">SUM(C5:C10)</f>
        <v>383439251</v>
      </c>
      <c r="D11" s="94" t="n">
        <f aca="false">IF(C11=0,"",C11/C$11)</f>
        <v>1</v>
      </c>
      <c r="E11" s="93" t="n">
        <f aca="false">SUM(E5:E10)</f>
        <v>1230829971</v>
      </c>
      <c r="F11" s="94" t="n">
        <f aca="false">IF(E11=0,"",E11/E$11)</f>
        <v>1</v>
      </c>
      <c r="G11" s="93" t="n">
        <f aca="false">SUM(G5:G10)</f>
        <v>319338374</v>
      </c>
      <c r="H11" s="94" t="n">
        <f aca="false">IF(G11=0,"",G11/G$11)</f>
        <v>1</v>
      </c>
      <c r="I11" s="93" t="n">
        <f aca="false">SUM(I5:I10)</f>
        <v>0</v>
      </c>
      <c r="J11" s="94" t="str">
        <f aca="false">IF(I11=0,"",I11/I$11)</f>
        <v/>
      </c>
      <c r="K11" s="93" t="n">
        <f aca="false">SUM(K5:K10)</f>
        <v>0</v>
      </c>
      <c r="L11" s="94" t="str">
        <f aca="false">IF(K11=0,"",K11/K$11)</f>
        <v/>
      </c>
    </row>
    <row r="12" customFormat="false" ht="22.5" hidden="false" customHeight="true" outlineLevel="0" collapsed="false">
      <c r="B12" s="95" t="s">
        <v>92</v>
      </c>
      <c r="C12" s="35" t="n">
        <v>7732842</v>
      </c>
      <c r="D12" s="88" t="n">
        <f aca="false">IF(C12=0,"",C12/C$11)</f>
        <v>0.020167059005652</v>
      </c>
      <c r="E12" s="35" t="n">
        <v>8732000</v>
      </c>
      <c r="F12" s="88" t="n">
        <f aca="false">IF(E12=0,"",E12/E$11)</f>
        <v>0.00709439988116766</v>
      </c>
      <c r="G12" s="35" t="n">
        <v>8732000</v>
      </c>
      <c r="H12" s="88" t="n">
        <f aca="false">IF(G12=0,"",G12/G$11)</f>
        <v>0.0273440360161664</v>
      </c>
      <c r="I12" s="35"/>
      <c r="J12" s="88" t="str">
        <f aca="false">IF(I12=0,"",I12/I$11)</f>
        <v/>
      </c>
      <c r="K12" s="35"/>
      <c r="L12" s="88" t="str">
        <f aca="false">IF(K12=0,"",K12/K$11)</f>
        <v/>
      </c>
    </row>
    <row r="13" customFormat="false" ht="22.5" hidden="false" customHeight="true" outlineLevel="0" collapsed="false">
      <c r="B13" s="95" t="s">
        <v>93</v>
      </c>
      <c r="C13" s="35" t="n">
        <v>105841625</v>
      </c>
      <c r="D13" s="88" t="n">
        <f aca="false">IF(C13=0,"",C13/C$11)</f>
        <v>0.276032317307025</v>
      </c>
      <c r="E13" s="35" t="n">
        <v>100866136</v>
      </c>
      <c r="F13" s="88" t="n">
        <f aca="false">IF(E13=0,"",E13/E$11)</f>
        <v>0.0819496911649383</v>
      </c>
      <c r="G13" s="35" t="n">
        <v>96006124</v>
      </c>
      <c r="H13" s="88" t="n">
        <f aca="false">IF(G13=0,"",G13/G$11)</f>
        <v>0.300640736650084</v>
      </c>
      <c r="I13" s="35"/>
      <c r="J13" s="88" t="str">
        <f aca="false">IF(I13=0,"",I13/I$11)</f>
        <v/>
      </c>
      <c r="K13" s="35"/>
      <c r="L13" s="88" t="str">
        <f aca="false">IF(K13=0,"",K13/K$11)</f>
        <v/>
      </c>
    </row>
    <row r="14" customFormat="false" ht="22.5" hidden="false" customHeight="true" outlineLevel="0" collapsed="false">
      <c r="B14" s="95" t="s">
        <v>94</v>
      </c>
      <c r="C14" s="35" t="n">
        <v>0</v>
      </c>
      <c r="D14" s="88" t="str">
        <f aca="false">IF(C14=0,"",C14/C$11)</f>
        <v/>
      </c>
      <c r="E14" s="35" t="n">
        <v>636056000</v>
      </c>
      <c r="F14" s="88" t="n">
        <f aca="false">IF(E14=0,"",E14/E$11)</f>
        <v>0.516769996657808</v>
      </c>
      <c r="G14" s="35" t="n">
        <v>0</v>
      </c>
      <c r="H14" s="88" t="str">
        <f aca="false">IF(G14=0,"",G14/G$11)</f>
        <v/>
      </c>
      <c r="I14" s="35"/>
      <c r="J14" s="88" t="str">
        <f aca="false">IF(I14=0,"",I14/I$11)</f>
        <v/>
      </c>
      <c r="K14" s="35"/>
      <c r="L14" s="88" t="str">
        <f aca="false">IF(K14=0,"",K14/K$11)</f>
        <v/>
      </c>
    </row>
    <row r="15" customFormat="false" ht="22.5" hidden="false" customHeight="true" outlineLevel="0" collapsed="false">
      <c r="B15" s="95" t="s">
        <v>95</v>
      </c>
      <c r="C15" s="35" t="n">
        <v>-8732000</v>
      </c>
      <c r="D15" s="88" t="n">
        <f aca="false">IF(C15=0,"",C15/C$11)</f>
        <v>-0.0227728381411845</v>
      </c>
      <c r="E15" s="35" t="n">
        <v>-8732000</v>
      </c>
      <c r="F15" s="88" t="n">
        <f aca="false">IF(E15=0,"",E15/E$11)</f>
        <v>-0.00709439988116766</v>
      </c>
      <c r="G15" s="35" t="n">
        <v>-8532000</v>
      </c>
      <c r="H15" s="88" t="n">
        <f aca="false">IF(G15=0,"",G15/G$11)</f>
        <v>-0.0267177411005418</v>
      </c>
      <c r="I15" s="35"/>
      <c r="J15" s="88" t="str">
        <f aca="false">IF(I15=0,"",I15/I$11)</f>
        <v/>
      </c>
      <c r="K15" s="35"/>
      <c r="L15" s="88" t="str">
        <f aca="false">IF(K15=0,"",K15/K$11)</f>
        <v/>
      </c>
    </row>
    <row r="16" customFormat="false" ht="22.5" hidden="false" customHeight="true" outlineLevel="0" collapsed="false">
      <c r="B16" s="96" t="s">
        <v>96</v>
      </c>
      <c r="C16" s="97" t="n">
        <f aca="false">SUM(C12:C15)</f>
        <v>104842467</v>
      </c>
      <c r="D16" s="98" t="n">
        <f aca="false">IF(C16=0,"",C16/C$11)</f>
        <v>0.273426538171493</v>
      </c>
      <c r="E16" s="97" t="n">
        <f aca="false">SUM(E12:E15)</f>
        <v>736922136</v>
      </c>
      <c r="F16" s="98" t="n">
        <f aca="false">IF(E16=0,"",E16/E$11)</f>
        <v>0.598719687822746</v>
      </c>
      <c r="G16" s="97" t="n">
        <f aca="false">SUM(G12:G15)</f>
        <v>96206124</v>
      </c>
      <c r="H16" s="98" t="n">
        <f aca="false">IF(G16=0,"",G16/G$11)</f>
        <v>0.301267031565708</v>
      </c>
      <c r="I16" s="97" t="n">
        <f aca="false">SUM(I12:I15)</f>
        <v>0</v>
      </c>
      <c r="J16" s="98" t="str">
        <f aca="false">IF(I16=0,"",I16/I$11)</f>
        <v/>
      </c>
      <c r="K16" s="97" t="n">
        <f aca="false">SUM(K12:K15)</f>
        <v>0</v>
      </c>
      <c r="L16" s="98" t="str">
        <f aca="false">IF(K16=0,"",K16/K$11)</f>
        <v/>
      </c>
    </row>
    <row r="17" customFormat="false" ht="22.5" hidden="false" customHeight="true" outlineLevel="0" collapsed="false">
      <c r="B17" s="92" t="s">
        <v>97</v>
      </c>
      <c r="C17" s="93" t="n">
        <f aca="false">C11-C16</f>
        <v>278596784</v>
      </c>
      <c r="D17" s="94" t="n">
        <f aca="false">IF(C17=0,"",C17/C$11)</f>
        <v>0.726573461828508</v>
      </c>
      <c r="E17" s="93" t="n">
        <f aca="false">E11-E16</f>
        <v>493907835</v>
      </c>
      <c r="F17" s="94" t="n">
        <f aca="false">IF(E17=0,"",E17/E$11)</f>
        <v>0.401280312177254</v>
      </c>
      <c r="G17" s="93" t="n">
        <f aca="false">G11-G16</f>
        <v>223132250</v>
      </c>
      <c r="H17" s="94" t="n">
        <f aca="false">IF(G17=0,"",G17/G$11)</f>
        <v>0.698732968434292</v>
      </c>
      <c r="I17" s="93" t="n">
        <f aca="false">I11-I16</f>
        <v>0</v>
      </c>
      <c r="J17" s="94" t="str">
        <f aca="false">IF(I17=0,"",I17/I$11)</f>
        <v/>
      </c>
      <c r="K17" s="93" t="n">
        <f aca="false">K11-K16</f>
        <v>0</v>
      </c>
      <c r="L17" s="94" t="str">
        <f aca="false">IF(K17=0,"",K17/K$11)</f>
        <v/>
      </c>
    </row>
    <row r="18" customFormat="false" ht="22.5" hidden="false" customHeight="true" outlineLevel="0" collapsed="false">
      <c r="B18" s="96" t="s">
        <v>98</v>
      </c>
      <c r="C18" s="99" t="n">
        <f aca="false">SGA!C40</f>
        <v>283551728</v>
      </c>
      <c r="D18" s="100" t="n">
        <f aca="false">IF(C18=0,"",C18/C$11)</f>
        <v>0.739495832157256</v>
      </c>
      <c r="E18" s="99" t="n">
        <f aca="false">SGA!E40</f>
        <v>273060341</v>
      </c>
      <c r="F18" s="100" t="n">
        <f aca="false">IF(E18=0,"",E18/E$11)</f>
        <v>0.221850578417545</v>
      </c>
      <c r="G18" s="99" t="n">
        <f aca="false">SGA!G40</f>
        <v>222261444</v>
      </c>
      <c r="H18" s="100" t="n">
        <f aca="false">IF(G18=0,"",G18/G$11)</f>
        <v>0.696006061582815</v>
      </c>
      <c r="I18" s="99" t="n">
        <f aca="false">SGA!I40</f>
        <v>0</v>
      </c>
      <c r="J18" s="100" t="str">
        <f aca="false">IF(I18=0,"",I18/I$11)</f>
        <v/>
      </c>
      <c r="K18" s="99" t="n">
        <f aca="false">SGA!K40</f>
        <v>0</v>
      </c>
      <c r="L18" s="100" t="str">
        <f aca="false">IF(K18=0,"",K18/K$11)</f>
        <v/>
      </c>
    </row>
    <row r="19" customFormat="false" ht="22.5" hidden="false" customHeight="true" outlineLevel="0" collapsed="false">
      <c r="B19" s="92" t="s">
        <v>99</v>
      </c>
      <c r="C19" s="93" t="n">
        <f aca="false">C17- C18</f>
        <v>-4954944</v>
      </c>
      <c r="D19" s="94" t="n">
        <f aca="false">IF(C19=0,"",C19/C$11)</f>
        <v>-0.0129223703287486</v>
      </c>
      <c r="E19" s="93" t="n">
        <f aca="false">E17- E18</f>
        <v>220847494</v>
      </c>
      <c r="F19" s="94" t="n">
        <f aca="false">IF(E19=0,"",E19/E$11)</f>
        <v>0.179429733759709</v>
      </c>
      <c r="G19" s="93" t="n">
        <f aca="false">G17- G18</f>
        <v>870806</v>
      </c>
      <c r="H19" s="94" t="n">
        <f aca="false">IF(G19=0,"",G19/G$11)</f>
        <v>0.00272690685147661</v>
      </c>
      <c r="I19" s="93" t="n">
        <f aca="false">I17- I18</f>
        <v>0</v>
      </c>
      <c r="J19" s="94" t="str">
        <f aca="false">IF(I19=0,"",I19/I$11)</f>
        <v/>
      </c>
      <c r="K19" s="93" t="n">
        <f aca="false">K17- K18</f>
        <v>0</v>
      </c>
      <c r="L19" s="94" t="str">
        <f aca="false">IF(K19=0,"",K19/K$11)</f>
        <v/>
      </c>
    </row>
    <row r="20" customFormat="false" ht="22.5" hidden="false" customHeight="true" outlineLevel="0" collapsed="false">
      <c r="B20" s="96" t="s">
        <v>100</v>
      </c>
      <c r="C20" s="99" t="n">
        <f aca="false">SUM(C21:C27)</f>
        <v>416337</v>
      </c>
      <c r="D20" s="100" t="n">
        <f aca="false">IF(C20=0,"",C20/C$11)</f>
        <v>0.00108579650861043</v>
      </c>
      <c r="E20" s="99" t="n">
        <f aca="false">SUM(E21:E27)</f>
        <v>2887886</v>
      </c>
      <c r="F20" s="100" t="n">
        <f aca="false">IF(E20=0,"",E20/E$11)</f>
        <v>0.00234629158213763</v>
      </c>
      <c r="G20" s="99" t="n">
        <f aca="false">SUM(G21:G27)</f>
        <v>2924950</v>
      </c>
      <c r="H20" s="100" t="n">
        <f aca="false">IF(G20=0,"",G20/G$11)</f>
        <v>0.00915940656727964</v>
      </c>
      <c r="I20" s="99" t="n">
        <f aca="false">SUM(I21:I27)</f>
        <v>0</v>
      </c>
      <c r="J20" s="100" t="str">
        <f aca="false">IF(I20=0,"",I20/I$11)</f>
        <v/>
      </c>
      <c r="K20" s="99" t="n">
        <f aca="false">SUM(K21:K27)</f>
        <v>0</v>
      </c>
      <c r="L20" s="100" t="str">
        <f aca="false">IF(K20=0,"",K20/K$11)</f>
        <v/>
      </c>
    </row>
    <row r="21" customFormat="false" ht="22.5" hidden="false" customHeight="true" outlineLevel="0" collapsed="false">
      <c r="B21" s="101" t="s">
        <v>101</v>
      </c>
      <c r="C21" s="35" t="n">
        <v>1507</v>
      </c>
      <c r="D21" s="88" t="n">
        <f aca="false">IF(C21=0,"",C21/C$11)</f>
        <v>3.9302184011412E-006</v>
      </c>
      <c r="E21" s="35" t="n">
        <v>7617</v>
      </c>
      <c r="F21" s="88" t="n">
        <f aca="false">IF(E21=0,"",E21/E$11)</f>
        <v>6.18850708827922E-006</v>
      </c>
      <c r="G21" s="35" t="n">
        <v>618278</v>
      </c>
      <c r="H21" s="88" t="n">
        <f aca="false">IF(G21=0,"",G21/G$11)</f>
        <v>0.00193612183921247</v>
      </c>
      <c r="I21" s="35"/>
      <c r="J21" s="88" t="str">
        <f aca="false">IF(I21=0,"",I21/I$11)</f>
        <v/>
      </c>
      <c r="K21" s="35"/>
      <c r="L21" s="88" t="str">
        <f aca="false">IF(K21=0,"",K21/K$11)</f>
        <v/>
      </c>
    </row>
    <row r="22" customFormat="false" ht="22.5" hidden="false" customHeight="true" outlineLevel="0" collapsed="false">
      <c r="B22" s="102" t="s">
        <v>102</v>
      </c>
      <c r="C22" s="35" t="n">
        <v>414830</v>
      </c>
      <c r="D22" s="88" t="n">
        <f aca="false">IF(C22=0,"",C22/C$11)</f>
        <v>0.00108186629020929</v>
      </c>
      <c r="E22" s="35" t="n">
        <v>2880269</v>
      </c>
      <c r="F22" s="88" t="n">
        <f aca="false">IF(E22=0,"",E22/E$11)</f>
        <v>0.00234010307504935</v>
      </c>
      <c r="G22" s="35" t="n">
        <v>2306672</v>
      </c>
      <c r="H22" s="88" t="n">
        <f aca="false">IF(G22=0,"",G22/G$11)</f>
        <v>0.00722328472806716</v>
      </c>
      <c r="I22" s="35"/>
      <c r="J22" s="88" t="str">
        <f aca="false">IF(I22=0,"",I22/I$11)</f>
        <v/>
      </c>
      <c r="K22" s="35"/>
      <c r="L22" s="88" t="str">
        <f aca="false">IF(K22=0,"",K22/K$11)</f>
        <v/>
      </c>
    </row>
    <row r="23" customFormat="false" ht="22.5" hidden="false" customHeight="true" outlineLevel="0" collapsed="false">
      <c r="B23" s="102"/>
      <c r="C23" s="35"/>
      <c r="D23" s="88"/>
      <c r="E23" s="35"/>
      <c r="F23" s="88"/>
      <c r="G23" s="35"/>
      <c r="H23" s="88"/>
      <c r="I23" s="35"/>
      <c r="J23" s="88"/>
      <c r="K23" s="35"/>
      <c r="L23" s="88"/>
    </row>
    <row r="24" customFormat="false" ht="22.5" hidden="false" customHeight="true" outlineLevel="0" collapsed="false">
      <c r="B24" s="102"/>
      <c r="C24" s="35"/>
      <c r="D24" s="88"/>
      <c r="E24" s="35"/>
      <c r="F24" s="88"/>
      <c r="G24" s="35"/>
      <c r="H24" s="88"/>
      <c r="I24" s="35"/>
      <c r="J24" s="88"/>
      <c r="K24" s="35"/>
      <c r="L24" s="88"/>
    </row>
    <row r="25" customFormat="false" ht="22.5" hidden="false" customHeight="true" outlineLevel="0" collapsed="false">
      <c r="B25" s="102"/>
      <c r="C25" s="35"/>
      <c r="D25" s="88" t="str">
        <f aca="false">IF(C25=0,"",C25/C$11)</f>
        <v/>
      </c>
      <c r="E25" s="35"/>
      <c r="F25" s="88" t="str">
        <f aca="false">IF(E25=0,"",E25/E$11)</f>
        <v/>
      </c>
      <c r="G25" s="35"/>
      <c r="H25" s="88" t="str">
        <f aca="false">IF(G25=0,"",G25/G$11)</f>
        <v/>
      </c>
      <c r="I25" s="35"/>
      <c r="J25" s="88" t="str">
        <f aca="false">IF(I25=0,"",I25/I$11)</f>
        <v/>
      </c>
      <c r="K25" s="35"/>
      <c r="L25" s="88" t="str">
        <f aca="false">IF(K25=0,"",K25/K$11)</f>
        <v/>
      </c>
    </row>
    <row r="26" customFormat="false" ht="22.5" hidden="false" customHeight="true" outlineLevel="0" collapsed="false">
      <c r="B26" s="102"/>
      <c r="C26" s="35"/>
      <c r="D26" s="88" t="str">
        <f aca="false">IF(C26=0,"",C26/C$11)</f>
        <v/>
      </c>
      <c r="E26" s="35"/>
      <c r="F26" s="88" t="str">
        <f aca="false">IF(E26=0,"",E26/E$11)</f>
        <v/>
      </c>
      <c r="G26" s="35"/>
      <c r="H26" s="88" t="str">
        <f aca="false">IF(G26=0,"",G26/G$11)</f>
        <v/>
      </c>
      <c r="I26" s="35"/>
      <c r="J26" s="88" t="str">
        <f aca="false">IF(I26=0,"",I26/I$11)</f>
        <v/>
      </c>
      <c r="K26" s="35"/>
      <c r="L26" s="88" t="str">
        <f aca="false">IF(K26=0,"",K26/K$11)</f>
        <v/>
      </c>
    </row>
    <row r="27" customFormat="false" ht="22.5" hidden="false" customHeight="true" outlineLevel="0" collapsed="false">
      <c r="B27" s="103"/>
      <c r="C27" s="37"/>
      <c r="D27" s="91" t="str">
        <f aca="false">IF(C27=0,"",C27/C$11)</f>
        <v/>
      </c>
      <c r="E27" s="37"/>
      <c r="F27" s="91" t="str">
        <f aca="false">IF(E27=0,"",E27/E$11)</f>
        <v/>
      </c>
      <c r="G27" s="37"/>
      <c r="H27" s="91" t="str">
        <f aca="false">IF(G27=0,"",G27/G$11)</f>
        <v/>
      </c>
      <c r="I27" s="37"/>
      <c r="J27" s="91" t="str">
        <f aca="false">IF(I27=0,"",I27/I$11)</f>
        <v/>
      </c>
      <c r="K27" s="37"/>
      <c r="L27" s="91" t="str">
        <f aca="false">IF(K27=0,"",K27/K$11)</f>
        <v/>
      </c>
    </row>
    <row r="28" customFormat="false" ht="22.5" hidden="false" customHeight="true" outlineLevel="0" collapsed="false">
      <c r="B28" s="96" t="s">
        <v>103</v>
      </c>
      <c r="C28" s="99" t="n">
        <f aca="false">SUM(C29:C35)</f>
        <v>2751745</v>
      </c>
      <c r="D28" s="100" t="n">
        <f aca="false">IF(C28=0,"",C28/C$11)</f>
        <v>0.00717648230540697</v>
      </c>
      <c r="E28" s="99" t="n">
        <f aca="false">SUM(E29:E35)</f>
        <v>12167614</v>
      </c>
      <c r="F28" s="100" t="n">
        <f aca="false">IF(E28=0,"",E28/E$11)</f>
        <v>0.00988569850156826</v>
      </c>
      <c r="G28" s="99" t="n">
        <f aca="false">SUM(G29:G35)</f>
        <v>3215177</v>
      </c>
      <c r="H28" s="100" t="n">
        <f aca="false">IF(G28=0,"",G28/G$11)</f>
        <v>0.0100682450396644</v>
      </c>
      <c r="I28" s="99" t="n">
        <f aca="false">SUM(I29:I35)</f>
        <v>0</v>
      </c>
      <c r="J28" s="100" t="str">
        <f aca="false">IF(I28=0,"",I28/I$11)</f>
        <v/>
      </c>
      <c r="K28" s="99" t="n">
        <f aca="false">SUM(K29:K35)</f>
        <v>0</v>
      </c>
      <c r="L28" s="100" t="str">
        <f aca="false">IF(K28=0,"",K28/K$11)</f>
        <v/>
      </c>
    </row>
    <row r="29" customFormat="false" ht="22.5" hidden="false" customHeight="true" outlineLevel="0" collapsed="false">
      <c r="B29" s="101" t="s">
        <v>104</v>
      </c>
      <c r="C29" s="35" t="n">
        <v>2647993</v>
      </c>
      <c r="D29" s="88" t="n">
        <f aca="false">IF(C29=0,"",C29/C$11)</f>
        <v>0.00690589967796489</v>
      </c>
      <c r="E29" s="35" t="n">
        <v>3319038</v>
      </c>
      <c r="F29" s="88" t="n">
        <f aca="false">IF(E29=0,"",E29/E$11)</f>
        <v>0.00269658529463937</v>
      </c>
      <c r="G29" s="35" t="n">
        <v>3189615</v>
      </c>
      <c r="H29" s="88" t="n">
        <f aca="false">IF(G29=0,"",G29/G$11)</f>
        <v>0.00998819828649845</v>
      </c>
      <c r="I29" s="35"/>
      <c r="J29" s="88" t="str">
        <f aca="false">IF(I29=0,"",I29/I$11)</f>
        <v/>
      </c>
      <c r="K29" s="35"/>
      <c r="L29" s="88" t="str">
        <f aca="false">IF(K29=0,"",K29/K$11)</f>
        <v/>
      </c>
    </row>
    <row r="30" customFormat="false" ht="22.5" hidden="false" customHeight="true" outlineLevel="0" collapsed="false">
      <c r="B30" s="101" t="s">
        <v>105</v>
      </c>
      <c r="C30" s="35" t="n">
        <v>103752</v>
      </c>
      <c r="D30" s="88"/>
      <c r="E30" s="35" t="n">
        <v>8848576</v>
      </c>
      <c r="F30" s="88"/>
      <c r="G30" s="35" t="n">
        <v>25562</v>
      </c>
      <c r="H30" s="88"/>
      <c r="I30" s="35"/>
      <c r="J30" s="88"/>
      <c r="K30" s="35"/>
      <c r="L30" s="88"/>
    </row>
    <row r="31" customFormat="false" ht="22.5" hidden="false" customHeight="true" outlineLevel="0" collapsed="false">
      <c r="B31" s="102"/>
      <c r="C31" s="35"/>
      <c r="D31" s="88"/>
      <c r="E31" s="35"/>
      <c r="F31" s="88"/>
      <c r="G31" s="35"/>
      <c r="H31" s="88"/>
      <c r="I31" s="35"/>
      <c r="J31" s="88"/>
      <c r="K31" s="35"/>
      <c r="L31" s="88"/>
    </row>
    <row r="32" customFormat="false" ht="22.5" hidden="false" customHeight="true" outlineLevel="0" collapsed="false">
      <c r="B32" s="102"/>
      <c r="C32" s="35"/>
      <c r="D32" s="88" t="str">
        <f aca="false">IF(C32=0,"",C32/C$11)</f>
        <v/>
      </c>
      <c r="E32" s="35"/>
      <c r="F32" s="88" t="str">
        <f aca="false">IF(E32=0,"",E32/E$11)</f>
        <v/>
      </c>
      <c r="G32" s="35"/>
      <c r="H32" s="88" t="str">
        <f aca="false">IF(G32=0,"",G32/G$11)</f>
        <v/>
      </c>
      <c r="I32" s="35"/>
      <c r="J32" s="88" t="str">
        <f aca="false">IF(I32=0,"",I32/I$11)</f>
        <v/>
      </c>
      <c r="K32" s="35"/>
      <c r="L32" s="88" t="str">
        <f aca="false">IF(K32=0,"",K32/K$11)</f>
        <v/>
      </c>
    </row>
    <row r="33" customFormat="false" ht="22.5" hidden="false" customHeight="true" outlineLevel="0" collapsed="false">
      <c r="B33" s="102"/>
      <c r="C33" s="35"/>
      <c r="D33" s="88" t="str">
        <f aca="false">IF(C33=0,"",C33/C$11)</f>
        <v/>
      </c>
      <c r="E33" s="35"/>
      <c r="F33" s="88" t="str">
        <f aca="false">IF(E33=0,"",E33/E$11)</f>
        <v/>
      </c>
      <c r="G33" s="35"/>
      <c r="H33" s="88" t="str">
        <f aca="false">IF(G33=0,"",G33/G$11)</f>
        <v/>
      </c>
      <c r="I33" s="35"/>
      <c r="J33" s="88" t="str">
        <f aca="false">IF(I33=0,"",I33/I$11)</f>
        <v/>
      </c>
      <c r="K33" s="35"/>
      <c r="L33" s="88" t="str">
        <f aca="false">IF(K33=0,"",K33/K$11)</f>
        <v/>
      </c>
    </row>
    <row r="34" customFormat="false" ht="22.5" hidden="false" customHeight="true" outlineLevel="0" collapsed="false">
      <c r="B34" s="102"/>
      <c r="C34" s="35"/>
      <c r="D34" s="88" t="str">
        <f aca="false">IF(C34=0,"",C34/C$11)</f>
        <v/>
      </c>
      <c r="E34" s="35"/>
      <c r="F34" s="88" t="str">
        <f aca="false">IF(E34=0,"",E34/E$11)</f>
        <v/>
      </c>
      <c r="G34" s="35"/>
      <c r="H34" s="88" t="str">
        <f aca="false">IF(G34=0,"",G34/G$11)</f>
        <v/>
      </c>
      <c r="I34" s="35"/>
      <c r="J34" s="88" t="str">
        <f aca="false">IF(I34=0,"",I34/I$11)</f>
        <v/>
      </c>
      <c r="K34" s="35"/>
      <c r="L34" s="88" t="str">
        <f aca="false">IF(K34=0,"",K34/K$11)</f>
        <v/>
      </c>
    </row>
    <row r="35" customFormat="false" ht="22.5" hidden="false" customHeight="true" outlineLevel="0" collapsed="false">
      <c r="B35" s="103"/>
      <c r="C35" s="37"/>
      <c r="D35" s="91" t="str">
        <f aca="false">IF(C35=0,"",C35/C$11)</f>
        <v/>
      </c>
      <c r="E35" s="37"/>
      <c r="F35" s="91" t="str">
        <f aca="false">IF(E35=0,"",E35/E$11)</f>
        <v/>
      </c>
      <c r="G35" s="37"/>
      <c r="H35" s="91" t="str">
        <f aca="false">IF(G35=0,"",G35/G$11)</f>
        <v/>
      </c>
      <c r="I35" s="37"/>
      <c r="J35" s="91" t="str">
        <f aca="false">IF(I35=0,"",I35/I$11)</f>
        <v/>
      </c>
      <c r="K35" s="37"/>
      <c r="L35" s="91" t="str">
        <f aca="false">IF(K35=0,"",K35/K$11)</f>
        <v/>
      </c>
    </row>
    <row r="36" customFormat="false" ht="22.5" hidden="false" customHeight="true" outlineLevel="0" collapsed="false">
      <c r="B36" s="92" t="s">
        <v>106</v>
      </c>
      <c r="C36" s="93" t="n">
        <f aca="false">C19+C20-C28</f>
        <v>-7290352</v>
      </c>
      <c r="D36" s="94" t="n">
        <f aca="false">IF(C36=0,"",C36/C$11)</f>
        <v>-0.0190130561255452</v>
      </c>
      <c r="E36" s="93" t="n">
        <f aca="false">E19+E20-E28</f>
        <v>211567766</v>
      </c>
      <c r="F36" s="94" t="n">
        <f aca="false">IF(E36=0,"",E36/E$11)</f>
        <v>0.171890326840278</v>
      </c>
      <c r="G36" s="93" t="n">
        <f aca="false">G19+G20-G28</f>
        <v>580579</v>
      </c>
      <c r="H36" s="94" t="n">
        <f aca="false">IF(G36=0,"",G36/G$11)</f>
        <v>0.00181806837909183</v>
      </c>
      <c r="I36" s="93" t="n">
        <f aca="false">I19+I20-I28</f>
        <v>0</v>
      </c>
      <c r="J36" s="94" t="str">
        <f aca="false">IF(I36=0,"",I36/I$11)</f>
        <v/>
      </c>
      <c r="K36" s="93" t="n">
        <f aca="false">K19+K20-K28</f>
        <v>0</v>
      </c>
      <c r="L36" s="94" t="str">
        <f aca="false">IF(K36=0,"",K36/K$11)</f>
        <v/>
      </c>
    </row>
    <row r="37" customFormat="false" ht="22.5" hidden="false" customHeight="true" outlineLevel="0" collapsed="false">
      <c r="B37" s="96" t="s">
        <v>107</v>
      </c>
      <c r="C37" s="97" t="n">
        <f aca="false">SUM(C38:C43)</f>
        <v>0</v>
      </c>
      <c r="D37" s="98" t="str">
        <f aca="false">IF(C37=0,"",C37/C$11)</f>
        <v/>
      </c>
      <c r="E37" s="97" t="n">
        <f aca="false">SUM(E38:E43)</f>
        <v>0</v>
      </c>
      <c r="F37" s="98" t="str">
        <f aca="false">IF(E37=0,"",E37/E$11)</f>
        <v/>
      </c>
      <c r="G37" s="97" t="n">
        <f aca="false">SUM(G38:G43)</f>
        <v>0</v>
      </c>
      <c r="H37" s="98" t="str">
        <f aca="false">IF(G37=0,"",G37/G$11)</f>
        <v/>
      </c>
      <c r="I37" s="97" t="n">
        <f aca="false">SUM(I38:I43)</f>
        <v>0</v>
      </c>
      <c r="J37" s="98" t="str">
        <f aca="false">IF(I37=0,"",I37/I$11)</f>
        <v/>
      </c>
      <c r="K37" s="97" t="n">
        <f aca="false">SUM(K38:K43)</f>
        <v>0</v>
      </c>
      <c r="L37" s="98" t="str">
        <f aca="false">IF(K37=0,"",K37/K$11)</f>
        <v/>
      </c>
    </row>
    <row r="38" customFormat="false" ht="22.5" hidden="false" customHeight="true" outlineLevel="0" collapsed="false">
      <c r="B38" s="102" t="s">
        <v>108</v>
      </c>
      <c r="C38" s="35"/>
      <c r="D38" s="88" t="str">
        <f aca="false">IF(C38=0,"",C38/C$11)</f>
        <v/>
      </c>
      <c r="E38" s="35"/>
      <c r="F38" s="88" t="str">
        <f aca="false">IF(E38=0,"",E38/E$11)</f>
        <v/>
      </c>
      <c r="G38" s="35"/>
      <c r="H38" s="88" t="str">
        <f aca="false">IF(G38=0,"",G38/G$11)</f>
        <v/>
      </c>
      <c r="I38" s="35"/>
      <c r="J38" s="88" t="str">
        <f aca="false">IF(I38=0,"",I38/I$11)</f>
        <v/>
      </c>
      <c r="K38" s="35"/>
      <c r="L38" s="88" t="str">
        <f aca="false">IF(K38=0,"",K38/K$11)</f>
        <v/>
      </c>
    </row>
    <row r="39" customFormat="false" ht="22.5" hidden="false" customHeight="true" outlineLevel="0" collapsed="false">
      <c r="B39" s="102" t="s">
        <v>109</v>
      </c>
      <c r="C39" s="35"/>
      <c r="D39" s="88" t="str">
        <f aca="false">IF(C39=0,"",C39/C$11)</f>
        <v/>
      </c>
      <c r="E39" s="35"/>
      <c r="F39" s="88" t="str">
        <f aca="false">IF(E39=0,"",E39/E$11)</f>
        <v/>
      </c>
      <c r="G39" s="35"/>
      <c r="H39" s="88" t="str">
        <f aca="false">IF(G39=0,"",G39/G$11)</f>
        <v/>
      </c>
      <c r="I39" s="35"/>
      <c r="J39" s="88" t="str">
        <f aca="false">IF(I39=0,"",I39/I$11)</f>
        <v/>
      </c>
      <c r="K39" s="35"/>
      <c r="L39" s="88" t="str">
        <f aca="false">IF(K39=0,"",K39/K$11)</f>
        <v/>
      </c>
    </row>
    <row r="40" customFormat="false" ht="22.5" hidden="false" customHeight="true" outlineLevel="0" collapsed="false">
      <c r="B40" s="102"/>
      <c r="C40" s="35"/>
      <c r="D40" s="88"/>
      <c r="E40" s="35"/>
      <c r="F40" s="88"/>
      <c r="G40" s="35"/>
      <c r="H40" s="88"/>
      <c r="I40" s="35"/>
      <c r="J40" s="88"/>
      <c r="K40" s="35"/>
      <c r="L40" s="88"/>
    </row>
    <row r="41" customFormat="false" ht="22.5" hidden="false" customHeight="true" outlineLevel="0" collapsed="false">
      <c r="B41" s="102"/>
      <c r="C41" s="35"/>
      <c r="D41" s="88"/>
      <c r="E41" s="35"/>
      <c r="F41" s="88"/>
      <c r="G41" s="35"/>
      <c r="H41" s="88"/>
      <c r="I41" s="35"/>
      <c r="J41" s="88"/>
      <c r="K41" s="35"/>
      <c r="L41" s="88"/>
    </row>
    <row r="42" customFormat="false" ht="22.5" hidden="false" customHeight="true" outlineLevel="0" collapsed="false">
      <c r="B42" s="102"/>
      <c r="C42" s="35"/>
      <c r="D42" s="88" t="str">
        <f aca="false">IF(C42=0,"",C42/C$11)</f>
        <v/>
      </c>
      <c r="E42" s="35"/>
      <c r="F42" s="88" t="str">
        <f aca="false">IF(E42=0,"",E42/E$11)</f>
        <v/>
      </c>
      <c r="G42" s="35"/>
      <c r="H42" s="88" t="str">
        <f aca="false">IF(G42=0,"",G42/G$11)</f>
        <v/>
      </c>
      <c r="I42" s="35"/>
      <c r="J42" s="88" t="str">
        <f aca="false">IF(I42=0,"",I42/I$11)</f>
        <v/>
      </c>
      <c r="K42" s="35"/>
      <c r="L42" s="88" t="str">
        <f aca="false">IF(K42=0,"",K42/K$11)</f>
        <v/>
      </c>
    </row>
    <row r="43" customFormat="false" ht="22.5" hidden="false" customHeight="true" outlineLevel="0" collapsed="false">
      <c r="B43" s="103"/>
      <c r="C43" s="37"/>
      <c r="D43" s="91" t="str">
        <f aca="false">IF(C43=0,"",C43/C$11)</f>
        <v/>
      </c>
      <c r="E43" s="37"/>
      <c r="F43" s="91" t="str">
        <f aca="false">IF(E43=0,"",E43/E$11)</f>
        <v/>
      </c>
      <c r="G43" s="37"/>
      <c r="H43" s="91" t="str">
        <f aca="false">IF(G43=0,"",G43/G$11)</f>
        <v/>
      </c>
      <c r="I43" s="37"/>
      <c r="J43" s="91" t="str">
        <f aca="false">IF(I43=0,"",I43/I$11)</f>
        <v/>
      </c>
      <c r="K43" s="37"/>
      <c r="L43" s="91" t="str">
        <f aca="false">IF(K43=0,"",K43/K$11)</f>
        <v/>
      </c>
    </row>
    <row r="44" customFormat="false" ht="22.5" hidden="false" customHeight="true" outlineLevel="0" collapsed="false">
      <c r="B44" s="96" t="s">
        <v>110</v>
      </c>
      <c r="C44" s="97" t="n">
        <f aca="false">SUM(C45:C50)</f>
        <v>0</v>
      </c>
      <c r="D44" s="100" t="str">
        <f aca="false">IF(C44=0,"",C44/C$11)</f>
        <v/>
      </c>
      <c r="E44" s="97" t="n">
        <f aca="false">SUM(E45:E50)</f>
        <v>81258050</v>
      </c>
      <c r="F44" s="100" t="n">
        <f aca="false">IF(E44=0,"",E44/E$11)</f>
        <v>0.0660189074970129</v>
      </c>
      <c r="G44" s="97" t="n">
        <f aca="false">SUM(G45:G50)</f>
        <v>0</v>
      </c>
      <c r="H44" s="100" t="str">
        <f aca="false">IF(G44=0,"",G44/G$11)</f>
        <v/>
      </c>
      <c r="I44" s="97" t="n">
        <f aca="false">SUM(I45:I50)</f>
        <v>0</v>
      </c>
      <c r="J44" s="100" t="str">
        <f aca="false">IF(I44=0,"",I44/I$11)</f>
        <v/>
      </c>
      <c r="K44" s="97" t="n">
        <f aca="false">SUM(K45:K50)</f>
        <v>0</v>
      </c>
      <c r="L44" s="100" t="str">
        <f aca="false">IF(K44=0,"",K44/K$11)</f>
        <v/>
      </c>
    </row>
    <row r="45" customFormat="false" ht="22.5" hidden="false" customHeight="true" outlineLevel="0" collapsed="false">
      <c r="B45" s="101" t="s">
        <v>111</v>
      </c>
      <c r="C45" s="35" t="n">
        <v>0</v>
      </c>
      <c r="D45" s="88" t="str">
        <f aca="false">IF(C45=0,"",C45/C$11)</f>
        <v/>
      </c>
      <c r="E45" s="35" t="n">
        <v>81258050</v>
      </c>
      <c r="F45" s="88" t="n">
        <f aca="false">IF(E45=0,"",E45/E$11)</f>
        <v>0.0660189074970129</v>
      </c>
      <c r="G45" s="35" t="n">
        <v>0</v>
      </c>
      <c r="H45" s="88" t="str">
        <f aca="false">IF(G45=0,"",G45/G$11)</f>
        <v/>
      </c>
      <c r="I45" s="35"/>
      <c r="J45" s="88" t="str">
        <f aca="false">IF(I45=0,"",I45/I$11)</f>
        <v/>
      </c>
      <c r="K45" s="35"/>
      <c r="L45" s="88" t="str">
        <f aca="false">IF(K45=0,"",K45/K$11)</f>
        <v/>
      </c>
    </row>
    <row r="46" customFormat="false" ht="22.5" hidden="false" customHeight="true" outlineLevel="0" collapsed="false">
      <c r="B46" s="102" t="s">
        <v>112</v>
      </c>
      <c r="C46" s="35"/>
      <c r="D46" s="88" t="str">
        <f aca="false">IF(C46=0,"",C46/C$11)</f>
        <v/>
      </c>
      <c r="E46" s="35"/>
      <c r="F46" s="88" t="str">
        <f aca="false">IF(E46=0,"",E46/E$11)</f>
        <v/>
      </c>
      <c r="G46" s="35"/>
      <c r="H46" s="88" t="str">
        <f aca="false">IF(G46=0,"",G46/G$11)</f>
        <v/>
      </c>
      <c r="I46" s="35"/>
      <c r="J46" s="88" t="str">
        <f aca="false">IF(I46=0,"",I46/I$11)</f>
        <v/>
      </c>
      <c r="K46" s="35"/>
      <c r="L46" s="88" t="str">
        <f aca="false">IF(K46=0,"",K46/K$11)</f>
        <v/>
      </c>
    </row>
    <row r="47" customFormat="false" ht="22.5" hidden="false" customHeight="true" outlineLevel="0" collapsed="false">
      <c r="B47" s="102"/>
      <c r="C47" s="35"/>
      <c r="D47" s="88"/>
      <c r="E47" s="35"/>
      <c r="F47" s="88"/>
      <c r="G47" s="35"/>
      <c r="H47" s="88"/>
      <c r="I47" s="35"/>
      <c r="J47" s="88"/>
      <c r="K47" s="35"/>
      <c r="L47" s="88"/>
    </row>
    <row r="48" customFormat="false" ht="22.5" hidden="false" customHeight="true" outlineLevel="0" collapsed="false">
      <c r="B48" s="102"/>
      <c r="C48" s="35"/>
      <c r="D48" s="88"/>
      <c r="E48" s="35"/>
      <c r="F48" s="88"/>
      <c r="G48" s="35"/>
      <c r="H48" s="88"/>
      <c r="I48" s="35"/>
      <c r="J48" s="88"/>
      <c r="K48" s="35"/>
      <c r="L48" s="88"/>
    </row>
    <row r="49" customFormat="false" ht="22.5" hidden="false" customHeight="true" outlineLevel="0" collapsed="false">
      <c r="B49" s="102"/>
      <c r="C49" s="35"/>
      <c r="D49" s="88" t="str">
        <f aca="false">IF(C49=0,"",C49/C$11)</f>
        <v/>
      </c>
      <c r="E49" s="35"/>
      <c r="F49" s="88" t="str">
        <f aca="false">IF(E49=0,"",E49/E$11)</f>
        <v/>
      </c>
      <c r="G49" s="35"/>
      <c r="H49" s="88" t="str">
        <f aca="false">IF(G49=0,"",G49/G$11)</f>
        <v/>
      </c>
      <c r="I49" s="35"/>
      <c r="J49" s="88" t="str">
        <f aca="false">IF(I49=0,"",I49/I$11)</f>
        <v/>
      </c>
      <c r="K49" s="35"/>
      <c r="L49" s="88" t="str">
        <f aca="false">IF(K49=0,"",K49/K$11)</f>
        <v/>
      </c>
    </row>
    <row r="50" customFormat="false" ht="22.5" hidden="false" customHeight="true" outlineLevel="0" collapsed="false">
      <c r="B50" s="103"/>
      <c r="C50" s="37"/>
      <c r="D50" s="91" t="str">
        <f aca="false">IF(C50=0,"",C50/C$11)</f>
        <v/>
      </c>
      <c r="E50" s="37"/>
      <c r="F50" s="91" t="str">
        <f aca="false">IF(E50=0,"",E50/E$11)</f>
        <v/>
      </c>
      <c r="G50" s="37"/>
      <c r="H50" s="91" t="str">
        <f aca="false">IF(G50=0,"",G50/G$11)</f>
        <v/>
      </c>
      <c r="I50" s="37"/>
      <c r="J50" s="91" t="str">
        <f aca="false">IF(I50=0,"",I50/I$11)</f>
        <v/>
      </c>
      <c r="K50" s="37"/>
      <c r="L50" s="91" t="str">
        <f aca="false">IF(K50=0,"",K50/K$11)</f>
        <v/>
      </c>
    </row>
    <row r="51" customFormat="false" ht="22.5" hidden="false" customHeight="true" outlineLevel="0" collapsed="false">
      <c r="B51" s="92" t="s">
        <v>113</v>
      </c>
      <c r="C51" s="93" t="n">
        <f aca="false">C36+C37-C44</f>
        <v>-7290352</v>
      </c>
      <c r="D51" s="94" t="n">
        <f aca="false">IF(C51=0,"",C51/C$11)</f>
        <v>-0.0190130561255452</v>
      </c>
      <c r="E51" s="93" t="n">
        <f aca="false">E36+E37-E44</f>
        <v>130309716</v>
      </c>
      <c r="F51" s="94" t="n">
        <f aca="false">IF(E51=0,"",E51/E$11)</f>
        <v>0.105871419343265</v>
      </c>
      <c r="G51" s="93" t="n">
        <f aca="false">G36+G37-G44</f>
        <v>580579</v>
      </c>
      <c r="H51" s="94" t="n">
        <f aca="false">IF(G51=0,"",G51/G$11)</f>
        <v>0.00181806837909183</v>
      </c>
      <c r="I51" s="93" t="n">
        <f aca="false">I36+I37-I44</f>
        <v>0</v>
      </c>
      <c r="J51" s="94" t="str">
        <f aca="false">IF(I51=0,"",I51/I$11)</f>
        <v/>
      </c>
      <c r="K51" s="93" t="n">
        <f aca="false">K36+K37-K44</f>
        <v>0</v>
      </c>
      <c r="L51" s="94" t="str">
        <f aca="false">IF(K51=0,"",K51/K$11)</f>
        <v/>
      </c>
    </row>
    <row r="52" customFormat="false" ht="22.5" hidden="false" customHeight="true" outlineLevel="0" collapsed="false">
      <c r="B52" s="96" t="s">
        <v>114</v>
      </c>
      <c r="C52" s="97" t="n">
        <f aca="false">SUM(C53:C55)</f>
        <v>194727</v>
      </c>
      <c r="D52" s="98" t="n">
        <f aca="false">IF(C52=0,"",C52/C$11)</f>
        <v>0.000507843157663585</v>
      </c>
      <c r="E52" s="97" t="n">
        <f aca="false">SUM(E53:E55)</f>
        <v>21953358</v>
      </c>
      <c r="F52" s="98" t="n">
        <f aca="false">IF(E52=0,"",E52/E$11)</f>
        <v>0.0178362231317489</v>
      </c>
      <c r="G52" s="97" t="n">
        <f aca="false">SUM(G53:G55)</f>
        <v>48664083</v>
      </c>
      <c r="H52" s="98" t="n">
        <f aca="false">IF(G52=0,"",G52/G$11)</f>
        <v>0.152390338782147</v>
      </c>
      <c r="I52" s="97" t="n">
        <f aca="false">SUM(I53:I55)</f>
        <v>0</v>
      </c>
      <c r="J52" s="98" t="str">
        <f aca="false">IF(I52=0,"",I52/I$11)</f>
        <v/>
      </c>
      <c r="K52" s="97" t="n">
        <f aca="false">SUM(K53:K55)</f>
        <v>0</v>
      </c>
      <c r="L52" s="98" t="str">
        <f aca="false">IF(K52=0,"",K52/K$11)</f>
        <v/>
      </c>
    </row>
    <row r="53" customFormat="false" ht="22.5" hidden="false" customHeight="true" outlineLevel="0" collapsed="false">
      <c r="B53" s="102" t="s">
        <v>115</v>
      </c>
      <c r="C53" s="35" t="n">
        <v>194727</v>
      </c>
      <c r="D53" s="88" t="n">
        <f aca="false">IF(C53=0,"",C53/C$11)</f>
        <v>0.000507843157663585</v>
      </c>
      <c r="E53" s="35" t="n">
        <v>21953358</v>
      </c>
      <c r="F53" s="88" t="n">
        <f aca="false">IF(E53=0,"",E53/E$11)</f>
        <v>0.0178362231317489</v>
      </c>
      <c r="G53" s="35" t="n">
        <v>289183</v>
      </c>
      <c r="H53" s="88" t="n">
        <f aca="false">IF(G53=0,"",G53/G$11)</f>
        <v>0.000905569212925222</v>
      </c>
      <c r="I53" s="35"/>
      <c r="J53" s="88" t="str">
        <f aca="false">IF(I53=0,"",I53/I$11)</f>
        <v/>
      </c>
      <c r="K53" s="35"/>
      <c r="L53" s="88" t="str">
        <f aca="false">IF(K53=0,"",K53/K$11)</f>
        <v/>
      </c>
    </row>
    <row r="54" customFormat="false" ht="22.5" hidden="false" customHeight="true" outlineLevel="0" collapsed="false">
      <c r="B54" s="102" t="s">
        <v>116</v>
      </c>
      <c r="C54" s="35" t="n">
        <v>0</v>
      </c>
      <c r="D54" s="88"/>
      <c r="E54" s="35" t="n">
        <v>0</v>
      </c>
      <c r="F54" s="88"/>
      <c r="G54" s="35" t="n">
        <v>48374900</v>
      </c>
      <c r="H54" s="88"/>
      <c r="I54" s="35"/>
      <c r="J54" s="88"/>
      <c r="K54" s="35"/>
      <c r="L54" s="88"/>
    </row>
    <row r="55" customFormat="false" ht="22.5" hidden="false" customHeight="true" outlineLevel="0" collapsed="false">
      <c r="B55" s="104"/>
      <c r="C55" s="37"/>
      <c r="D55" s="91" t="str">
        <f aca="false">IF(C55=0,"",C55/C$11)</f>
        <v/>
      </c>
      <c r="E55" s="37"/>
      <c r="F55" s="91" t="str">
        <f aca="false">IF(E55=0,"",E55/E$11)</f>
        <v/>
      </c>
      <c r="G55" s="37"/>
      <c r="H55" s="91" t="str">
        <f aca="false">IF(G55=0,"",G55/G$11)</f>
        <v/>
      </c>
      <c r="I55" s="37"/>
      <c r="J55" s="91" t="str">
        <f aca="false">IF(I55=0,"",I55/I$11)</f>
        <v/>
      </c>
      <c r="K55" s="37"/>
      <c r="L55" s="91" t="str">
        <f aca="false">IF(K55=0,"",K55/K$11)</f>
        <v/>
      </c>
    </row>
    <row r="56" customFormat="false" ht="22.5" hidden="false" customHeight="true" outlineLevel="0" collapsed="false">
      <c r="B56" s="92" t="s">
        <v>117</v>
      </c>
      <c r="C56" s="93" t="n">
        <f aca="false">C51-C52</f>
        <v>-7485079</v>
      </c>
      <c r="D56" s="94" t="n">
        <f aca="false">IF(C56=0,"",C56/C$11)</f>
        <v>-0.0195208992832088</v>
      </c>
      <c r="E56" s="93" t="n">
        <f aca="false">E51-E52</f>
        <v>108356358</v>
      </c>
      <c r="F56" s="94" t="n">
        <f aca="false">IF(E56=0,"",E56/E$11)</f>
        <v>0.0880351962115164</v>
      </c>
      <c r="G56" s="93" t="n">
        <f aca="false">G51-G52</f>
        <v>-48083504</v>
      </c>
      <c r="H56" s="94" t="n">
        <f aca="false">IF(G56=0,"",G56/G$11)</f>
        <v>-0.150572270403055</v>
      </c>
      <c r="I56" s="93" t="n">
        <f aca="false">I51-I52</f>
        <v>0</v>
      </c>
      <c r="J56" s="94" t="str">
        <f aca="false">IF(I56=0,"",I56/I$11)</f>
        <v/>
      </c>
      <c r="K56" s="93" t="n">
        <f aca="false">K51-K52</f>
        <v>0</v>
      </c>
      <c r="L56" s="94" t="str">
        <f aca="false">IF(K56=0,"",K56/K$11)</f>
        <v/>
      </c>
    </row>
    <row r="57" customFormat="false" ht="18" hidden="false" customHeight="false" outlineLevel="0" collapsed="false">
      <c r="C57" s="43"/>
      <c r="D57" s="105"/>
      <c r="E57" s="43"/>
      <c r="F57" s="105"/>
      <c r="G57" s="43"/>
      <c r="H57" s="106"/>
      <c r="I57" s="76"/>
      <c r="J57" s="105"/>
      <c r="K57" s="43"/>
      <c r="L57" s="105"/>
    </row>
    <row r="58" customFormat="false" ht="18" hidden="false" customHeight="false" outlineLevel="0" collapsed="false">
      <c r="C58" s="43"/>
      <c r="D58" s="105"/>
      <c r="E58" s="43"/>
      <c r="F58" s="105"/>
      <c r="G58" s="43"/>
      <c r="H58" s="106"/>
      <c r="I58" s="76"/>
      <c r="J58" s="105"/>
      <c r="K58" s="43"/>
      <c r="L58" s="105"/>
    </row>
    <row r="59" customFormat="false" ht="18" hidden="false" customHeight="false" outlineLevel="0" collapsed="false">
      <c r="C59" s="43"/>
      <c r="D59" s="105"/>
      <c r="E59" s="43"/>
      <c r="F59" s="105"/>
      <c r="G59" s="43"/>
      <c r="H59" s="106"/>
      <c r="I59" s="76"/>
      <c r="J59" s="105"/>
      <c r="K59" s="43"/>
      <c r="L59" s="105"/>
    </row>
    <row r="60" customFormat="false" ht="18" hidden="false" customHeight="false" outlineLevel="0" collapsed="false">
      <c r="C60" s="43"/>
      <c r="D60" s="105"/>
      <c r="E60" s="43"/>
      <c r="F60" s="105"/>
      <c r="G60" s="43"/>
      <c r="H60" s="106"/>
      <c r="I60" s="76"/>
      <c r="J60" s="105"/>
      <c r="K60" s="43"/>
      <c r="L60" s="105"/>
    </row>
    <row r="61" customFormat="false" ht="18" hidden="false" customHeight="false" outlineLevel="0" collapsed="false">
      <c r="C61" s="43"/>
      <c r="D61" s="105"/>
      <c r="E61" s="43"/>
      <c r="F61" s="105"/>
      <c r="G61" s="43"/>
      <c r="H61" s="106"/>
      <c r="I61" s="76"/>
      <c r="J61" s="105"/>
      <c r="K61" s="43"/>
      <c r="L61" s="105"/>
    </row>
    <row r="62" customFormat="false" ht="18" hidden="false" customHeight="false" outlineLevel="0" collapsed="false">
      <c r="C62" s="43"/>
      <c r="D62" s="105"/>
      <c r="E62" s="43"/>
      <c r="F62" s="105"/>
      <c r="G62" s="43"/>
      <c r="H62" s="106"/>
      <c r="I62" s="76"/>
      <c r="J62" s="105"/>
      <c r="K62" s="43"/>
      <c r="L62" s="105"/>
    </row>
    <row r="63" customFormat="false" ht="18" hidden="false" customHeight="false" outlineLevel="0" collapsed="false">
      <c r="C63" s="43"/>
      <c r="D63" s="105"/>
      <c r="E63" s="43"/>
      <c r="F63" s="43"/>
      <c r="G63" s="43"/>
      <c r="H63" s="106"/>
      <c r="I63" s="76"/>
      <c r="J63" s="105"/>
      <c r="K63" s="43"/>
      <c r="L63" s="105"/>
    </row>
    <row r="64" customFormat="false" ht="18" hidden="false" customHeight="false" outlineLevel="0" collapsed="false">
      <c r="C64" s="43"/>
      <c r="D64" s="105"/>
      <c r="E64" s="43"/>
      <c r="F64" s="43"/>
      <c r="G64" s="43"/>
      <c r="H64" s="106"/>
      <c r="I64" s="76"/>
      <c r="J64" s="105"/>
      <c r="K64" s="43"/>
      <c r="L64" s="105"/>
    </row>
    <row r="65" customFormat="false" ht="18" hidden="false" customHeight="false" outlineLevel="0" collapsed="false">
      <c r="C65" s="43"/>
      <c r="D65" s="105"/>
      <c r="E65" s="43"/>
      <c r="F65" s="43"/>
      <c r="G65" s="43"/>
      <c r="H65" s="106"/>
      <c r="I65" s="76"/>
      <c r="J65" s="105"/>
      <c r="K65" s="43"/>
      <c r="L65" s="43"/>
    </row>
    <row r="66" customFormat="false" ht="18" hidden="false" customHeight="false" outlineLevel="0" collapsed="false">
      <c r="C66" s="43"/>
      <c r="D66" s="105"/>
      <c r="E66" s="43"/>
      <c r="F66" s="43"/>
      <c r="G66" s="43"/>
      <c r="H66" s="106"/>
      <c r="I66" s="76"/>
      <c r="J66" s="105"/>
      <c r="K66" s="43"/>
      <c r="L66" s="43"/>
    </row>
    <row r="67" customFormat="false" ht="18" hidden="false" customHeight="false" outlineLevel="0" collapsed="false">
      <c r="C67" s="43"/>
      <c r="D67" s="43"/>
      <c r="E67" s="43"/>
      <c r="F67" s="43"/>
      <c r="G67" s="43"/>
      <c r="H67" s="106"/>
      <c r="I67" s="76"/>
      <c r="J67" s="105"/>
      <c r="K67" s="43"/>
      <c r="L67" s="43"/>
    </row>
    <row r="68" customFormat="false" ht="18" hidden="false" customHeight="false" outlineLevel="0" collapsed="false">
      <c r="C68" s="43"/>
      <c r="D68" s="43"/>
      <c r="E68" s="43"/>
      <c r="F68" s="43"/>
      <c r="G68" s="43"/>
      <c r="H68" s="106"/>
      <c r="I68" s="76"/>
      <c r="J68" s="105"/>
      <c r="K68" s="43"/>
      <c r="L68" s="43"/>
    </row>
    <row r="69" customFormat="false" ht="18" hidden="false" customHeight="false" outlineLevel="0" collapsed="false">
      <c r="C69" s="43"/>
      <c r="D69" s="43"/>
      <c r="E69" s="43"/>
      <c r="F69" s="43"/>
      <c r="G69" s="43"/>
      <c r="H69" s="106"/>
      <c r="I69" s="76"/>
      <c r="J69" s="105"/>
      <c r="K69" s="43"/>
      <c r="L69" s="43"/>
    </row>
    <row r="70" customFormat="false" ht="18" hidden="false" customHeight="false" outlineLevel="0" collapsed="false">
      <c r="C70" s="43"/>
      <c r="D70" s="43"/>
      <c r="E70" s="43"/>
      <c r="F70" s="43"/>
      <c r="G70" s="43"/>
      <c r="H70" s="106"/>
      <c r="I70" s="76"/>
      <c r="J70" s="105"/>
      <c r="K70" s="43"/>
      <c r="L70" s="43"/>
    </row>
    <row r="71" customFormat="false" ht="18" hidden="false" customHeight="false" outlineLevel="0" collapsed="false">
      <c r="C71" s="43"/>
      <c r="D71" s="43"/>
      <c r="E71" s="43"/>
      <c r="F71" s="43"/>
      <c r="G71" s="43"/>
      <c r="H71" s="76"/>
      <c r="I71" s="76"/>
      <c r="J71" s="105"/>
      <c r="K71" s="43"/>
      <c r="L71" s="43"/>
    </row>
    <row r="72" customFormat="false" ht="18" hidden="false" customHeight="false" outlineLevel="0" collapsed="false">
      <c r="C72" s="43"/>
      <c r="D72" s="43"/>
      <c r="E72" s="43"/>
      <c r="F72" s="43"/>
      <c r="G72" s="43"/>
      <c r="H72" s="76"/>
      <c r="I72" s="76"/>
      <c r="J72" s="105"/>
      <c r="K72" s="43"/>
      <c r="L72" s="43"/>
    </row>
    <row r="73" customFormat="false" ht="18" hidden="false" customHeight="false" outlineLevel="0" collapsed="false">
      <c r="C73" s="43"/>
      <c r="D73" s="43"/>
      <c r="E73" s="43"/>
      <c r="F73" s="43"/>
      <c r="G73" s="43"/>
      <c r="H73" s="76"/>
      <c r="I73" s="76"/>
      <c r="J73" s="105"/>
      <c r="K73" s="43"/>
      <c r="L73" s="43"/>
    </row>
    <row r="74" customFormat="false" ht="18" hidden="false" customHeight="false" outlineLevel="0" collapsed="false">
      <c r="C74" s="43"/>
      <c r="D74" s="43"/>
      <c r="E74" s="43"/>
      <c r="F74" s="43"/>
      <c r="G74" s="43"/>
      <c r="H74" s="76"/>
      <c r="I74" s="76"/>
      <c r="J74" s="105"/>
      <c r="K74" s="43"/>
      <c r="L74" s="43"/>
    </row>
    <row r="75" customFormat="false" ht="18" hidden="false" customHeight="false" outlineLevel="0" collapsed="false">
      <c r="C75" s="43"/>
      <c r="D75" s="43"/>
      <c r="E75" s="43"/>
      <c r="F75" s="43"/>
      <c r="G75" s="43"/>
      <c r="H75" s="76"/>
      <c r="I75" s="76"/>
      <c r="J75" s="105"/>
      <c r="K75" s="43"/>
      <c r="L75" s="43"/>
    </row>
    <row r="76" customFormat="false" ht="18" hidden="false" customHeight="false" outlineLevel="0" collapsed="false">
      <c r="C76" s="43"/>
      <c r="D76" s="43"/>
      <c r="E76" s="43"/>
      <c r="F76" s="43"/>
      <c r="G76" s="43"/>
      <c r="H76" s="76"/>
      <c r="I76" s="76"/>
      <c r="J76" s="43"/>
      <c r="K76" s="43"/>
      <c r="L76" s="43"/>
    </row>
    <row r="77" customFormat="false" ht="18" hidden="false" customHeight="false" outlineLevel="0" collapsed="false">
      <c r="C77" s="43"/>
      <c r="D77" s="43"/>
      <c r="E77" s="43"/>
      <c r="F77" s="43"/>
      <c r="G77" s="43"/>
      <c r="H77" s="76"/>
      <c r="I77" s="76"/>
      <c r="J77" s="43"/>
      <c r="K77" s="43"/>
      <c r="L77"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4:L62"/>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pane xSplit="0" ySplit="5" topLeftCell="A7" activePane="bottomLeft" state="frozen"/>
      <selection pane="topLeft" activeCell="A2" activeCellId="0" sqref="A2"/>
      <selection pane="bottomLeft" activeCell="E11" activeCellId="0" sqref="E1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05" width="15"/>
    <col collapsed="false" customWidth="true" hidden="false" outlineLevel="0" max="5" min="5" style="20" width="15"/>
    <col collapsed="false" customWidth="true" hidden="false" outlineLevel="0" max="6" min="6" style="105" width="15"/>
    <col collapsed="false" customWidth="true" hidden="false" outlineLevel="0" max="7" min="7" style="20" width="15"/>
    <col collapsed="false" customWidth="true" hidden="false" outlineLevel="0" max="8" min="8" style="106" width="15"/>
    <col collapsed="false" customWidth="true" hidden="false" outlineLevel="0" max="9" min="9" style="46" width="15"/>
    <col collapsed="false" customWidth="true" hidden="false" outlineLevel="0" max="10" min="10" style="105" width="15"/>
    <col collapsed="false" customWidth="true" hidden="false" outlineLevel="0" max="11" min="11" style="20" width="15"/>
    <col collapsed="false" customWidth="true" hidden="false" outlineLevel="0" max="12" min="12" style="105" width="15"/>
    <col collapsed="false" customWidth="true" hidden="false" outlineLevel="0" max="13" min="13" style="20" width="16.1"/>
    <col collapsed="false" customWidth="true" hidden="false" outlineLevel="0" max="14" min="14" style="20" width="8.8"/>
  </cols>
  <sheetData>
    <row r="4" customFormat="false" ht="18" hidden="false" customHeight="false" outlineLevel="0" collapsed="false">
      <c r="B4" s="2"/>
      <c r="C4" s="46"/>
      <c r="D4" s="107"/>
      <c r="G4" s="46"/>
      <c r="H4" s="47" t="s">
        <v>59</v>
      </c>
      <c r="I4" s="2"/>
      <c r="K4" s="46"/>
      <c r="L4" s="107"/>
    </row>
    <row r="5" customFormat="false" ht="19.5" hidden="false" customHeight="true" outlineLevel="0" collapsed="false">
      <c r="B5" s="108" t="s">
        <v>6</v>
      </c>
      <c r="C5" s="9" t="str">
        <f aca="false">'BS(借方)'!C4</f>
        <v>令和6年3月期</v>
      </c>
      <c r="D5" s="9"/>
      <c r="E5" s="79" t="str">
        <f aca="false">'BS(借方)'!D4</f>
        <v>令和7年3月期</v>
      </c>
      <c r="F5" s="79"/>
      <c r="G5" s="25" t="str">
        <f aca="false">'BS(借方)'!E4</f>
        <v>令和8年3月期</v>
      </c>
      <c r="H5" s="25"/>
      <c r="I5" s="80" t="str">
        <f aca="false">'BS(借方)'!F4</f>
        <v>－</v>
      </c>
      <c r="J5" s="80"/>
      <c r="K5" s="81" t="str">
        <f aca="false">'BS(借方)'!G4</f>
        <v>進行期
（試算表未受領）</v>
      </c>
      <c r="L5" s="81"/>
    </row>
    <row r="6" customFormat="false" ht="19.5" hidden="false" customHeight="true" outlineLevel="0" collapsed="false">
      <c r="B6" s="108"/>
      <c r="C6" s="109" t="s">
        <v>85</v>
      </c>
      <c r="D6" s="110" t="s">
        <v>86</v>
      </c>
      <c r="E6" s="109" t="s">
        <v>85</v>
      </c>
      <c r="F6" s="111" t="s">
        <v>86</v>
      </c>
      <c r="G6" s="109" t="s">
        <v>85</v>
      </c>
      <c r="H6" s="110" t="s">
        <v>86</v>
      </c>
      <c r="I6" s="109" t="s">
        <v>85</v>
      </c>
      <c r="J6" s="110" t="s">
        <v>86</v>
      </c>
      <c r="K6" s="112" t="s">
        <v>85</v>
      </c>
      <c r="L6" s="113" t="s">
        <v>86</v>
      </c>
    </row>
    <row r="7" customFormat="false" ht="22.5" hidden="false" customHeight="true" outlineLevel="0" collapsed="false">
      <c r="A7" s="114" t="s">
        <v>118</v>
      </c>
      <c r="B7" s="115" t="s">
        <v>119</v>
      </c>
      <c r="C7" s="116" t="n">
        <f aca="false">PL!C11</f>
        <v>383439251</v>
      </c>
      <c r="D7" s="117" t="s">
        <v>120</v>
      </c>
      <c r="E7" s="118" t="n">
        <f aca="false">PL!E11</f>
        <v>1230829971</v>
      </c>
      <c r="F7" s="117" t="s">
        <v>120</v>
      </c>
      <c r="G7" s="118" t="n">
        <f aca="false">PL!G11</f>
        <v>319338374</v>
      </c>
      <c r="H7" s="117" t="s">
        <v>120</v>
      </c>
      <c r="I7" s="118" t="n">
        <f aca="false">PL!I11</f>
        <v>0</v>
      </c>
      <c r="J7" s="117" t="s">
        <v>120</v>
      </c>
      <c r="K7" s="118" t="n">
        <f aca="false">PL!K11</f>
        <v>0</v>
      </c>
      <c r="L7" s="117" t="s">
        <v>120</v>
      </c>
    </row>
    <row r="8" customFormat="false" ht="22.5" hidden="false" customHeight="true" outlineLevel="0" collapsed="false">
      <c r="B8" s="119" t="s">
        <v>121</v>
      </c>
      <c r="C8" s="60"/>
      <c r="D8" s="88" t="str">
        <f aca="false">IF(C8=0,"",C8/C$7)</f>
        <v/>
      </c>
      <c r="E8" s="35"/>
      <c r="F8" s="88" t="str">
        <f aca="false">IF(E8=0,"",E8/E$7)</f>
        <v/>
      </c>
      <c r="G8" s="35"/>
      <c r="H8" s="88" t="str">
        <f aca="false">IF(G8=0,"",G8/G$7)</f>
        <v/>
      </c>
      <c r="I8" s="35"/>
      <c r="J8" s="88" t="str">
        <f aca="false">IF(I8=0,"",I8/I$7)</f>
        <v/>
      </c>
      <c r="K8" s="35"/>
      <c r="L8" s="88" t="str">
        <f aca="false">IF(K8=0,"",K8/K$7)</f>
        <v/>
      </c>
    </row>
    <row r="9" customFormat="false" ht="22.5" hidden="false" customHeight="true" outlineLevel="0" collapsed="false">
      <c r="B9" s="120" t="s">
        <v>122</v>
      </c>
      <c r="C9" s="60"/>
      <c r="D9" s="88" t="str">
        <f aca="false">IF(C9=0,"",C9/C$7)</f>
        <v/>
      </c>
      <c r="E9" s="35"/>
      <c r="F9" s="88" t="str">
        <f aca="false">IF(E9=0,"",E9/E$7)</f>
        <v/>
      </c>
      <c r="G9" s="35"/>
      <c r="H9" s="88" t="str">
        <f aca="false">IF(G9=0,"",G9/G$7)</f>
        <v/>
      </c>
      <c r="I9" s="35"/>
      <c r="J9" s="88" t="str">
        <f aca="false">IF(I9=0,"",I9/I$7)</f>
        <v/>
      </c>
      <c r="K9" s="35"/>
      <c r="L9" s="88" t="str">
        <f aca="false">IF(K9=0,"",K9/K$7)</f>
        <v/>
      </c>
    </row>
    <row r="10" customFormat="false" ht="22.5" hidden="false" customHeight="true" outlineLevel="0" collapsed="false">
      <c r="B10" s="120" t="s">
        <v>123</v>
      </c>
      <c r="C10" s="60"/>
      <c r="D10" s="88" t="str">
        <f aca="false">IF(C10=0,"",C10/C$7)</f>
        <v/>
      </c>
      <c r="E10" s="35"/>
      <c r="F10" s="88" t="str">
        <f aca="false">IF(E10=0,"",E10/E$7)</f>
        <v/>
      </c>
      <c r="G10" s="35"/>
      <c r="H10" s="88" t="str">
        <f aca="false">IF(G10=0,"",G10/G$7)</f>
        <v/>
      </c>
      <c r="I10" s="35"/>
      <c r="J10" s="88" t="str">
        <f aca="false">IF(I10=0,"",I10/I$7)</f>
        <v/>
      </c>
      <c r="K10" s="35"/>
      <c r="L10" s="88" t="str">
        <f aca="false">IF(K10=0,"",K10/K$7)</f>
        <v/>
      </c>
    </row>
    <row r="11" customFormat="false" ht="22.5" hidden="false" customHeight="true" outlineLevel="0" collapsed="false">
      <c r="B11" s="120" t="s">
        <v>124</v>
      </c>
      <c r="C11" s="60"/>
      <c r="D11" s="88" t="str">
        <f aca="false">IF(C11=0,"",C11/C$7)</f>
        <v/>
      </c>
      <c r="E11" s="35"/>
      <c r="F11" s="88" t="str">
        <f aca="false">IF(E11=0,"",E11/E$7)</f>
        <v/>
      </c>
      <c r="G11" s="35"/>
      <c r="H11" s="88" t="str">
        <f aca="false">IF(G11=0,"",G11/G$7)</f>
        <v/>
      </c>
      <c r="I11" s="35"/>
      <c r="J11" s="88" t="str">
        <f aca="false">IF(I11=0,"",I11/I$7)</f>
        <v/>
      </c>
      <c r="K11" s="35"/>
      <c r="L11" s="88" t="str">
        <f aca="false">IF(K11=0,"",K11/K$7)</f>
        <v/>
      </c>
    </row>
    <row r="12" customFormat="false" ht="22.5" hidden="false" customHeight="true" outlineLevel="0" collapsed="false">
      <c r="B12" s="120"/>
      <c r="C12" s="60"/>
      <c r="D12" s="88" t="str">
        <f aca="false">IF(C12=0,"",C12/C$7)</f>
        <v/>
      </c>
      <c r="E12" s="35"/>
      <c r="F12" s="88" t="str">
        <f aca="false">IF(E12=0,"",E12/E$7)</f>
        <v/>
      </c>
      <c r="G12" s="35"/>
      <c r="H12" s="88" t="str">
        <f aca="false">IF(G12=0,"",G12/G$7)</f>
        <v/>
      </c>
      <c r="I12" s="35"/>
      <c r="J12" s="88" t="str">
        <f aca="false">IF(I12=0,"",I12/I$7)</f>
        <v/>
      </c>
      <c r="K12" s="35"/>
      <c r="L12" s="88" t="str">
        <f aca="false">IF(K12=0,"",K12/K$7)</f>
        <v/>
      </c>
    </row>
    <row r="13" customFormat="false" ht="22.5" hidden="false" customHeight="true" outlineLevel="0" collapsed="false">
      <c r="B13" s="90"/>
      <c r="C13" s="64"/>
      <c r="D13" s="91" t="str">
        <f aca="false">IF(C13=0,"",C13/C$7)</f>
        <v/>
      </c>
      <c r="E13" s="37"/>
      <c r="F13" s="91" t="str">
        <f aca="false">IF(E13=0,"",E13/E$7)</f>
        <v/>
      </c>
      <c r="G13" s="37"/>
      <c r="H13" s="91" t="str">
        <f aca="false">IF(G13=0,"",G13/G$7)</f>
        <v/>
      </c>
      <c r="I13" s="37"/>
      <c r="J13" s="91" t="str">
        <f aca="false">IF(I13=0,"",I13/I$7)</f>
        <v/>
      </c>
      <c r="K13" s="37"/>
      <c r="L13" s="91" t="str">
        <f aca="false">IF(K13=0,"",K13/K$7)</f>
        <v/>
      </c>
    </row>
    <row r="14" customFormat="false" ht="22.5" hidden="false" customHeight="true" outlineLevel="0" collapsed="false">
      <c r="B14" s="121" t="s">
        <v>125</v>
      </c>
      <c r="C14" s="122" t="n">
        <f aca="false">SUM(C8:C13)</f>
        <v>0</v>
      </c>
      <c r="D14" s="94" t="str">
        <f aca="false">IF(C14=0,"",C14/C$7)</f>
        <v/>
      </c>
      <c r="E14" s="93" t="n">
        <f aca="false">SUM(E8:E13)</f>
        <v>0</v>
      </c>
      <c r="F14" s="94" t="str">
        <f aca="false">IF(E14=0,"",E14/E$7)</f>
        <v/>
      </c>
      <c r="G14" s="93" t="n">
        <f aca="false">SUM(G8:G13)</f>
        <v>0</v>
      </c>
      <c r="H14" s="94" t="str">
        <f aca="false">IF(G14=0,"",G14/G$7)</f>
        <v/>
      </c>
      <c r="I14" s="93" t="n">
        <f aca="false">SUM(I8:I13)</f>
        <v>0</v>
      </c>
      <c r="J14" s="94" t="str">
        <f aca="false">IF(I14=0,"",I14/I$7)</f>
        <v/>
      </c>
      <c r="K14" s="93" t="n">
        <f aca="false">SUM(K8:K13)</f>
        <v>0</v>
      </c>
      <c r="L14" s="94" t="str">
        <f aca="false">IF(K14=0,"",K14/K$7)</f>
        <v/>
      </c>
    </row>
    <row r="15" customFormat="false" ht="22.5" hidden="false" customHeight="true" outlineLevel="0" collapsed="false">
      <c r="B15" s="119"/>
      <c r="C15" s="60"/>
      <c r="D15" s="88" t="str">
        <f aca="false">IF(C15=0,"",C15/C$7)</f>
        <v/>
      </c>
      <c r="E15" s="35"/>
      <c r="F15" s="88" t="str">
        <f aca="false">IF(E15=0,"",E15/E$7)</f>
        <v/>
      </c>
      <c r="G15" s="35"/>
      <c r="H15" s="88" t="str">
        <f aca="false">IF(G15=0,"",G15/G$7)</f>
        <v/>
      </c>
      <c r="I15" s="35"/>
      <c r="J15" s="88" t="str">
        <f aca="false">IF(I15=0,"",I15/I$7)</f>
        <v/>
      </c>
      <c r="K15" s="35"/>
      <c r="L15" s="88" t="str">
        <f aca="false">IF(K15=0,"",K15/K$7)</f>
        <v/>
      </c>
    </row>
    <row r="16" customFormat="false" ht="22.5" hidden="false" customHeight="true" outlineLevel="0" collapsed="false">
      <c r="B16" s="120"/>
      <c r="C16" s="60"/>
      <c r="D16" s="88"/>
      <c r="E16" s="35"/>
      <c r="F16" s="88"/>
      <c r="G16" s="35"/>
      <c r="H16" s="88"/>
      <c r="I16" s="35"/>
      <c r="J16" s="88"/>
      <c r="K16" s="35"/>
      <c r="L16" s="88"/>
    </row>
    <row r="17" customFormat="false" ht="22.5" hidden="false" customHeight="true" outlineLevel="0" collapsed="false">
      <c r="B17" s="120"/>
      <c r="C17" s="60"/>
      <c r="D17" s="88"/>
      <c r="E17" s="35"/>
      <c r="F17" s="88"/>
      <c r="G17" s="35"/>
      <c r="H17" s="88"/>
      <c r="I17" s="35"/>
      <c r="J17" s="88"/>
      <c r="K17" s="35"/>
      <c r="L17" s="88"/>
    </row>
    <row r="18" customFormat="false" ht="22.5" hidden="false" customHeight="true" outlineLevel="0" collapsed="false">
      <c r="B18" s="120"/>
      <c r="C18" s="60"/>
      <c r="D18" s="88" t="str">
        <f aca="false">IF(C18=0,"",C18/C$7)</f>
        <v/>
      </c>
      <c r="E18" s="35"/>
      <c r="F18" s="88" t="str">
        <f aca="false">IF(E18=0,"",E18/E$7)</f>
        <v/>
      </c>
      <c r="G18" s="35"/>
      <c r="H18" s="88" t="str">
        <f aca="false">IF(G18=0,"",G18/G$7)</f>
        <v/>
      </c>
      <c r="I18" s="35"/>
      <c r="J18" s="88" t="str">
        <f aca="false">IF(I18=0,"",I18/I$7)</f>
        <v/>
      </c>
      <c r="K18" s="35"/>
      <c r="L18" s="88" t="str">
        <f aca="false">IF(K18=0,"",K18/K$7)</f>
        <v/>
      </c>
    </row>
    <row r="19" customFormat="false" ht="22.5" hidden="false" customHeight="true" outlineLevel="0" collapsed="false">
      <c r="B19" s="120"/>
      <c r="C19" s="60"/>
      <c r="D19" s="88" t="str">
        <f aca="false">IF(C19=0,"",C19/C$7)</f>
        <v/>
      </c>
      <c r="E19" s="35"/>
      <c r="F19" s="88" t="str">
        <f aca="false">IF(E19=0,"",E19/E$7)</f>
        <v/>
      </c>
      <c r="G19" s="35"/>
      <c r="H19" s="88" t="str">
        <f aca="false">IF(G19=0,"",G19/G$7)</f>
        <v/>
      </c>
      <c r="I19" s="35"/>
      <c r="J19" s="88" t="str">
        <f aca="false">IF(I19=0,"",I19/I$7)</f>
        <v/>
      </c>
      <c r="K19" s="35"/>
      <c r="L19" s="88" t="str">
        <f aca="false">IF(K19=0,"",K19/K$7)</f>
        <v/>
      </c>
    </row>
    <row r="20" customFormat="false" ht="22.5" hidden="false" customHeight="true" outlineLevel="0" collapsed="false">
      <c r="B20" s="120"/>
      <c r="C20" s="60"/>
      <c r="D20" s="88" t="str">
        <f aca="false">IF(C20=0,"",C20/C$7)</f>
        <v/>
      </c>
      <c r="E20" s="35"/>
      <c r="F20" s="88" t="str">
        <f aca="false">IF(E20=0,"",E20/E$7)</f>
        <v/>
      </c>
      <c r="G20" s="35"/>
      <c r="H20" s="88" t="str">
        <f aca="false">IF(G20=0,"",G20/G$7)</f>
        <v/>
      </c>
      <c r="I20" s="35"/>
      <c r="J20" s="88" t="str">
        <f aca="false">IF(I20=0,"",I20/I$7)</f>
        <v/>
      </c>
      <c r="K20" s="35"/>
      <c r="L20" s="88" t="str">
        <f aca="false">IF(K20=0,"",K20/K$7)</f>
        <v/>
      </c>
    </row>
    <row r="21" customFormat="false" ht="22.5" hidden="false" customHeight="true" outlineLevel="0" collapsed="false">
      <c r="B21" s="120"/>
      <c r="C21" s="60"/>
      <c r="D21" s="88" t="str">
        <f aca="false">IF(C21=0,"",C21/C$7)</f>
        <v/>
      </c>
      <c r="E21" s="35"/>
      <c r="F21" s="88" t="str">
        <f aca="false">IF(E21=0,"",E21/E$7)</f>
        <v/>
      </c>
      <c r="G21" s="35"/>
      <c r="H21" s="88" t="str">
        <f aca="false">IF(G21=0,"",G21/G$7)</f>
        <v/>
      </c>
      <c r="I21" s="35"/>
      <c r="J21" s="88" t="str">
        <f aca="false">IF(I21=0,"",I21/I$7)</f>
        <v/>
      </c>
      <c r="K21" s="35"/>
      <c r="L21" s="88" t="str">
        <f aca="false">IF(K21=0,"",K21/K$7)</f>
        <v/>
      </c>
    </row>
    <row r="22" customFormat="false" ht="22.5" hidden="false" customHeight="true" outlineLevel="0" collapsed="false">
      <c r="B22" s="90"/>
      <c r="C22" s="64"/>
      <c r="D22" s="91" t="str">
        <f aca="false">IF(C22=0,"",C22/C$7)</f>
        <v/>
      </c>
      <c r="E22" s="37"/>
      <c r="F22" s="91" t="str">
        <f aca="false">IF(E22=0,"",E22/E$7)</f>
        <v/>
      </c>
      <c r="G22" s="37"/>
      <c r="H22" s="91" t="str">
        <f aca="false">IF(G22=0,"",G22/G$7)</f>
        <v/>
      </c>
      <c r="I22" s="37"/>
      <c r="J22" s="91" t="str">
        <f aca="false">IF(I22=0,"",I22/I$7)</f>
        <v/>
      </c>
      <c r="K22" s="37"/>
      <c r="L22" s="91" t="str">
        <f aca="false">IF(K22=0,"",K22/K$7)</f>
        <v/>
      </c>
    </row>
    <row r="23" customFormat="false" ht="22.5" hidden="false" customHeight="true" outlineLevel="0" collapsed="false">
      <c r="B23" s="121" t="s">
        <v>126</v>
      </c>
      <c r="C23" s="122" t="n">
        <f aca="false">SUM(C15:C22)</f>
        <v>0</v>
      </c>
      <c r="D23" s="94" t="str">
        <f aca="false">IF(C23=0,"",C23/C$7)</f>
        <v/>
      </c>
      <c r="E23" s="93" t="n">
        <f aca="false">SUM(E15:E22)</f>
        <v>0</v>
      </c>
      <c r="F23" s="94" t="str">
        <f aca="false">IF(E23=0,"",E23/E$7)</f>
        <v/>
      </c>
      <c r="G23" s="93" t="n">
        <f aca="false">SUM(G15:G22)</f>
        <v>0</v>
      </c>
      <c r="H23" s="94" t="str">
        <f aca="false">IF(G23=0,"",G23/G$7)</f>
        <v/>
      </c>
      <c r="I23" s="93" t="n">
        <f aca="false">SUM(I15:I22)</f>
        <v>0</v>
      </c>
      <c r="J23" s="94" t="str">
        <f aca="false">IF(I23=0,"",I23/I$7)</f>
        <v/>
      </c>
      <c r="K23" s="93" t="n">
        <f aca="false">SUM(K15:K22)</f>
        <v>0</v>
      </c>
      <c r="L23" s="94" t="str">
        <f aca="false">IF(K23=0,"",K23/K$7)</f>
        <v/>
      </c>
    </row>
    <row r="24" customFormat="false" ht="22.5" hidden="false" customHeight="true" outlineLevel="0" collapsed="false">
      <c r="B24" s="119"/>
      <c r="C24" s="60"/>
      <c r="D24" s="88" t="str">
        <f aca="false">IF(C24=0,"",C24/C$7)</f>
        <v/>
      </c>
      <c r="E24" s="35"/>
      <c r="F24" s="88" t="str">
        <f aca="false">IF(E24=0,"",E24/E$7)</f>
        <v/>
      </c>
      <c r="G24" s="35"/>
      <c r="H24" s="88" t="str">
        <f aca="false">IF(G24=0,"",G24/G$7)</f>
        <v/>
      </c>
      <c r="I24" s="35"/>
      <c r="J24" s="88" t="str">
        <f aca="false">IF(I24=0,"",I24/I$7)</f>
        <v/>
      </c>
      <c r="K24" s="35"/>
      <c r="L24" s="88" t="str">
        <f aca="false">IF(K24=0,"",K24/K$7)</f>
        <v/>
      </c>
    </row>
    <row r="25" customFormat="false" ht="22.5" hidden="false" customHeight="true" outlineLevel="0" collapsed="false">
      <c r="B25" s="120"/>
      <c r="C25" s="60"/>
      <c r="D25" s="88"/>
      <c r="E25" s="35"/>
      <c r="F25" s="88"/>
      <c r="G25" s="35"/>
      <c r="H25" s="88"/>
      <c r="I25" s="35"/>
      <c r="J25" s="88"/>
      <c r="K25" s="35"/>
      <c r="L25" s="88"/>
    </row>
    <row r="26" customFormat="false" ht="22.5" hidden="false" customHeight="true" outlineLevel="0" collapsed="false">
      <c r="B26" s="120"/>
      <c r="C26" s="60"/>
      <c r="D26" s="88"/>
      <c r="E26" s="35"/>
      <c r="F26" s="88"/>
      <c r="G26" s="35"/>
      <c r="H26" s="88"/>
      <c r="I26" s="35"/>
      <c r="J26" s="88"/>
      <c r="K26" s="35"/>
      <c r="L26" s="88"/>
    </row>
    <row r="27" customFormat="false" ht="22.5" hidden="false" customHeight="true" outlineLevel="0" collapsed="false">
      <c r="B27" s="120"/>
      <c r="C27" s="60"/>
      <c r="D27" s="88"/>
      <c r="E27" s="35"/>
      <c r="F27" s="88"/>
      <c r="G27" s="35"/>
      <c r="H27" s="88"/>
      <c r="I27" s="35"/>
      <c r="J27" s="88"/>
      <c r="K27" s="35"/>
      <c r="L27" s="88"/>
    </row>
    <row r="28" customFormat="false" ht="22.5" hidden="false" customHeight="true" outlineLevel="0" collapsed="false">
      <c r="B28" s="120"/>
      <c r="C28" s="60"/>
      <c r="D28" s="88" t="str">
        <f aca="false">IF(C28=0,"",C28/C$7)</f>
        <v/>
      </c>
      <c r="E28" s="35"/>
      <c r="F28" s="88" t="str">
        <f aca="false">IF(E28=0,"",E28/E$7)</f>
        <v/>
      </c>
      <c r="G28" s="35"/>
      <c r="H28" s="88" t="str">
        <f aca="false">IF(G28=0,"",G28/G$7)</f>
        <v/>
      </c>
      <c r="I28" s="35"/>
      <c r="J28" s="88" t="str">
        <f aca="false">IF(I28=0,"",I28/I$7)</f>
        <v/>
      </c>
      <c r="K28" s="35"/>
      <c r="L28" s="88" t="str">
        <f aca="false">IF(K28=0,"",K28/K$7)</f>
        <v/>
      </c>
    </row>
    <row r="29" customFormat="false" ht="22.5" hidden="false" customHeight="true" outlineLevel="0" collapsed="false">
      <c r="B29" s="120"/>
      <c r="C29" s="60"/>
      <c r="D29" s="88" t="str">
        <f aca="false">IF(C29=0,"",C29/C$7)</f>
        <v/>
      </c>
      <c r="E29" s="35"/>
      <c r="F29" s="88" t="str">
        <f aca="false">IF(E29=0,"",E29/E$7)</f>
        <v/>
      </c>
      <c r="G29" s="35"/>
      <c r="H29" s="88" t="str">
        <f aca="false">IF(G29=0,"",G29/G$7)</f>
        <v/>
      </c>
      <c r="I29" s="35"/>
      <c r="J29" s="88" t="str">
        <f aca="false">IF(I29=0,"",I29/I$7)</f>
        <v/>
      </c>
      <c r="K29" s="35"/>
      <c r="L29" s="88" t="str">
        <f aca="false">IF(K29=0,"",K29/K$7)</f>
        <v/>
      </c>
    </row>
    <row r="30" customFormat="false" ht="22.5" hidden="false" customHeight="true" outlineLevel="0" collapsed="false">
      <c r="B30" s="120"/>
      <c r="C30" s="60"/>
      <c r="D30" s="88" t="str">
        <f aca="false">IF(C30=0,"",C30/C$7)</f>
        <v/>
      </c>
      <c r="E30" s="35"/>
      <c r="F30" s="88" t="str">
        <f aca="false">IF(E30=0,"",E30/E$7)</f>
        <v/>
      </c>
      <c r="G30" s="35"/>
      <c r="H30" s="88" t="str">
        <f aca="false">IF(G30=0,"",G30/G$7)</f>
        <v/>
      </c>
      <c r="I30" s="35"/>
      <c r="J30" s="88" t="str">
        <f aca="false">IF(I30=0,"",I30/I$7)</f>
        <v/>
      </c>
      <c r="K30" s="35"/>
      <c r="L30" s="88" t="str">
        <f aca="false">IF(K30=0,"",K30/K$7)</f>
        <v/>
      </c>
    </row>
    <row r="31" customFormat="false" ht="22.5" hidden="false" customHeight="true" outlineLevel="0" collapsed="false">
      <c r="B31" s="120"/>
      <c r="C31" s="60"/>
      <c r="D31" s="88" t="str">
        <f aca="false">IF(C31=0,"",C31/C$7)</f>
        <v/>
      </c>
      <c r="E31" s="35"/>
      <c r="F31" s="88" t="str">
        <f aca="false">IF(E31=0,"",E31/E$7)</f>
        <v/>
      </c>
      <c r="G31" s="35"/>
      <c r="H31" s="88" t="str">
        <f aca="false">IF(G31=0,"",G31/G$7)</f>
        <v/>
      </c>
      <c r="I31" s="35"/>
      <c r="J31" s="88" t="str">
        <f aca="false">IF(I31=0,"",I31/I$7)</f>
        <v/>
      </c>
      <c r="K31" s="35"/>
      <c r="L31" s="88" t="str">
        <f aca="false">IF(K31=0,"",K31/K$7)</f>
        <v/>
      </c>
    </row>
    <row r="32" customFormat="false" ht="22.5" hidden="false" customHeight="true" outlineLevel="0" collapsed="false">
      <c r="B32" s="90"/>
      <c r="C32" s="64"/>
      <c r="D32" s="91" t="str">
        <f aca="false">IF(C32=0,"",C32/C$7)</f>
        <v/>
      </c>
      <c r="E32" s="37"/>
      <c r="F32" s="91" t="str">
        <f aca="false">IF(E32=0,"",E32/E$7)</f>
        <v/>
      </c>
      <c r="G32" s="37"/>
      <c r="H32" s="91" t="str">
        <f aca="false">IF(G32=0,"",G32/G$7)</f>
        <v/>
      </c>
      <c r="I32" s="37"/>
      <c r="J32" s="91" t="str">
        <f aca="false">IF(I32=0,"",I32/I$7)</f>
        <v/>
      </c>
      <c r="K32" s="37"/>
      <c r="L32" s="91" t="str">
        <f aca="false">IF(K32=0,"",K32/K$7)</f>
        <v/>
      </c>
    </row>
    <row r="33" customFormat="false" ht="22.5" hidden="false" customHeight="true" outlineLevel="0" collapsed="false">
      <c r="B33" s="121" t="s">
        <v>127</v>
      </c>
      <c r="C33" s="122" t="n">
        <f aca="false">SUM(C24:C32)</f>
        <v>0</v>
      </c>
      <c r="D33" s="94" t="str">
        <f aca="false">IF(C33=0,"",C33/C$7)</f>
        <v/>
      </c>
      <c r="E33" s="93" t="n">
        <f aca="false">SUM(E24:E32)</f>
        <v>0</v>
      </c>
      <c r="F33" s="94" t="str">
        <f aca="false">IF(E33=0,"",E33/E$7)</f>
        <v/>
      </c>
      <c r="G33" s="93" t="n">
        <f aca="false">SUM(G24:G32)</f>
        <v>0</v>
      </c>
      <c r="H33" s="94" t="str">
        <f aca="false">IF(G33=0,"",G33/G$7)</f>
        <v/>
      </c>
      <c r="I33" s="93" t="n">
        <f aca="false">SUM(I24:I32)</f>
        <v>0</v>
      </c>
      <c r="J33" s="94" t="str">
        <f aca="false">IF(I33=0,"",I33/I$7)</f>
        <v/>
      </c>
      <c r="K33" s="93" t="n">
        <f aca="false">SUM(K24:K32)</f>
        <v>0</v>
      </c>
      <c r="L33" s="94" t="str">
        <f aca="false">IF(K33=0,"",K33/K$7)</f>
        <v/>
      </c>
    </row>
    <row r="34" customFormat="false" ht="22.5" hidden="false" customHeight="true" outlineLevel="0" collapsed="false">
      <c r="B34" s="119"/>
      <c r="C34" s="60"/>
      <c r="D34" s="88" t="str">
        <f aca="false">IF(C34=0,"",C34/C$7)</f>
        <v/>
      </c>
      <c r="E34" s="35"/>
      <c r="F34" s="88" t="str">
        <f aca="false">IF(E34=0,"",E34/E$7)</f>
        <v/>
      </c>
      <c r="G34" s="35"/>
      <c r="H34" s="88" t="str">
        <f aca="false">IF(G34=0,"",G34/G$7)</f>
        <v/>
      </c>
      <c r="I34" s="35"/>
      <c r="J34" s="88" t="str">
        <f aca="false">IF(I34=0,"",I34/I$7)</f>
        <v/>
      </c>
      <c r="K34" s="35"/>
      <c r="L34" s="88" t="str">
        <f aca="false">IF(K34=0,"",K34/K$7)</f>
        <v/>
      </c>
    </row>
    <row r="35" customFormat="false" ht="22.5" hidden="false" customHeight="true" outlineLevel="0" collapsed="false">
      <c r="B35" s="120"/>
      <c r="C35" s="60"/>
      <c r="D35" s="88" t="str">
        <f aca="false">IF(C35=0,"",C35/C$7)</f>
        <v/>
      </c>
      <c r="E35" s="35"/>
      <c r="F35" s="88" t="str">
        <f aca="false">IF(E35=0,"",E35/E$7)</f>
        <v/>
      </c>
      <c r="G35" s="35"/>
      <c r="H35" s="88" t="str">
        <f aca="false">IF(G35=0,"",G35/G$7)</f>
        <v/>
      </c>
      <c r="I35" s="35"/>
      <c r="J35" s="88" t="str">
        <f aca="false">IF(I35=0,"",I35/I$7)</f>
        <v/>
      </c>
      <c r="K35" s="35"/>
      <c r="L35" s="88" t="str">
        <f aca="false">IF(K35=0,"",K35/K$7)</f>
        <v/>
      </c>
    </row>
    <row r="36" customFormat="false" ht="22.5" hidden="false" customHeight="true" outlineLevel="0" collapsed="false">
      <c r="B36" s="120"/>
      <c r="C36" s="60"/>
      <c r="D36" s="88" t="str">
        <f aca="false">IF(C36=0,"",C36/C$7)</f>
        <v/>
      </c>
      <c r="E36" s="35"/>
      <c r="F36" s="88" t="str">
        <f aca="false">IF(E36=0,"",E36/E$7)</f>
        <v/>
      </c>
      <c r="G36" s="35"/>
      <c r="H36" s="88" t="str">
        <f aca="false">IF(G36=0,"",G36/G$7)</f>
        <v/>
      </c>
      <c r="I36" s="35"/>
      <c r="J36" s="88" t="str">
        <f aca="false">IF(I36=0,"",I36/I$7)</f>
        <v/>
      </c>
      <c r="K36" s="35"/>
      <c r="L36" s="88" t="str">
        <f aca="false">IF(K36=0,"",K36/K$7)</f>
        <v/>
      </c>
    </row>
    <row r="37" customFormat="false" ht="22.5" hidden="false" customHeight="true" outlineLevel="0" collapsed="false">
      <c r="B37" s="120"/>
      <c r="C37" s="60"/>
      <c r="D37" s="88"/>
      <c r="E37" s="35"/>
      <c r="F37" s="88"/>
      <c r="G37" s="35"/>
      <c r="H37" s="88"/>
      <c r="I37" s="35"/>
      <c r="J37" s="88"/>
      <c r="K37" s="35"/>
      <c r="L37" s="88"/>
    </row>
    <row r="38" customFormat="false" ht="22.5" hidden="false" customHeight="true" outlineLevel="0" collapsed="false">
      <c r="B38" s="120"/>
      <c r="C38" s="60"/>
      <c r="D38" s="88"/>
      <c r="E38" s="35"/>
      <c r="F38" s="88"/>
      <c r="G38" s="35"/>
      <c r="H38" s="88"/>
      <c r="I38" s="35"/>
      <c r="J38" s="88"/>
      <c r="K38" s="35"/>
      <c r="L38" s="88"/>
    </row>
    <row r="39" customFormat="false" ht="22.5" hidden="false" customHeight="true" outlineLevel="0" collapsed="false">
      <c r="B39" s="120"/>
      <c r="C39" s="60"/>
      <c r="D39" s="88" t="str">
        <f aca="false">IF(C39=0,"",C39/C$7)</f>
        <v/>
      </c>
      <c r="E39" s="35"/>
      <c r="F39" s="88" t="str">
        <f aca="false">IF(E39=0,"",E39/E$7)</f>
        <v/>
      </c>
      <c r="G39" s="35"/>
      <c r="H39" s="88" t="str">
        <f aca="false">IF(G39=0,"",G39/G$7)</f>
        <v/>
      </c>
      <c r="I39" s="35"/>
      <c r="J39" s="88" t="str">
        <f aca="false">IF(I39=0,"",I39/I$7)</f>
        <v/>
      </c>
      <c r="K39" s="35"/>
      <c r="L39" s="88" t="str">
        <f aca="false">IF(K39=0,"",K39/K$7)</f>
        <v/>
      </c>
    </row>
    <row r="40" customFormat="false" ht="22.5" hidden="false" customHeight="true" outlineLevel="0" collapsed="false">
      <c r="B40" s="120"/>
      <c r="C40" s="60"/>
      <c r="D40" s="88" t="str">
        <f aca="false">IF(C40=0,"",C40/C$7)</f>
        <v/>
      </c>
      <c r="E40" s="35"/>
      <c r="F40" s="88" t="str">
        <f aca="false">IF(E40=0,"",E40/E$7)</f>
        <v/>
      </c>
      <c r="G40" s="35"/>
      <c r="H40" s="88" t="str">
        <f aca="false">IF(G40=0,"",G40/G$7)</f>
        <v/>
      </c>
      <c r="I40" s="35"/>
      <c r="J40" s="88" t="str">
        <f aca="false">IF(I40=0,"",I40/I$7)</f>
        <v/>
      </c>
      <c r="K40" s="35"/>
      <c r="L40" s="88" t="str">
        <f aca="false">IF(K40=0,"",K40/K$7)</f>
        <v/>
      </c>
    </row>
    <row r="41" customFormat="false" ht="22.5" hidden="false" customHeight="true" outlineLevel="0" collapsed="false">
      <c r="B41" s="120"/>
      <c r="C41" s="60"/>
      <c r="D41" s="88" t="str">
        <f aca="false">IF(C41=0,"",C41/C$7)</f>
        <v/>
      </c>
      <c r="E41" s="35"/>
      <c r="F41" s="88" t="str">
        <f aca="false">IF(E41=0,"",E41/E$7)</f>
        <v/>
      </c>
      <c r="G41" s="35"/>
      <c r="H41" s="88" t="str">
        <f aca="false">IF(G41=0,"",G41/G$7)</f>
        <v/>
      </c>
      <c r="I41" s="35"/>
      <c r="J41" s="88" t="str">
        <f aca="false">IF(I41=0,"",I41/I$7)</f>
        <v/>
      </c>
      <c r="K41" s="35"/>
      <c r="L41" s="88" t="str">
        <f aca="false">IF(K41=0,"",K41/K$7)</f>
        <v/>
      </c>
    </row>
    <row r="42" customFormat="false" ht="22.5" hidden="false" customHeight="true" outlineLevel="0" collapsed="false">
      <c r="B42" s="120"/>
      <c r="C42" s="60"/>
      <c r="D42" s="88" t="str">
        <f aca="false">IF(C42=0,"",C42/C$7)</f>
        <v/>
      </c>
      <c r="E42" s="35"/>
      <c r="F42" s="88" t="str">
        <f aca="false">IF(E42=0,"",E42/E$7)</f>
        <v/>
      </c>
      <c r="G42" s="35"/>
      <c r="H42" s="88" t="str">
        <f aca="false">IF(G42=0,"",G42/G$7)</f>
        <v/>
      </c>
      <c r="I42" s="35"/>
      <c r="J42" s="88" t="str">
        <f aca="false">IF(I42=0,"",I42/I$7)</f>
        <v/>
      </c>
      <c r="K42" s="35"/>
      <c r="L42" s="88" t="str">
        <f aca="false">IF(K42=0,"",K42/K$7)</f>
        <v/>
      </c>
    </row>
    <row r="43" customFormat="false" ht="22.5" hidden="false" customHeight="true" outlineLevel="0" collapsed="false">
      <c r="B43" s="120"/>
      <c r="C43" s="60"/>
      <c r="D43" s="88" t="str">
        <f aca="false">IF(C43=0,"",C43/C$7)</f>
        <v/>
      </c>
      <c r="E43" s="35"/>
      <c r="F43" s="88" t="str">
        <f aca="false">IF(E43=0,"",E43/E$7)</f>
        <v/>
      </c>
      <c r="G43" s="35"/>
      <c r="H43" s="88" t="str">
        <f aca="false">IF(G43=0,"",G43/G$7)</f>
        <v/>
      </c>
      <c r="I43" s="35"/>
      <c r="J43" s="88" t="str">
        <f aca="false">IF(I43=0,"",I43/I$7)</f>
        <v/>
      </c>
      <c r="K43" s="35"/>
      <c r="L43" s="88" t="str">
        <f aca="false">IF(K43=0,"",K43/K$7)</f>
        <v/>
      </c>
    </row>
    <row r="44" customFormat="false" ht="22.5" hidden="false" customHeight="true" outlineLevel="0" collapsed="false">
      <c r="B44" s="120"/>
      <c r="C44" s="60"/>
      <c r="D44" s="88" t="str">
        <f aca="false">IF(C44=0,"",C44/C$7)</f>
        <v/>
      </c>
      <c r="E44" s="35"/>
      <c r="F44" s="88" t="str">
        <f aca="false">IF(E44=0,"",E44/E$7)</f>
        <v/>
      </c>
      <c r="G44" s="35"/>
      <c r="H44" s="88" t="str">
        <f aca="false">IF(G44=0,"",G44/G$7)</f>
        <v/>
      </c>
      <c r="I44" s="35"/>
      <c r="J44" s="88" t="str">
        <f aca="false">IF(I44=0,"",I44/I$7)</f>
        <v/>
      </c>
      <c r="K44" s="35"/>
      <c r="L44" s="88" t="str">
        <f aca="false">IF(K44=0,"",K44/K$7)</f>
        <v/>
      </c>
    </row>
    <row r="45" customFormat="false" ht="22.5" hidden="false" customHeight="true" outlineLevel="0" collapsed="false">
      <c r="B45" s="90"/>
      <c r="C45" s="64"/>
      <c r="D45" s="91" t="str">
        <f aca="false">IF(C45=0,"",C45/C$7)</f>
        <v/>
      </c>
      <c r="E45" s="37"/>
      <c r="F45" s="91" t="str">
        <f aca="false">IF(E45=0,"",E45/E$7)</f>
        <v/>
      </c>
      <c r="G45" s="37"/>
      <c r="H45" s="91" t="str">
        <f aca="false">IF(G45=0,"",G45/G$7)</f>
        <v/>
      </c>
      <c r="I45" s="37"/>
      <c r="J45" s="91" t="str">
        <f aca="false">IF(I45=0,"",I45/I$7)</f>
        <v/>
      </c>
      <c r="K45" s="37"/>
      <c r="L45" s="91" t="str">
        <f aca="false">IF(K45=0,"",K45/K$7)</f>
        <v/>
      </c>
    </row>
    <row r="46" customFormat="false" ht="22.5" hidden="false" customHeight="true" outlineLevel="0" collapsed="false">
      <c r="B46" s="121" t="s">
        <v>128</v>
      </c>
      <c r="C46" s="122" t="n">
        <f aca="false">SUM(C34:C45)</f>
        <v>0</v>
      </c>
      <c r="D46" s="94" t="str">
        <f aca="false">IF(C46=0,"",C46/C$7)</f>
        <v/>
      </c>
      <c r="E46" s="93" t="n">
        <f aca="false">SUM(E34:E45)</f>
        <v>0</v>
      </c>
      <c r="F46" s="94" t="str">
        <f aca="false">IF(E46=0,"",E46/E$7)</f>
        <v/>
      </c>
      <c r="G46" s="93" t="n">
        <f aca="false">SUM(G34:G45)</f>
        <v>0</v>
      </c>
      <c r="H46" s="94" t="str">
        <f aca="false">IF(G46=0,"",G46/G$7)</f>
        <v/>
      </c>
      <c r="I46" s="93" t="n">
        <f aca="false">SUM(I34:I45)</f>
        <v>0</v>
      </c>
      <c r="J46" s="94" t="str">
        <f aca="false">IF(I46=0,"",I46/I$7)</f>
        <v/>
      </c>
      <c r="K46" s="93" t="n">
        <f aca="false">SUM(K34:K45)</f>
        <v>0</v>
      </c>
      <c r="L46" s="94" t="str">
        <f aca="false">IF(K46=0,"",K46/K$7)</f>
        <v/>
      </c>
    </row>
    <row r="47" customFormat="false" ht="22.5" hidden="false" customHeight="true" outlineLevel="0" collapsed="false">
      <c r="B47" s="123" t="s">
        <v>129</v>
      </c>
      <c r="C47" s="122" t="n">
        <f aca="false">C14+C23+C33+C46</f>
        <v>0</v>
      </c>
      <c r="D47" s="94" t="str">
        <f aca="false">IF(C47=0,"",C47/C$7)</f>
        <v/>
      </c>
      <c r="E47" s="122" t="n">
        <f aca="false">E14+E23+E33+E46</f>
        <v>0</v>
      </c>
      <c r="F47" s="94" t="str">
        <f aca="false">IF(E47=0,"",E47/E$7)</f>
        <v/>
      </c>
      <c r="G47" s="122" t="n">
        <f aca="false">G14+G23+G33+G46</f>
        <v>0</v>
      </c>
      <c r="H47" s="94" t="str">
        <f aca="false">IF(G47=0,"",G47/G$7)</f>
        <v/>
      </c>
      <c r="I47" s="122" t="n">
        <f aca="false">I14+I23+I33+I46</f>
        <v>0</v>
      </c>
      <c r="J47" s="94" t="str">
        <f aca="false">IF(I47=0,"",I47/I$7)</f>
        <v/>
      </c>
      <c r="K47" s="122" t="n">
        <f aca="false">K14+K23+K33+K46</f>
        <v>0</v>
      </c>
      <c r="L47" s="94" t="str">
        <f aca="false">IF(K47=0,"",K47/K$7)</f>
        <v/>
      </c>
    </row>
    <row r="48" customFormat="false" ht="22.5" hidden="false" customHeight="true" outlineLevel="0" collapsed="false">
      <c r="B48" s="124" t="s">
        <v>130</v>
      </c>
      <c r="C48" s="64"/>
      <c r="D48" s="91" t="str">
        <f aca="false">IF(C48=0,"",C48/C$7)</f>
        <v/>
      </c>
      <c r="E48" s="37" t="n">
        <f aca="false">SUM(E36:E47)</f>
        <v>0</v>
      </c>
      <c r="F48" s="91" t="str">
        <f aca="false">IF(E48=0,"",E48/E$7)</f>
        <v/>
      </c>
      <c r="G48" s="37" t="n">
        <f aca="false">SUM(G36:G47)</f>
        <v>0</v>
      </c>
      <c r="H48" s="91" t="str">
        <f aca="false">IF(G48=0,"",G48/G$7)</f>
        <v/>
      </c>
      <c r="I48" s="37" t="n">
        <f aca="false">SUM(I36:I47)</f>
        <v>0</v>
      </c>
      <c r="J48" s="91" t="str">
        <f aca="false">IF(I48=0,"",I48/I$7)</f>
        <v/>
      </c>
      <c r="K48" s="37" t="n">
        <f aca="false">SUM(K36:K47)</f>
        <v>0</v>
      </c>
      <c r="L48" s="91" t="str">
        <f aca="false">IF(K48=0,"",K48/K$7)</f>
        <v/>
      </c>
    </row>
    <row r="49" customFormat="false" ht="22.5" hidden="false" customHeight="true" outlineLevel="0" collapsed="false">
      <c r="B49" s="92" t="s">
        <v>131</v>
      </c>
      <c r="C49" s="122" t="n">
        <f aca="false">SUM(C47:C48)</f>
        <v>0</v>
      </c>
      <c r="D49" s="94" t="str">
        <f aca="false">IF(C49=0,"",C49/C$7)</f>
        <v/>
      </c>
      <c r="E49" s="93" t="n">
        <f aca="false">SUM(E47:E48)</f>
        <v>0</v>
      </c>
      <c r="F49" s="94" t="str">
        <f aca="false">IF(E49=0,"",E49/E$7)</f>
        <v/>
      </c>
      <c r="G49" s="93" t="n">
        <f aca="false">SUM(G47:G48)</f>
        <v>0</v>
      </c>
      <c r="H49" s="94" t="str">
        <f aca="false">IF(G49=0,"",G49/G$7)</f>
        <v/>
      </c>
      <c r="I49" s="93" t="n">
        <f aca="false">SUM(I47:I48)</f>
        <v>0</v>
      </c>
      <c r="J49" s="94" t="str">
        <f aca="false">IF(I49=0,"",I49/I$7)</f>
        <v/>
      </c>
      <c r="K49" s="93" t="n">
        <f aca="false">SUM(K47:K48)</f>
        <v>0</v>
      </c>
      <c r="L49" s="94" t="str">
        <f aca="false">IF(K49=0,"",K49/K$7)</f>
        <v/>
      </c>
    </row>
    <row r="50" customFormat="false" ht="22.5" hidden="false" customHeight="true" outlineLevel="0" collapsed="false">
      <c r="B50" s="125" t="s">
        <v>132</v>
      </c>
      <c r="C50" s="126"/>
      <c r="D50" s="127" t="str">
        <f aca="false">IF(C50=0,"",C50/C$7)</f>
        <v/>
      </c>
      <c r="E50" s="128" t="n">
        <f aca="false">SUM(E40:E49)</f>
        <v>0</v>
      </c>
      <c r="F50" s="127" t="str">
        <f aca="false">IF(E50=0,"",E50/E$7)</f>
        <v/>
      </c>
      <c r="G50" s="128" t="n">
        <f aca="false">SUM(G40:G49)</f>
        <v>0</v>
      </c>
      <c r="H50" s="127" t="str">
        <f aca="false">IF(G50=0,"",G50/G$7)</f>
        <v/>
      </c>
      <c r="I50" s="128" t="n">
        <f aca="false">SUM(I40:I49)</f>
        <v>0</v>
      </c>
      <c r="J50" s="127" t="str">
        <f aca="false">IF(I50=0,"",I50/I$7)</f>
        <v/>
      </c>
      <c r="K50" s="128" t="n">
        <f aca="false">SUM(K40:K49)</f>
        <v>0</v>
      </c>
      <c r="L50" s="127" t="str">
        <f aca="false">IF(K50=0,"",K50/K$7)</f>
        <v/>
      </c>
    </row>
    <row r="51" customFormat="false" ht="22.5" hidden="false" customHeight="true" outlineLevel="0" collapsed="false">
      <c r="B51" s="92" t="s">
        <v>133</v>
      </c>
      <c r="C51" s="122" t="n">
        <f aca="false">C49-C50</f>
        <v>0</v>
      </c>
      <c r="D51" s="94" t="str">
        <f aca="false">IF(C51=0,"",C51/C$7)</f>
        <v/>
      </c>
      <c r="E51" s="93" t="n">
        <f aca="false">E49-E50</f>
        <v>0</v>
      </c>
      <c r="F51" s="94" t="str">
        <f aca="false">IF(E51=0,"",E51/E$7)</f>
        <v/>
      </c>
      <c r="G51" s="93" t="n">
        <f aca="false">G49-G50</f>
        <v>0</v>
      </c>
      <c r="H51" s="94" t="str">
        <f aca="false">IF(G51=0,"",G51/G$7)</f>
        <v/>
      </c>
      <c r="I51" s="93" t="n">
        <f aca="false">I49-I50</f>
        <v>0</v>
      </c>
      <c r="J51" s="94" t="str">
        <f aca="false">IF(I51=0,"",I51/I$7)</f>
        <v/>
      </c>
      <c r="K51" s="93" t="n">
        <f aca="false">K49-K50</f>
        <v>0</v>
      </c>
      <c r="L51" s="94" t="str">
        <f aca="false">IF(K51=0,"",K51/K$7)</f>
        <v/>
      </c>
    </row>
    <row r="52" customFormat="false" ht="18" hidden="false" customHeight="false" outlineLevel="0" collapsed="false">
      <c r="B52" s="46"/>
      <c r="C52" s="129"/>
      <c r="D52" s="130"/>
      <c r="E52" s="131"/>
      <c r="F52" s="130"/>
      <c r="G52" s="131"/>
      <c r="H52" s="130"/>
      <c r="I52" s="131"/>
      <c r="J52" s="130"/>
      <c r="K52" s="131"/>
      <c r="L52" s="130"/>
    </row>
    <row r="53" customFormat="false" ht="18" hidden="false" customHeight="false" outlineLevel="0" collapsed="false">
      <c r="B53" s="46"/>
      <c r="C53" s="129"/>
      <c r="D53" s="130"/>
      <c r="E53" s="131"/>
      <c r="F53" s="130"/>
      <c r="G53" s="131"/>
      <c r="H53" s="130"/>
      <c r="I53" s="131"/>
      <c r="J53" s="130"/>
      <c r="K53" s="131"/>
      <c r="L53" s="130"/>
    </row>
    <row r="54" customFormat="false" ht="18" hidden="false" customHeight="false" outlineLevel="0" collapsed="false">
      <c r="B54" s="46"/>
      <c r="C54" s="129"/>
      <c r="D54" s="130"/>
      <c r="E54" s="131"/>
      <c r="F54" s="130"/>
      <c r="G54" s="131"/>
      <c r="H54" s="130"/>
      <c r="I54" s="131"/>
      <c r="J54" s="130"/>
      <c r="K54" s="131"/>
      <c r="L54" s="130"/>
    </row>
    <row r="55" customFormat="false" ht="18" hidden="false" customHeight="false" outlineLevel="0" collapsed="false">
      <c r="B55" s="46"/>
      <c r="C55" s="129"/>
      <c r="D55" s="130"/>
      <c r="E55" s="131"/>
      <c r="F55" s="130"/>
      <c r="G55" s="131"/>
      <c r="H55" s="130"/>
      <c r="I55" s="131"/>
      <c r="J55" s="130"/>
      <c r="K55" s="131"/>
      <c r="L55" s="130"/>
    </row>
    <row r="56" customFormat="false" ht="18" hidden="false" customHeight="false" outlineLevel="0" collapsed="false">
      <c r="B56" s="46"/>
      <c r="C56" s="129"/>
      <c r="D56" s="130"/>
      <c r="E56" s="131"/>
      <c r="F56" s="130"/>
      <c r="G56" s="131"/>
      <c r="H56" s="130"/>
      <c r="I56" s="131"/>
      <c r="J56" s="130"/>
      <c r="K56" s="131"/>
      <c r="L56" s="130"/>
    </row>
    <row r="57" customFormat="false" ht="18" hidden="false" customHeight="false" outlineLevel="0" collapsed="false">
      <c r="B57" s="46"/>
      <c r="C57" s="129"/>
      <c r="D57" s="130"/>
      <c r="E57" s="131"/>
      <c r="F57" s="130"/>
      <c r="G57" s="131"/>
      <c r="H57" s="130"/>
      <c r="I57" s="131"/>
      <c r="J57" s="130"/>
      <c r="K57" s="131"/>
      <c r="L57" s="130"/>
    </row>
    <row r="58" customFormat="false" ht="18" hidden="false" customHeight="false" outlineLevel="0" collapsed="false">
      <c r="B58" s="46"/>
      <c r="C58" s="129"/>
      <c r="D58" s="130"/>
      <c r="E58" s="131"/>
      <c r="F58" s="130"/>
      <c r="G58" s="131"/>
      <c r="H58" s="130"/>
      <c r="I58" s="131"/>
      <c r="J58" s="130"/>
      <c r="K58" s="131"/>
      <c r="L58" s="130"/>
    </row>
    <row r="59" customFormat="false" ht="18" hidden="false" customHeight="false" outlineLevel="0" collapsed="false">
      <c r="B59" s="46"/>
      <c r="C59" s="129"/>
      <c r="D59" s="130"/>
      <c r="E59" s="131"/>
      <c r="F59" s="130"/>
      <c r="G59" s="131"/>
      <c r="H59" s="130"/>
      <c r="I59" s="131"/>
      <c r="J59" s="130"/>
      <c r="K59" s="131"/>
      <c r="L59" s="130"/>
    </row>
    <row r="60" customFormat="false" ht="18" hidden="false" customHeight="false" outlineLevel="0" collapsed="false">
      <c r="C60" s="43"/>
      <c r="E60" s="43"/>
      <c r="G60" s="43"/>
      <c r="I60" s="76"/>
      <c r="K60" s="43"/>
    </row>
    <row r="61" customFormat="false" ht="18" hidden="false" customHeight="false" outlineLevel="0" collapsed="false">
      <c r="C61" s="43"/>
      <c r="E61" s="43"/>
      <c r="G61" s="43"/>
      <c r="I61" s="76"/>
      <c r="K61" s="43"/>
    </row>
    <row r="62" customFormat="false" ht="18" hidden="false" customHeight="false" outlineLevel="0" collapsed="false">
      <c r="C62" s="43"/>
      <c r="E62" s="43"/>
      <c r="G62" s="43"/>
      <c r="I62" s="76"/>
      <c r="K62" s="43"/>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L6" activeCellId="0" sqref="L6"/>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
    <col collapsed="false" customWidth="true" hidden="false" outlineLevel="0" max="14" min="14" style="20" width="8.8"/>
  </cols>
  <sheetData>
    <row r="2" customFormat="false" ht="18" hidden="false" customHeight="false" outlineLevel="0" collapsed="false">
      <c r="B2" s="2"/>
      <c r="C2" s="46"/>
      <c r="D2" s="78"/>
      <c r="G2" s="46"/>
      <c r="H2" s="47" t="s">
        <v>59</v>
      </c>
      <c r="I2" s="2"/>
      <c r="K2" s="46"/>
      <c r="L2" s="78"/>
    </row>
    <row r="3" customFormat="false" ht="19.5" hidden="false" customHeight="true" outlineLevel="0" collapsed="false">
      <c r="B3" s="132" t="s">
        <v>6</v>
      </c>
      <c r="C3" s="9" t="str">
        <f aca="false">'BS(借方)'!C4</f>
        <v>令和6年3月期</v>
      </c>
      <c r="D3" s="9"/>
      <c r="E3" s="79" t="str">
        <f aca="false">'BS(借方)'!D4</f>
        <v>令和7年3月期</v>
      </c>
      <c r="F3" s="79"/>
      <c r="G3" s="25" t="str">
        <f aca="false">'BS(借方)'!E4</f>
        <v>令和8年3月期</v>
      </c>
      <c r="H3" s="25"/>
      <c r="I3" s="80" t="str">
        <f aca="false">'BS(借方)'!F4</f>
        <v>－</v>
      </c>
      <c r="J3" s="80"/>
      <c r="K3" s="81" t="str">
        <f aca="false">'BS(借方)'!G4</f>
        <v>進行期
（試算表未受領）</v>
      </c>
      <c r="L3" s="81"/>
    </row>
    <row r="4" customFormat="false" ht="19.5" hidden="false" customHeight="true" outlineLevel="0" collapsed="false">
      <c r="B4" s="132"/>
      <c r="C4" s="26" t="s">
        <v>85</v>
      </c>
      <c r="D4" s="83" t="s">
        <v>86</v>
      </c>
      <c r="E4" s="26" t="s">
        <v>85</v>
      </c>
      <c r="F4" s="26" t="s">
        <v>86</v>
      </c>
      <c r="G4" s="26" t="s">
        <v>85</v>
      </c>
      <c r="H4" s="83" t="s">
        <v>86</v>
      </c>
      <c r="I4" s="26" t="s">
        <v>85</v>
      </c>
      <c r="J4" s="83" t="s">
        <v>86</v>
      </c>
      <c r="K4" s="133" t="s">
        <v>85</v>
      </c>
      <c r="L4" s="85" t="s">
        <v>86</v>
      </c>
    </row>
    <row r="5" customFormat="false" ht="22.5" hidden="false" customHeight="true" outlineLevel="0" collapsed="false">
      <c r="B5" s="115" t="s">
        <v>119</v>
      </c>
      <c r="C5" s="116" t="n">
        <f aca="false">PL!C11</f>
        <v>383439251</v>
      </c>
      <c r="D5" s="117" t="s">
        <v>120</v>
      </c>
      <c r="E5" s="118" t="n">
        <f aca="false">PL!E11</f>
        <v>1230829971</v>
      </c>
      <c r="F5" s="117" t="s">
        <v>120</v>
      </c>
      <c r="G5" s="118" t="n">
        <f aca="false">PL!G11</f>
        <v>319338374</v>
      </c>
      <c r="H5" s="117" t="s">
        <v>120</v>
      </c>
      <c r="I5" s="118" t="n">
        <f aca="false">PL!I11</f>
        <v>0</v>
      </c>
      <c r="J5" s="117" t="s">
        <v>120</v>
      </c>
      <c r="K5" s="118" t="n">
        <f aca="false">PL!K11</f>
        <v>0</v>
      </c>
      <c r="L5" s="117" t="s">
        <v>120</v>
      </c>
      <c r="M5" s="114" t="s">
        <v>134</v>
      </c>
    </row>
    <row r="6" customFormat="false" ht="22.5" hidden="false" customHeight="true" outlineLevel="0" collapsed="false">
      <c r="B6" s="119" t="s">
        <v>135</v>
      </c>
      <c r="C6" s="60" t="n">
        <v>1920000</v>
      </c>
      <c r="D6" s="88" t="n">
        <f aca="false">IFERROR(C6/$C$5,"")</f>
        <v>0.00500731209700803</v>
      </c>
      <c r="E6" s="35" t="n">
        <v>1920000</v>
      </c>
      <c r="F6" s="88" t="n">
        <f aca="false">IFERROR(E6/$E$5,"")</f>
        <v>0.00155992301555679</v>
      </c>
      <c r="G6" s="35" t="n">
        <v>1920000</v>
      </c>
      <c r="H6" s="88" t="n">
        <f aca="false">IFERROR(G6/$G$5,"")</f>
        <v>0.00601243118999535</v>
      </c>
      <c r="I6" s="35"/>
      <c r="J6" s="88" t="str">
        <f aca="false">IFERROR(I6/$I$5,"")</f>
        <v/>
      </c>
      <c r="K6" s="35"/>
      <c r="L6" s="88" t="str">
        <f aca="false">IFERROR(K6/$K$5,"")</f>
        <v/>
      </c>
    </row>
    <row r="7" customFormat="false" ht="22.5" hidden="false" customHeight="true" outlineLevel="0" collapsed="false">
      <c r="B7" s="120" t="s">
        <v>136</v>
      </c>
      <c r="C7" s="60" t="n">
        <v>137394789</v>
      </c>
      <c r="D7" s="88" t="n">
        <f aca="false">IFERROR(C7/$C$5,"")</f>
        <v>0.358322181784149</v>
      </c>
      <c r="E7" s="35" t="n">
        <v>111145074</v>
      </c>
      <c r="F7" s="88" t="n">
        <f aca="false">IFERROR(E7/$E$5,"")</f>
        <v>0.0903009161449807</v>
      </c>
      <c r="G7" s="35" t="n">
        <v>113155654</v>
      </c>
      <c r="H7" s="88" t="n">
        <f aca="false">IFERROR(G7/$G$5,"")</f>
        <v>0.354344053871834</v>
      </c>
      <c r="I7" s="35"/>
      <c r="J7" s="88" t="str">
        <f aca="false">IFERROR(I7/$I$5,"")</f>
        <v/>
      </c>
      <c r="K7" s="35"/>
      <c r="L7" s="88" t="str">
        <f aca="false">IFERROR(K7/$K$5,"")</f>
        <v/>
      </c>
    </row>
    <row r="8" customFormat="false" ht="22.5" hidden="false" customHeight="true" outlineLevel="0" collapsed="false">
      <c r="B8" s="120" t="s">
        <v>137</v>
      </c>
      <c r="C8" s="60" t="n">
        <v>21065176</v>
      </c>
      <c r="D8" s="88" t="n">
        <f aca="false">IFERROR(C8/$C$5,"")</f>
        <v>0.0549374534429184</v>
      </c>
      <c r="E8" s="35" t="n">
        <v>14045855</v>
      </c>
      <c r="F8" s="88" t="n">
        <f aca="false">IFERROR(E8/$E$5,"")</f>
        <v>0.0114116940039966</v>
      </c>
      <c r="G8" s="35" t="n">
        <v>18258884</v>
      </c>
      <c r="H8" s="88" t="n">
        <f aca="false">IFERROR(G8/$G$5,"")</f>
        <v>0.0571772310708891</v>
      </c>
      <c r="I8" s="35"/>
      <c r="J8" s="88" t="str">
        <f aca="false">IFERROR(I8/$I$5,"")</f>
        <v/>
      </c>
      <c r="K8" s="35"/>
      <c r="L8" s="88" t="str">
        <f aca="false">IFERROR(K8/$K$5,"")</f>
        <v/>
      </c>
    </row>
    <row r="9" customFormat="false" ht="22.5" hidden="false" customHeight="true" outlineLevel="0" collapsed="false">
      <c r="B9" s="120" t="s">
        <v>138</v>
      </c>
      <c r="C9" s="60" t="n">
        <v>893478</v>
      </c>
      <c r="D9" s="88" t="n">
        <f aca="false">IFERROR(C9/$C$5,"")</f>
        <v>0.00233016833219299</v>
      </c>
      <c r="E9" s="35" t="n">
        <v>813145</v>
      </c>
      <c r="F9" s="88" t="n">
        <f aca="false">IFERROR(E9/$E$5,"")</f>
        <v>0.0006606477085859</v>
      </c>
      <c r="G9" s="35" t="n">
        <v>654125</v>
      </c>
      <c r="H9" s="88" t="n">
        <f aca="false">IFERROR(G9/$G$5,"")</f>
        <v>0.00204837580841443</v>
      </c>
      <c r="I9" s="35"/>
      <c r="J9" s="88" t="str">
        <f aca="false">IFERROR(I9/$I$5,"")</f>
        <v/>
      </c>
      <c r="K9" s="35"/>
      <c r="L9" s="88" t="str">
        <f aca="false">IFERROR(K9/$K$5,"")</f>
        <v/>
      </c>
    </row>
    <row r="10" customFormat="false" ht="22.5" hidden="false" customHeight="true" outlineLevel="0" collapsed="false">
      <c r="B10" s="120" t="s">
        <v>139</v>
      </c>
      <c r="C10" s="60" t="n">
        <v>4594828</v>
      </c>
      <c r="D10" s="88" t="n">
        <f aca="false">IFERROR(C10/$C$5,"")</f>
        <v>0.0119831967854538</v>
      </c>
      <c r="E10" s="35" t="n">
        <v>14219250</v>
      </c>
      <c r="F10" s="88" t="n">
        <f aca="false">IFERROR(E10/$E$5,"")</f>
        <v>0.0115525704890395</v>
      </c>
      <c r="G10" s="35" t="n">
        <v>11895803</v>
      </c>
      <c r="H10" s="88" t="n">
        <f aca="false">IFERROR(G10/$G$5,"")</f>
        <v>0.0372514046808543</v>
      </c>
      <c r="I10" s="35"/>
      <c r="J10" s="88" t="str">
        <f aca="false">IFERROR(I10/$I$5,"")</f>
        <v/>
      </c>
      <c r="K10" s="35"/>
      <c r="L10" s="88" t="str">
        <f aca="false">IFERROR(K10/$K$5,"")</f>
        <v/>
      </c>
    </row>
    <row r="11" customFormat="false" ht="22.5" hidden="false" customHeight="true" outlineLevel="0" collapsed="false">
      <c r="B11" s="120" t="s">
        <v>140</v>
      </c>
      <c r="C11" s="60" t="n">
        <v>14896364</v>
      </c>
      <c r="D11" s="88" t="n">
        <f aca="false">IFERROR(C11/$C$5,"")</f>
        <v>0.0388493456555391</v>
      </c>
      <c r="E11" s="35" t="n">
        <v>17605421</v>
      </c>
      <c r="F11" s="88" t="n">
        <f aca="false">IFERROR(E11/$E$5,"")</f>
        <v>0.0143036986544098</v>
      </c>
      <c r="G11" s="35" t="n">
        <v>21688139</v>
      </c>
      <c r="H11" s="88" t="n">
        <f aca="false">IFERROR(G11/$G$5,"")</f>
        <v>0.0679158559252888</v>
      </c>
      <c r="I11" s="35"/>
      <c r="J11" s="88" t="str">
        <f aca="false">IFERROR(I11/$I$5,"")</f>
        <v/>
      </c>
      <c r="K11" s="35"/>
      <c r="L11" s="88" t="str">
        <f aca="false">IFERROR(K11/$K$5,"")</f>
        <v/>
      </c>
    </row>
    <row r="12" customFormat="false" ht="22.5" hidden="false" customHeight="true" outlineLevel="0" collapsed="false">
      <c r="B12" s="120" t="s">
        <v>141</v>
      </c>
      <c r="C12" s="60" t="n">
        <v>4820065</v>
      </c>
      <c r="D12" s="88" t="n">
        <f aca="false">IFERROR(C12/$C$5,"")</f>
        <v>0.0125706092619089</v>
      </c>
      <c r="E12" s="35" t="n">
        <v>12667849</v>
      </c>
      <c r="F12" s="88" t="n">
        <f aca="false">IFERROR(E12/$E$5,"")</f>
        <v>0.0102921193816136</v>
      </c>
      <c r="G12" s="35" t="n">
        <v>349720</v>
      </c>
      <c r="H12" s="88" t="n">
        <f aca="false">IFERROR(G12/$G$5,"")</f>
        <v>0.00109513928946103</v>
      </c>
      <c r="I12" s="35"/>
      <c r="J12" s="88" t="str">
        <f aca="false">IFERROR(I12/$I$5,"")</f>
        <v/>
      </c>
      <c r="K12" s="35"/>
      <c r="L12" s="88" t="str">
        <f aca="false">IFERROR(K12/$K$5,"")</f>
        <v/>
      </c>
    </row>
    <row r="13" customFormat="false" ht="22.5" hidden="false" customHeight="true" outlineLevel="0" collapsed="false">
      <c r="B13" s="120" t="s">
        <v>142</v>
      </c>
      <c r="C13" s="60"/>
      <c r="D13" s="88" t="n">
        <f aca="false">IFERROR(C13/$C$5,"")</f>
        <v>0</v>
      </c>
      <c r="E13" s="35"/>
      <c r="F13" s="88" t="n">
        <f aca="false">IFERROR(E13/$E$5,"")</f>
        <v>0</v>
      </c>
      <c r="G13" s="35"/>
      <c r="H13" s="88" t="n">
        <f aca="false">IFERROR(G13/$G$5,"")</f>
        <v>0</v>
      </c>
      <c r="I13" s="35"/>
      <c r="J13" s="88" t="str">
        <f aca="false">IFERROR(I13/$I$5,"")</f>
        <v/>
      </c>
      <c r="K13" s="35"/>
      <c r="L13" s="88" t="str">
        <f aca="false">IFERROR(K13/$K$5,"")</f>
        <v/>
      </c>
    </row>
    <row r="14" customFormat="false" ht="22.5" hidden="false" customHeight="true" outlineLevel="0" collapsed="false">
      <c r="B14" s="120" t="s">
        <v>143</v>
      </c>
      <c r="C14" s="60" t="n">
        <v>8665567</v>
      </c>
      <c r="D14" s="88" t="n">
        <f aca="false">IFERROR(C14/$C$5,"")</f>
        <v>0.0225995825346529</v>
      </c>
      <c r="E14" s="35" t="n">
        <v>3622074</v>
      </c>
      <c r="F14" s="88" t="n">
        <f aca="false">IFERROR(E14/$E$5,"")</f>
        <v>0.00294278989408847</v>
      </c>
      <c r="G14" s="35" t="n">
        <v>3114486</v>
      </c>
      <c r="H14" s="88" t="n">
        <f aca="false">IFERROR(G14/$G$5,"")</f>
        <v>0.00975293373291868</v>
      </c>
      <c r="I14" s="35"/>
      <c r="J14" s="88" t="str">
        <f aca="false">IFERROR(I14/$I$5,"")</f>
        <v/>
      </c>
      <c r="K14" s="35"/>
      <c r="L14" s="88" t="str">
        <f aca="false">IFERROR(K14/$K$5,"")</f>
        <v/>
      </c>
    </row>
    <row r="15" customFormat="false" ht="22.5" hidden="false" customHeight="true" outlineLevel="0" collapsed="false">
      <c r="B15" s="120" t="s">
        <v>144</v>
      </c>
      <c r="C15" s="60" t="n">
        <v>12094761</v>
      </c>
      <c r="D15" s="88" t="n">
        <f aca="false">IFERROR(C15/$C$5,"")</f>
        <v>0.031542834930063</v>
      </c>
      <c r="E15" s="35" t="n">
        <v>7886267</v>
      </c>
      <c r="F15" s="88" t="n">
        <f aca="false">IFERROR(E15/$E$5,"")</f>
        <v>0.0064072757292323</v>
      </c>
      <c r="G15" s="35" t="n">
        <v>8256277</v>
      </c>
      <c r="H15" s="88" t="n">
        <f aca="false">IFERROR(G15/$G$5,"")</f>
        <v>0.0258543215354381</v>
      </c>
      <c r="I15" s="35"/>
      <c r="J15" s="88" t="str">
        <f aca="false">IFERROR(I15/$I$5,"")</f>
        <v/>
      </c>
      <c r="K15" s="35"/>
      <c r="L15" s="88" t="str">
        <f aca="false">IFERROR(K15/$K$5,"")</f>
        <v/>
      </c>
    </row>
    <row r="16" customFormat="false" ht="22.5" hidden="false" customHeight="true" outlineLevel="0" collapsed="false">
      <c r="B16" s="120" t="s">
        <v>145</v>
      </c>
      <c r="C16" s="60" t="n">
        <v>4459042</v>
      </c>
      <c r="D16" s="88" t="n">
        <f aca="false">IFERROR(C16/$C$5,"")</f>
        <v>0.0116290702852432</v>
      </c>
      <c r="E16" s="35" t="n">
        <v>13621116</v>
      </c>
      <c r="F16" s="88" t="n">
        <f aca="false">IFERROR(E16/$E$5,"")</f>
        <v>0.0110666105968588</v>
      </c>
      <c r="G16" s="35" t="n">
        <v>6127921</v>
      </c>
      <c r="H16" s="88" t="n">
        <f aca="false">IFERROR(G16/$G$5,"")</f>
        <v>0.0191894288282435</v>
      </c>
      <c r="I16" s="35"/>
      <c r="J16" s="88" t="str">
        <f aca="false">IFERROR(I16/$I$5,"")</f>
        <v/>
      </c>
      <c r="K16" s="35"/>
      <c r="L16" s="88" t="str">
        <f aca="false">IFERROR(K16/$K$5,"")</f>
        <v/>
      </c>
    </row>
    <row r="17" customFormat="false" ht="22.5" hidden="false" customHeight="true" outlineLevel="0" collapsed="false">
      <c r="B17" s="120" t="s">
        <v>146</v>
      </c>
      <c r="C17" s="60" t="n">
        <v>26496901</v>
      </c>
      <c r="D17" s="88" t="n">
        <f aca="false">IFERROR(C17/$C$5,"")</f>
        <v>0.0691032567242314</v>
      </c>
      <c r="E17" s="35" t="n">
        <v>25381508</v>
      </c>
      <c r="F17" s="88" t="n">
        <f aca="false">IFERROR(E17/$E$5,"")</f>
        <v>0.0206214575514265</v>
      </c>
      <c r="G17" s="35" t="n">
        <v>13893115</v>
      </c>
      <c r="H17" s="88" t="n">
        <f aca="false">IFERROR(G17/$G$5,"")</f>
        <v>0.0435059364334335</v>
      </c>
      <c r="I17" s="35"/>
      <c r="J17" s="88" t="str">
        <f aca="false">IFERROR(I17/$I$5,"")</f>
        <v/>
      </c>
      <c r="K17" s="35"/>
      <c r="L17" s="88" t="str">
        <f aca="false">IFERROR(K17/$K$5,"")</f>
        <v/>
      </c>
    </row>
    <row r="18" customFormat="false" ht="22.5" hidden="false" customHeight="true" outlineLevel="0" collapsed="false">
      <c r="B18" s="120" t="s">
        <v>147</v>
      </c>
      <c r="C18" s="60" t="n">
        <v>6754902</v>
      </c>
      <c r="D18" s="88" t="n">
        <f aca="false">IFERROR(C18/$C$5,"")</f>
        <v>0.0176166158847415</v>
      </c>
      <c r="E18" s="35" t="n">
        <v>9642116</v>
      </c>
      <c r="F18" s="88" t="n">
        <f aca="false">IFERROR(E18/$E$5,"")</f>
        <v>0.00783383263909813</v>
      </c>
      <c r="G18" s="35" t="n">
        <v>4553800</v>
      </c>
      <c r="H18" s="88" t="n">
        <f aca="false">IFERROR(G18/$G$5,"")</f>
        <v>0.0142601089338546</v>
      </c>
      <c r="I18" s="35"/>
      <c r="J18" s="88" t="str">
        <f aca="false">IFERROR(I18/$I$5,"")</f>
        <v/>
      </c>
      <c r="K18" s="35"/>
      <c r="L18" s="88" t="str">
        <f aca="false">IFERROR(K18/$K$5,"")</f>
        <v/>
      </c>
    </row>
    <row r="19" customFormat="false" ht="22.5" hidden="false" customHeight="true" outlineLevel="0" collapsed="false">
      <c r="B19" s="120" t="s">
        <v>148</v>
      </c>
      <c r="C19" s="60" t="n">
        <v>3417904</v>
      </c>
      <c r="D19" s="88" t="n">
        <f aca="false">IFERROR(C19/$C$5,"")</f>
        <v>0.00891380835708966</v>
      </c>
      <c r="E19" s="35" t="n">
        <v>3153229</v>
      </c>
      <c r="F19" s="88" t="n">
        <f aca="false">IFERROR(E19/$E$5,"")</f>
        <v>0.00256187213042767</v>
      </c>
      <c r="G19" s="35" t="n">
        <v>0</v>
      </c>
      <c r="H19" s="88" t="n">
        <f aca="false">IFERROR(G19/$G$5,"")</f>
        <v>0</v>
      </c>
      <c r="I19" s="35"/>
      <c r="J19" s="88" t="str">
        <f aca="false">IFERROR(I19/$I$5,"")</f>
        <v/>
      </c>
      <c r="K19" s="35"/>
      <c r="L19" s="88" t="str">
        <f aca="false">IFERROR(K19/$K$5,"")</f>
        <v/>
      </c>
    </row>
    <row r="20" customFormat="false" ht="22.5" hidden="false" customHeight="true" outlineLevel="0" collapsed="false">
      <c r="B20" s="120" t="s">
        <v>149</v>
      </c>
      <c r="C20" s="60" t="n">
        <v>94180</v>
      </c>
      <c r="D20" s="88" t="n">
        <f aca="false">IFERROR(C20/$C$5,"")</f>
        <v>0.000245619090258446</v>
      </c>
      <c r="E20" s="35" t="n">
        <v>219320</v>
      </c>
      <c r="F20" s="88" t="n">
        <f aca="false">IFERROR(E20/$E$5,"")</f>
        <v>0.000178188706131206</v>
      </c>
      <c r="G20" s="35" t="n">
        <v>664014</v>
      </c>
      <c r="H20" s="88" t="n">
        <f aca="false">IFERROR(G20/$G$5,"")</f>
        <v>0.00207934296051749</v>
      </c>
      <c r="I20" s="35"/>
      <c r="J20" s="88" t="str">
        <f aca="false">IFERROR(I20/$I$5,"")</f>
        <v/>
      </c>
      <c r="K20" s="35"/>
      <c r="L20" s="88" t="str">
        <f aca="false">IFERROR(K20/$K$5,"")</f>
        <v/>
      </c>
    </row>
    <row r="21" customFormat="false" ht="22.5" hidden="false" customHeight="true" outlineLevel="0" collapsed="false">
      <c r="B21" s="120" t="s">
        <v>150</v>
      </c>
      <c r="C21" s="60" t="n">
        <v>1009720</v>
      </c>
      <c r="D21" s="88" t="n">
        <f aca="false">IFERROR(C21/$C$5,"")</f>
        <v>0.00263332456801612</v>
      </c>
      <c r="E21" s="35" t="n">
        <v>953882</v>
      </c>
      <c r="F21" s="88" t="n">
        <f aca="false">IFERROR(E21/$E$5,"")</f>
        <v>0.000774990878086117</v>
      </c>
      <c r="G21" s="35" t="n">
        <v>836193</v>
      </c>
      <c r="H21" s="88" t="n">
        <f aca="false">IFERROR(G21/$G$5,"")</f>
        <v>0.00261851712190405</v>
      </c>
      <c r="I21" s="35"/>
      <c r="J21" s="88" t="str">
        <f aca="false">IFERROR(I21/$I$5,"")</f>
        <v/>
      </c>
      <c r="K21" s="35"/>
      <c r="L21" s="88" t="str">
        <f aca="false">IFERROR(K21/$K$5,"")</f>
        <v/>
      </c>
    </row>
    <row r="22" customFormat="false" ht="22.5" hidden="false" customHeight="true" outlineLevel="0" collapsed="false">
      <c r="B22" s="120" t="s">
        <v>151</v>
      </c>
      <c r="C22" s="60" t="n">
        <v>28000</v>
      </c>
      <c r="D22" s="88" t="n">
        <f aca="false">IFERROR(C22/$C$5,"")</f>
        <v>7.30233014147005E-005</v>
      </c>
      <c r="E22" s="35" t="n">
        <v>60000</v>
      </c>
      <c r="F22" s="88" t="n">
        <f aca="false">IFERROR(E22/$E$5,"")</f>
        <v>4.87475942361498E-005</v>
      </c>
      <c r="G22" s="35" t="n">
        <v>60000</v>
      </c>
      <c r="H22" s="88" t="n">
        <f aca="false">IFERROR(G22/$G$5,"")</f>
        <v>0.000187888474687355</v>
      </c>
      <c r="I22" s="35"/>
      <c r="J22" s="88" t="str">
        <f aca="false">IFERROR(I22/$I$5,"")</f>
        <v/>
      </c>
      <c r="K22" s="35"/>
      <c r="L22" s="88" t="str">
        <f aca="false">IFERROR(K22/$K$5,"")</f>
        <v/>
      </c>
    </row>
    <row r="23" customFormat="false" ht="22.5" hidden="false" customHeight="true" outlineLevel="0" collapsed="false">
      <c r="B23" s="120" t="s">
        <v>152</v>
      </c>
      <c r="C23" s="60" t="n">
        <v>966665</v>
      </c>
      <c r="D23" s="88" t="n">
        <f aca="false">IFERROR(C23/$C$5,"")</f>
        <v>0.00252103820221577</v>
      </c>
      <c r="E23" s="35" t="n">
        <v>159400</v>
      </c>
      <c r="F23" s="88" t="n">
        <f aca="false">IFERROR(E23/$E$5,"")</f>
        <v>0.000129506108687371</v>
      </c>
      <c r="G23" s="35" t="n">
        <v>653731</v>
      </c>
      <c r="H23" s="88" t="n">
        <f aca="false">IFERROR(G23/$G$5,"")</f>
        <v>0.00204714200743065</v>
      </c>
      <c r="I23" s="35"/>
      <c r="J23" s="88" t="str">
        <f aca="false">IFERROR(I23/$I$5,"")</f>
        <v/>
      </c>
      <c r="K23" s="35"/>
      <c r="L23" s="88" t="str">
        <f aca="false">IFERROR(K23/$K$5,"")</f>
        <v/>
      </c>
    </row>
    <row r="24" customFormat="false" ht="22.5" hidden="false" customHeight="true" outlineLevel="0" collapsed="false">
      <c r="B24" s="120" t="s">
        <v>153</v>
      </c>
      <c r="C24" s="60"/>
      <c r="D24" s="88" t="n">
        <f aca="false">IFERROR(C24/$C$5,"")</f>
        <v>0</v>
      </c>
      <c r="E24" s="35"/>
      <c r="F24" s="88" t="n">
        <f aca="false">IFERROR(E24/$E$5,"")</f>
        <v>0</v>
      </c>
      <c r="G24" s="35"/>
      <c r="H24" s="88" t="n">
        <f aca="false">IFERROR(G24/$G$5,"")</f>
        <v>0</v>
      </c>
      <c r="I24" s="35"/>
      <c r="J24" s="88" t="str">
        <f aca="false">IFERROR(I24/$I$5,"")</f>
        <v/>
      </c>
      <c r="K24" s="35"/>
      <c r="L24" s="88" t="str">
        <f aca="false">IFERROR(K24/$K$5,"")</f>
        <v/>
      </c>
    </row>
    <row r="25" customFormat="false" ht="22.5" hidden="false" customHeight="true" outlineLevel="0" collapsed="false">
      <c r="B25" s="120" t="s">
        <v>154</v>
      </c>
      <c r="C25" s="60" t="n">
        <v>3456</v>
      </c>
      <c r="D25" s="88" t="n">
        <f aca="false">IFERROR(C25/$C$5,"")</f>
        <v>9.01316177461446E-006</v>
      </c>
      <c r="E25" s="35" t="n">
        <v>0</v>
      </c>
      <c r="F25" s="88" t="n">
        <f aca="false">IFERROR(E25/$E$5,"")</f>
        <v>0</v>
      </c>
      <c r="G25" s="35" t="n">
        <v>0</v>
      </c>
      <c r="H25" s="88" t="n">
        <f aca="false">IFERROR(G25/$G$5,"")</f>
        <v>0</v>
      </c>
      <c r="I25" s="35"/>
      <c r="J25" s="88" t="str">
        <f aca="false">IFERROR(I25/$I$5,"")</f>
        <v/>
      </c>
      <c r="K25" s="35"/>
      <c r="L25" s="88" t="str">
        <f aca="false">IFERROR(K25/$K$5,"")</f>
        <v/>
      </c>
    </row>
    <row r="26" customFormat="false" ht="22.5" hidden="false" customHeight="true" outlineLevel="0" collapsed="false">
      <c r="B26" s="120" t="s">
        <v>155</v>
      </c>
      <c r="C26" s="60" t="n">
        <v>1181195</v>
      </c>
      <c r="D26" s="88" t="n">
        <f aca="false">IFERROR(C26/$C$5,"")</f>
        <v>0.0030805270898049</v>
      </c>
      <c r="E26" s="35" t="n">
        <v>7140452</v>
      </c>
      <c r="F26" s="88" t="n">
        <f aca="false">IFERROR(E26/$E$5,"")</f>
        <v>0.0058013309459784</v>
      </c>
      <c r="G26" s="35" t="n">
        <v>1368052</v>
      </c>
      <c r="H26" s="88" t="n">
        <f aca="false">IFERROR(G26/$G$5,"")</f>
        <v>0.00428402005954975</v>
      </c>
      <c r="I26" s="35"/>
      <c r="J26" s="88" t="str">
        <f aca="false">IFERROR(I26/$I$5,"")</f>
        <v/>
      </c>
      <c r="K26" s="35"/>
      <c r="L26" s="88" t="str">
        <f aca="false">IFERROR(K26/$K$5,"")</f>
        <v/>
      </c>
    </row>
    <row r="27" customFormat="false" ht="22.5" hidden="false" customHeight="true" outlineLevel="0" collapsed="false">
      <c r="B27" s="120" t="s">
        <v>156</v>
      </c>
      <c r="C27" s="60" t="n">
        <v>291880</v>
      </c>
      <c r="D27" s="88" t="n">
        <f aca="false">IFERROR(C27/$C$5,"")</f>
        <v>0.000761215757747242</v>
      </c>
      <c r="E27" s="35" t="n">
        <v>380301</v>
      </c>
      <c r="F27" s="88" t="n">
        <f aca="false">IFERROR(E27/$E$5,"")</f>
        <v>0.0003089793139267</v>
      </c>
      <c r="G27" s="35" t="n">
        <v>235205</v>
      </c>
      <c r="H27" s="88" t="n">
        <f aca="false">IFERROR(G27/$G$5,"")</f>
        <v>0.000736538478147321</v>
      </c>
      <c r="I27" s="35"/>
      <c r="J27" s="88" t="str">
        <f aca="false">IFERROR(I27/$I$5,"")</f>
        <v/>
      </c>
      <c r="K27" s="35"/>
      <c r="L27" s="88" t="str">
        <f aca="false">IFERROR(K27/$K$5,"")</f>
        <v/>
      </c>
    </row>
    <row r="28" customFormat="false" ht="22.5" hidden="false" customHeight="true" outlineLevel="0" collapsed="false">
      <c r="B28" s="120" t="s">
        <v>157</v>
      </c>
      <c r="C28" s="60" t="n">
        <v>6144296</v>
      </c>
      <c r="D28" s="88" t="n">
        <f aca="false">IFERROR(C28/$C$5,"")</f>
        <v>0.0160241706710407</v>
      </c>
      <c r="E28" s="35" t="n">
        <v>3207403</v>
      </c>
      <c r="F28" s="88" t="n">
        <f aca="false">IFERROR(E28/$E$5,"")</f>
        <v>0.00260588633326349</v>
      </c>
      <c r="G28" s="35" t="n">
        <v>2296521</v>
      </c>
      <c r="H28" s="88" t="n">
        <f aca="false">IFERROR(G28/$G$5,"")</f>
        <v>0.00719149712962464</v>
      </c>
      <c r="I28" s="35"/>
      <c r="J28" s="88" t="str">
        <f aca="false">IFERROR(I28/$I$5,"")</f>
        <v/>
      </c>
      <c r="K28" s="35"/>
      <c r="L28" s="88" t="str">
        <f aca="false">IFERROR(K28/$K$5,"")</f>
        <v/>
      </c>
    </row>
    <row r="29" customFormat="false" ht="22.5" hidden="false" customHeight="true" outlineLevel="0" collapsed="false">
      <c r="B29" s="120" t="s">
        <v>158</v>
      </c>
      <c r="C29" s="60" t="n">
        <v>649000</v>
      </c>
      <c r="D29" s="88" t="n">
        <f aca="false">IFERROR(C29/$C$5,"")</f>
        <v>0.00169257580779074</v>
      </c>
      <c r="E29" s="35" t="n">
        <v>292026</v>
      </c>
      <c r="F29" s="88" t="n">
        <f aca="false">IFERROR(E29/$E$5,"")</f>
        <v>0.000237259415906765</v>
      </c>
      <c r="G29" s="35" t="n">
        <v>58411</v>
      </c>
      <c r="H29" s="88" t="n">
        <f aca="false">IFERROR(G29/$G$5,"")</f>
        <v>0.000182912561582718</v>
      </c>
      <c r="I29" s="35"/>
      <c r="J29" s="88" t="str">
        <f aca="false">IFERROR(I29/$I$5,"")</f>
        <v/>
      </c>
      <c r="K29" s="35"/>
      <c r="L29" s="88" t="str">
        <f aca="false">IFERROR(K29/$K$5,"")</f>
        <v/>
      </c>
    </row>
    <row r="30" customFormat="false" ht="22.5" hidden="false" customHeight="true" outlineLevel="0" collapsed="false">
      <c r="B30" s="120" t="s">
        <v>159</v>
      </c>
      <c r="C30" s="60" t="n">
        <v>3050293</v>
      </c>
      <c r="D30" s="88" t="n">
        <f aca="false">IFERROR(C30/$C$5,"")</f>
        <v>0.00795508804079111</v>
      </c>
      <c r="E30" s="35" t="n">
        <v>5275153</v>
      </c>
      <c r="F30" s="88" t="n">
        <f aca="false">IFERROR(E30/$E$5,"")</f>
        <v>0.0042858502996268</v>
      </c>
      <c r="G30" s="35" t="n">
        <v>27249</v>
      </c>
      <c r="H30" s="88" t="n">
        <f aca="false">IFERROR(G30/$G$5,"")</f>
        <v>8.53295507792621E-005</v>
      </c>
      <c r="I30" s="35"/>
      <c r="J30" s="88" t="str">
        <f aca="false">IFERROR(I30/$I$5,"")</f>
        <v/>
      </c>
      <c r="K30" s="35"/>
      <c r="L30" s="88" t="str">
        <f aca="false">IFERROR(K30/$K$5,"")</f>
        <v/>
      </c>
    </row>
    <row r="31" customFormat="false" ht="22.5" hidden="false" customHeight="true" outlineLevel="0" collapsed="false">
      <c r="B31" s="120" t="s">
        <v>160</v>
      </c>
      <c r="C31" s="60" t="n">
        <v>4469601</v>
      </c>
      <c r="D31" s="88" t="n">
        <f aca="false">IFERROR(C31/$C$5,"")</f>
        <v>0.0116566078938017</v>
      </c>
      <c r="E31" s="35" t="n">
        <v>6976250</v>
      </c>
      <c r="F31" s="88" t="n">
        <f aca="false">IFERROR(E31/$E$5,"")</f>
        <v>0.00566792340483233</v>
      </c>
      <c r="G31" s="35" t="n">
        <v>1295640</v>
      </c>
      <c r="H31" s="88" t="n">
        <f aca="false">IFERROR(G31/$G$5,"")</f>
        <v>0.00405726372239874</v>
      </c>
      <c r="I31" s="35"/>
      <c r="J31" s="88" t="str">
        <f aca="false">IFERROR(I31/$I$5,"")</f>
        <v/>
      </c>
      <c r="K31" s="35"/>
      <c r="L31" s="88" t="str">
        <f aca="false">IFERROR(K31/$K$5,"")</f>
        <v/>
      </c>
    </row>
    <row r="32" customFormat="false" ht="22.5" hidden="false" customHeight="true" outlineLevel="0" collapsed="false">
      <c r="B32" s="120" t="s">
        <v>161</v>
      </c>
      <c r="C32" s="60" t="n">
        <v>45273</v>
      </c>
      <c r="D32" s="88" t="n">
        <f aca="false">IFERROR(C32/$C$5,"")</f>
        <v>0.000118070854462419</v>
      </c>
      <c r="E32" s="35" t="n">
        <v>0</v>
      </c>
      <c r="F32" s="88" t="n">
        <f aca="false">IFERROR(E32/$E$5,"")</f>
        <v>0</v>
      </c>
      <c r="G32" s="35" t="n">
        <v>0</v>
      </c>
      <c r="H32" s="88" t="n">
        <f aca="false">IFERROR(G32/$G$5,"")</f>
        <v>0</v>
      </c>
      <c r="I32" s="35"/>
      <c r="J32" s="88" t="str">
        <f aca="false">IFERROR(I32/$I$5,"")</f>
        <v/>
      </c>
      <c r="K32" s="35"/>
      <c r="L32" s="88" t="str">
        <f aca="false">IFERROR(K32/$K$5,"")</f>
        <v/>
      </c>
    </row>
    <row r="33" customFormat="false" ht="22.5" hidden="false" customHeight="true" outlineLevel="0" collapsed="false">
      <c r="B33" s="120" t="s">
        <v>162</v>
      </c>
      <c r="C33" s="60" t="n">
        <v>4347132</v>
      </c>
      <c r="D33" s="88" t="n">
        <f aca="false">IFERROR(C33/$C$5,"")</f>
        <v>0.0113372117973389</v>
      </c>
      <c r="E33" s="35" t="n">
        <v>1928280</v>
      </c>
      <c r="F33" s="88" t="n">
        <f aca="false">IFERROR(E33/$E$5,"")</f>
        <v>0.00156665018356138</v>
      </c>
      <c r="G33" s="35" t="n">
        <v>686448</v>
      </c>
      <c r="H33" s="88" t="n">
        <f aca="false">IFERROR(G33/$G$5,"")</f>
        <v>0.00214959446120309</v>
      </c>
      <c r="I33" s="35"/>
      <c r="J33" s="88" t="str">
        <f aca="false">IFERROR(I33/$I$5,"")</f>
        <v/>
      </c>
      <c r="K33" s="35"/>
      <c r="L33" s="88" t="str">
        <f aca="false">IFERROR(K33/$K$5,"")</f>
        <v/>
      </c>
    </row>
    <row r="34" customFormat="false" ht="22.5" hidden="false" customHeight="true" outlineLevel="0" collapsed="false">
      <c r="B34" s="120" t="s">
        <v>163</v>
      </c>
      <c r="C34" s="60" t="n">
        <v>13797260</v>
      </c>
      <c r="D34" s="88" t="n">
        <f aca="false">IFERROR(C34/$C$5,"")</f>
        <v>0.0359829098456068</v>
      </c>
      <c r="E34" s="35" t="n">
        <v>10744470</v>
      </c>
      <c r="F34" s="88" t="n">
        <f aca="false">IFERROR(E34/$E$5,"")</f>
        <v>0.0087294510640414</v>
      </c>
      <c r="G34" s="35" t="n">
        <v>10212056</v>
      </c>
      <c r="H34" s="88" t="n">
        <f aca="false">IFERROR(G34/$G$5,"")</f>
        <v>0.0319787937543641</v>
      </c>
      <c r="I34" s="35"/>
      <c r="J34" s="88" t="str">
        <f aca="false">IFERROR(I34/$I$5,"")</f>
        <v/>
      </c>
      <c r="K34" s="35"/>
      <c r="L34" s="88" t="str">
        <f aca="false">IFERROR(K34/$K$5,"")</f>
        <v/>
      </c>
    </row>
    <row r="35" customFormat="false" ht="22.5" hidden="false" customHeight="true" outlineLevel="0" collapsed="false">
      <c r="B35" s="120" t="s">
        <v>164</v>
      </c>
      <c r="C35" s="60" t="n">
        <v>0</v>
      </c>
      <c r="D35" s="88" t="n">
        <f aca="false">IFERROR(C35/$C$5,"")</f>
        <v>0</v>
      </c>
      <c r="E35" s="35" t="n">
        <v>500</v>
      </c>
      <c r="F35" s="88" t="n">
        <f aca="false">IFERROR(E35/$E$5,"")</f>
        <v>4.06229951967915E-007</v>
      </c>
      <c r="G35" s="35" t="n">
        <v>0</v>
      </c>
      <c r="H35" s="88" t="n">
        <f aca="false">IFERROR(G35/$G$5,"")</f>
        <v>0</v>
      </c>
      <c r="I35" s="35"/>
      <c r="J35" s="88" t="str">
        <f aca="false">IFERROR(I35/$I$5,"")</f>
        <v/>
      </c>
      <c r="K35" s="35"/>
      <c r="L35" s="88" t="str">
        <f aca="false">IFERROR(K35/$K$5,"")</f>
        <v/>
      </c>
    </row>
    <row r="36" customFormat="false" ht="22.5" hidden="false" customHeight="true" outlineLevel="0" collapsed="false">
      <c r="B36" s="120"/>
      <c r="C36" s="60"/>
      <c r="D36" s="88" t="n">
        <f aca="false">IFERROR(C36/$C$5,"")</f>
        <v>0</v>
      </c>
      <c r="E36" s="35"/>
      <c r="F36" s="88" t="n">
        <f aca="false">IFERROR(E36/$E$5,"")</f>
        <v>0</v>
      </c>
      <c r="G36" s="35"/>
      <c r="H36" s="88" t="n">
        <f aca="false">IFERROR(G36/$G$5,"")</f>
        <v>0</v>
      </c>
      <c r="I36" s="35"/>
      <c r="J36" s="88" t="str">
        <f aca="false">IFERROR(I36/$I$5,"")</f>
        <v/>
      </c>
      <c r="K36" s="35"/>
      <c r="L36" s="88" t="str">
        <f aca="false">IFERROR(K36/$K$5,"")</f>
        <v/>
      </c>
    </row>
    <row r="37" customFormat="false" ht="22.5" hidden="false" customHeight="true" outlineLevel="0" collapsed="false">
      <c r="B37" s="120"/>
      <c r="C37" s="60"/>
      <c r="D37" s="88" t="n">
        <f aca="false">IFERROR(C37/$C$5,"")</f>
        <v>0</v>
      </c>
      <c r="E37" s="35"/>
      <c r="F37" s="88" t="n">
        <f aca="false">IFERROR(E37/$E$5,"")</f>
        <v>0</v>
      </c>
      <c r="G37" s="35"/>
      <c r="H37" s="88" t="n">
        <f aca="false">IFERROR(G37/$G$5,"")</f>
        <v>0</v>
      </c>
      <c r="I37" s="35"/>
      <c r="J37" s="88" t="str">
        <f aca="false">IFERROR(I37/$I$5,"")</f>
        <v/>
      </c>
      <c r="K37" s="35"/>
      <c r="L37" s="88" t="str">
        <f aca="false">IFERROR(K37/$K$5,"")</f>
        <v/>
      </c>
    </row>
    <row r="38" customFormat="false" ht="22.5" hidden="false" customHeight="true" outlineLevel="0" collapsed="false">
      <c r="B38" s="120"/>
      <c r="C38" s="60"/>
      <c r="D38" s="88" t="n">
        <f aca="false">IFERROR(C38/$C$5,"")</f>
        <v>0</v>
      </c>
      <c r="E38" s="35"/>
      <c r="F38" s="88" t="n">
        <f aca="false">IFERROR(E38/$E$5,"")</f>
        <v>0</v>
      </c>
      <c r="G38" s="35"/>
      <c r="H38" s="88" t="n">
        <f aca="false">IFERROR(G38/$G$5,"")</f>
        <v>0</v>
      </c>
      <c r="I38" s="35"/>
      <c r="J38" s="88" t="str">
        <f aca="false">IFERROR(I38/$I$5,"")</f>
        <v/>
      </c>
      <c r="K38" s="35"/>
      <c r="L38" s="88" t="str">
        <f aca="false">IFERROR(K38/$K$5,"")</f>
        <v/>
      </c>
    </row>
    <row r="39" customFormat="false" ht="22.5" hidden="false" customHeight="true" outlineLevel="0" collapsed="false">
      <c r="B39" s="120"/>
      <c r="C39" s="60"/>
      <c r="D39" s="88" t="n">
        <f aca="false">IFERROR(C39/$C$5,"")</f>
        <v>0</v>
      </c>
      <c r="E39" s="35"/>
      <c r="F39" s="88" t="n">
        <f aca="false">IFERROR(E39/$E$5,"")</f>
        <v>0</v>
      </c>
      <c r="G39" s="35"/>
      <c r="H39" s="88" t="n">
        <f aca="false">IFERROR(G39/$G$5,"")</f>
        <v>0</v>
      </c>
      <c r="I39" s="35"/>
      <c r="J39" s="88" t="str">
        <f aca="false">IFERROR(I39/$I$5,"")</f>
        <v/>
      </c>
      <c r="K39" s="35"/>
      <c r="L39" s="88" t="str">
        <f aca="false">IFERROR(K39/$K$5,"")</f>
        <v/>
      </c>
    </row>
    <row r="40" customFormat="false" ht="22.5" hidden="false" customHeight="true" outlineLevel="0" collapsed="false">
      <c r="B40" s="134" t="s">
        <v>165</v>
      </c>
      <c r="C40" s="135" t="n">
        <f aca="false">SUM(C6:C39)</f>
        <v>283551728</v>
      </c>
      <c r="D40" s="136" t="n">
        <f aca="false">IFERROR(C40/C5,"")</f>
        <v>0.739495832157256</v>
      </c>
      <c r="E40" s="137" t="n">
        <f aca="false">SUM(E6:E39)</f>
        <v>273060341</v>
      </c>
      <c r="F40" s="136" t="n">
        <f aca="false">IFERROR(E40/E5,"")</f>
        <v>0.221850578417545</v>
      </c>
      <c r="G40" s="137" t="n">
        <f aca="false">SUM(G6:G39)</f>
        <v>222261444</v>
      </c>
      <c r="H40" s="136" t="n">
        <f aca="false">IFERROR(G40/G5,"")</f>
        <v>0.696006061582815</v>
      </c>
      <c r="I40" s="137" t="n">
        <f aca="false">SUM(I6:I39)</f>
        <v>0</v>
      </c>
      <c r="J40" s="136" t="str">
        <f aca="false">IFERROR(I40/I5,"")</f>
        <v/>
      </c>
      <c r="K40" s="137" t="n">
        <f aca="false">SUM(K6:K39)</f>
        <v>0</v>
      </c>
      <c r="L40" s="136" t="str">
        <f aca="false">IFERROR(K40/K5,"")</f>
        <v/>
      </c>
    </row>
    <row r="41" customFormat="false" ht="18" hidden="false" customHeight="false" outlineLevel="0" collapsed="false">
      <c r="B41" s="46"/>
      <c r="C41" s="129"/>
      <c r="D41" s="19"/>
      <c r="E41" s="131"/>
      <c r="F41" s="19"/>
      <c r="G41" s="131"/>
      <c r="H41" s="19"/>
      <c r="I41" s="131"/>
      <c r="J41" s="19"/>
      <c r="K41" s="131"/>
      <c r="L41" s="19"/>
    </row>
    <row r="42" customFormat="false" ht="18" hidden="false" customHeight="false" outlineLevel="0" collapsed="false">
      <c r="B42" s="46"/>
      <c r="C42" s="129"/>
      <c r="D42" s="19"/>
      <c r="E42" s="131"/>
      <c r="F42" s="19"/>
      <c r="G42" s="131"/>
      <c r="H42" s="19"/>
      <c r="I42" s="131"/>
      <c r="J42" s="19"/>
      <c r="K42" s="131"/>
      <c r="L42" s="19"/>
    </row>
    <row r="43" customFormat="false" ht="18" hidden="false" customHeight="false" outlineLevel="0" collapsed="false">
      <c r="B43" s="46"/>
      <c r="C43" s="129"/>
      <c r="D43" s="19"/>
      <c r="E43" s="131"/>
      <c r="F43" s="19"/>
      <c r="G43" s="131"/>
      <c r="H43" s="19"/>
      <c r="I43" s="131"/>
      <c r="J43" s="19"/>
      <c r="K43" s="131"/>
      <c r="L43" s="19"/>
    </row>
    <row r="44" customFormat="false" ht="18" hidden="false" customHeight="false" outlineLevel="0" collapsed="false">
      <c r="B44" s="46"/>
      <c r="C44" s="129"/>
      <c r="D44" s="19"/>
      <c r="E44" s="131"/>
      <c r="F44" s="19"/>
      <c r="G44" s="131"/>
      <c r="H44" s="19"/>
      <c r="I44" s="131"/>
      <c r="J44" s="19"/>
      <c r="K44" s="131"/>
      <c r="L44" s="19"/>
    </row>
    <row r="45" customFormat="false" ht="18" hidden="false" customHeight="false" outlineLevel="0" collapsed="false">
      <c r="B45" s="46"/>
      <c r="C45" s="129"/>
      <c r="D45" s="19"/>
      <c r="E45" s="131"/>
      <c r="F45" s="19"/>
      <c r="G45" s="131"/>
      <c r="H45" s="19"/>
      <c r="I45" s="131"/>
      <c r="J45" s="19"/>
      <c r="K45" s="131"/>
      <c r="L45" s="19"/>
    </row>
    <row r="46" customFormat="false" ht="18" hidden="false" customHeight="false" outlineLevel="0" collapsed="false">
      <c r="B46" s="46"/>
      <c r="C46" s="129"/>
      <c r="D46" s="19"/>
      <c r="E46" s="131"/>
      <c r="F46" s="19"/>
      <c r="G46" s="131"/>
      <c r="H46" s="19"/>
      <c r="I46" s="131"/>
      <c r="J46" s="19"/>
      <c r="K46" s="131"/>
      <c r="L46" s="19"/>
    </row>
    <row r="47" customFormat="false" ht="18" hidden="false" customHeight="false" outlineLevel="0" collapsed="false">
      <c r="B47" s="46"/>
      <c r="C47" s="129"/>
      <c r="D47" s="19"/>
      <c r="E47" s="131"/>
      <c r="F47" s="19"/>
      <c r="G47" s="131"/>
      <c r="H47" s="19"/>
      <c r="I47" s="131"/>
      <c r="J47" s="19"/>
      <c r="K47" s="131"/>
      <c r="L47" s="19"/>
    </row>
    <row r="48" customFormat="false" ht="18" hidden="false" customHeight="false" outlineLevel="0" collapsed="false">
      <c r="B48" s="46"/>
      <c r="C48" s="129"/>
      <c r="D48" s="19"/>
      <c r="E48" s="131"/>
      <c r="F48" s="19"/>
      <c r="G48" s="131"/>
      <c r="H48" s="19"/>
      <c r="I48" s="131"/>
      <c r="J48" s="19"/>
      <c r="K48" s="131"/>
      <c r="L48" s="19"/>
    </row>
    <row r="49" customFormat="false" ht="18" hidden="false" customHeight="false" outlineLevel="0" collapsed="false">
      <c r="C49" s="43"/>
      <c r="E49" s="43"/>
      <c r="G49" s="43"/>
      <c r="I49" s="76"/>
      <c r="K49" s="43"/>
    </row>
    <row r="50" customFormat="false" ht="18" hidden="false" customHeight="false" outlineLevel="0" collapsed="false">
      <c r="C50" s="43"/>
      <c r="E50" s="43"/>
      <c r="G50" s="43"/>
      <c r="I50" s="76"/>
      <c r="K50" s="43"/>
    </row>
    <row r="51" customFormat="false" ht="18" hidden="false" customHeight="false" outlineLevel="0" collapsed="false">
      <c r="C51" s="43"/>
      <c r="E51" s="43"/>
      <c r="G51" s="43"/>
      <c r="I51" s="76"/>
      <c r="K51" s="43"/>
    </row>
    <row r="52" customFormat="false" ht="18" hidden="false" customHeight="false" outlineLevel="0" collapsed="false">
      <c r="C52" s="43"/>
      <c r="E52" s="43"/>
      <c r="G52" s="43"/>
      <c r="I52" s="76"/>
      <c r="K52" s="43"/>
    </row>
    <row r="53" customFormat="false" ht="18" hidden="false" customHeight="false" outlineLevel="0" collapsed="false">
      <c r="C53" s="43"/>
      <c r="E53" s="43"/>
      <c r="G53" s="43"/>
      <c r="I53" s="76"/>
      <c r="K53" s="43"/>
    </row>
    <row r="54" customFormat="false" ht="18" hidden="false" customHeight="false" outlineLevel="0" collapsed="false">
      <c r="C54" s="43"/>
      <c r="E54"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3125" defaultRowHeight="18" zeroHeight="false" outlineLevelRow="0" outlineLevelCol="0"/>
  <cols>
    <col collapsed="false" customWidth="true" hidden="false" outlineLevel="0" max="6" min="2" style="20" width="18.6"/>
  </cols>
  <sheetData>
    <row r="1" customFormat="false" ht="18" hidden="false" customHeight="false" outlineLevel="0" collapsed="false">
      <c r="A1" s="138" t="s">
        <v>166</v>
      </c>
    </row>
    <row r="2" customFormat="false" ht="18" hidden="false" customHeight="false" outlineLevel="0" collapsed="false">
      <c r="F2" s="47" t="s">
        <v>59</v>
      </c>
    </row>
    <row r="3" customFormat="false" ht="21.75" hidden="false" customHeight="true" outlineLevel="0" collapsed="false">
      <c r="B3" s="139"/>
      <c r="C3" s="140" t="s">
        <v>167</v>
      </c>
      <c r="D3" s="83" t="s">
        <v>168</v>
      </c>
      <c r="E3" s="141" t="s">
        <v>169</v>
      </c>
      <c r="F3" s="141"/>
    </row>
    <row r="4" customFormat="false" ht="31.5" hidden="false" customHeight="true" outlineLevel="0" collapsed="false">
      <c r="B4" s="142" t="s">
        <v>170</v>
      </c>
      <c r="C4" s="143" t="n">
        <v>0</v>
      </c>
      <c r="D4" s="144" t="n">
        <v>0</v>
      </c>
      <c r="E4" s="144" t="n">
        <v>0</v>
      </c>
      <c r="F4" s="143" t="n">
        <v>100</v>
      </c>
      <c r="I4" s="2" t="s">
        <v>171</v>
      </c>
    </row>
    <row r="5" customFormat="false" ht="31.5" hidden="false" customHeight="true" outlineLevel="0" collapsed="false">
      <c r="B5" s="142" t="s">
        <v>172</v>
      </c>
      <c r="C5" s="144" t="n">
        <f aca="false">MAX(0,'EV EBITDAマルチプル'!K7)</f>
        <v>0</v>
      </c>
      <c r="D5" s="145" t="n">
        <f aca="false">E5-C5</f>
        <v>0</v>
      </c>
      <c r="E5" s="144" t="n">
        <f aca="false">MAX(0,'EV EBITDAマルチプル'!M7)</f>
        <v>0</v>
      </c>
      <c r="F5" s="143" t="n">
        <v>0</v>
      </c>
    </row>
    <row r="6" customFormat="false" ht="31.5" hidden="false" customHeight="true" outlineLevel="0" collapsed="false">
      <c r="B6" s="146" t="s">
        <v>173</v>
      </c>
      <c r="C6" s="143" t="n">
        <f aca="false">年買法!K6</f>
        <v>320002051</v>
      </c>
      <c r="D6" s="145" t="n">
        <f aca="false">E6-C6</f>
        <v>0</v>
      </c>
      <c r="E6" s="143" t="n">
        <f aca="false">年買法!M6</f>
        <v>320002051</v>
      </c>
      <c r="F6" s="143" t="n">
        <v>0</v>
      </c>
    </row>
    <row r="7" customFormat="false" ht="31.5" hidden="false" customHeight="true" outlineLevel="0" collapsed="false"/>
    <row r="8" customFormat="false" ht="15" hidden="false" customHeight="true" outlineLevel="0" collapsed="false"/>
    <row r="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E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E5" activeCellId="0" sqref="E5"/>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5" min="3" style="20" width="16.1"/>
  </cols>
  <sheetData>
    <row r="2" customFormat="false" ht="18" hidden="false" customHeight="false" outlineLevel="0" collapsed="false">
      <c r="E2" s="47" t="s">
        <v>59</v>
      </c>
    </row>
    <row r="3" customFormat="false" ht="27.75" hidden="false" customHeight="true" outlineLevel="0" collapsed="false">
      <c r="B3" s="8" t="s">
        <v>5</v>
      </c>
      <c r="C3" s="8"/>
      <c r="D3" s="8"/>
      <c r="E3" s="8"/>
    </row>
    <row r="4" customFormat="false" ht="19.5" hidden="false" customHeight="true" outlineLevel="0" collapsed="false">
      <c r="B4" s="9" t="s">
        <v>6</v>
      </c>
      <c r="C4" s="140" t="str">
        <f aca="false">'BS(借方)'!E4</f>
        <v>令和8年3月期</v>
      </c>
      <c r="D4" s="11" t="s">
        <v>174</v>
      </c>
      <c r="E4" s="12" t="s">
        <v>175</v>
      </c>
    </row>
    <row r="5" customFormat="false" ht="22.5" hidden="false" customHeight="true" outlineLevel="0" collapsed="false">
      <c r="B5" s="13" t="s">
        <v>9</v>
      </c>
      <c r="C5" s="14" t="n">
        <f aca="false">SUM(C6:C19)</f>
        <v>293198020</v>
      </c>
      <c r="D5" s="14" t="n">
        <f aca="false">SUM(D6:D19)</f>
        <v>0</v>
      </c>
      <c r="E5" s="15" t="n">
        <f aca="false">C5+D5</f>
        <v>293198020</v>
      </c>
    </row>
    <row r="6" customFormat="false" ht="22.5" hidden="false" customHeight="true" outlineLevel="0" collapsed="false">
      <c r="B6" s="16" t="s">
        <v>10</v>
      </c>
      <c r="C6" s="17" t="n">
        <f aca="false">'BS(借方)'!E6</f>
        <v>226057309</v>
      </c>
      <c r="D6" s="17"/>
      <c r="E6" s="18" t="n">
        <f aca="false">C6+D6</f>
        <v>226057309</v>
      </c>
    </row>
    <row r="7" customFormat="false" ht="22.5" hidden="false" customHeight="true" outlineLevel="0" collapsed="false">
      <c r="B7" s="16" t="s">
        <v>21</v>
      </c>
      <c r="C7" s="17" t="n">
        <f aca="false">'BS(借方)'!E7</f>
        <v>0</v>
      </c>
      <c r="D7" s="17"/>
      <c r="E7" s="18" t="n">
        <f aca="false">C7+D7</f>
        <v>0</v>
      </c>
    </row>
    <row r="8" customFormat="false" ht="22.5" hidden="false" customHeight="true" outlineLevel="0" collapsed="false">
      <c r="B8" s="16" t="s">
        <v>22</v>
      </c>
      <c r="C8" s="17" t="n">
        <f aca="false">'BS(借方)'!E8</f>
        <v>28512083</v>
      </c>
      <c r="D8" s="17"/>
      <c r="E8" s="18" t="n">
        <f aca="false">C8+D8</f>
        <v>28512083</v>
      </c>
    </row>
    <row r="9" customFormat="false" ht="22.5" hidden="false" customHeight="true" outlineLevel="0" collapsed="false">
      <c r="B9" s="16" t="s">
        <v>23</v>
      </c>
      <c r="C9" s="17" t="n">
        <f aca="false">'BS(借方)'!E9</f>
        <v>0</v>
      </c>
      <c r="D9" s="17"/>
      <c r="E9" s="18" t="n">
        <f aca="false">C9+D9</f>
        <v>0</v>
      </c>
    </row>
    <row r="10" customFormat="false" ht="22.5" hidden="false" customHeight="true" outlineLevel="0" collapsed="false">
      <c r="B10" s="16" t="s">
        <v>24</v>
      </c>
      <c r="C10" s="17" t="n">
        <f aca="false">'BS(借方)'!E10</f>
        <v>0</v>
      </c>
      <c r="D10" s="17"/>
      <c r="E10" s="18" t="n">
        <f aca="false">C10+D10</f>
        <v>0</v>
      </c>
    </row>
    <row r="11" customFormat="false" ht="22.5" hidden="false" customHeight="true" outlineLevel="0" collapsed="false">
      <c r="B11" s="16" t="s">
        <v>25</v>
      </c>
      <c r="C11" s="17" t="n">
        <f aca="false">'BS(借方)'!E11</f>
        <v>0</v>
      </c>
      <c r="D11" s="17"/>
      <c r="E11" s="18" t="n">
        <f aca="false">C11+D11</f>
        <v>0</v>
      </c>
    </row>
    <row r="12" customFormat="false" ht="22.5" hidden="false" customHeight="true" outlineLevel="0" collapsed="false">
      <c r="B12" s="16" t="s">
        <v>26</v>
      </c>
      <c r="C12" s="17" t="n">
        <f aca="false">'BS(借方)'!E12</f>
        <v>18507883</v>
      </c>
      <c r="D12" s="17"/>
      <c r="E12" s="18" t="n">
        <f aca="false">C12+D12</f>
        <v>18507883</v>
      </c>
    </row>
    <row r="13" customFormat="false" ht="22.5" hidden="false" customHeight="true" outlineLevel="0" collapsed="false">
      <c r="B13" s="16" t="s">
        <v>27</v>
      </c>
      <c r="C13" s="17" t="n">
        <f aca="false">'BS(借方)'!E13</f>
        <v>0</v>
      </c>
      <c r="D13" s="17"/>
      <c r="E13" s="18" t="n">
        <f aca="false">C13+D13</f>
        <v>0</v>
      </c>
    </row>
    <row r="14" customFormat="false" ht="22.5" hidden="false" customHeight="true" outlineLevel="0" collapsed="false">
      <c r="B14" s="16" t="s">
        <v>28</v>
      </c>
      <c r="C14" s="17" t="n">
        <f aca="false">'BS(借方)'!E14</f>
        <v>0</v>
      </c>
      <c r="D14" s="17"/>
      <c r="E14" s="18" t="n">
        <f aca="false">C14+D14</f>
        <v>0</v>
      </c>
    </row>
    <row r="15" customFormat="false" ht="22.5" hidden="false" customHeight="true" outlineLevel="0" collapsed="false">
      <c r="B15" s="16" t="s">
        <v>29</v>
      </c>
      <c r="C15" s="17" t="n">
        <f aca="false">'BS(借方)'!E15</f>
        <v>8532000</v>
      </c>
      <c r="D15" s="17"/>
      <c r="E15" s="18" t="n">
        <f aca="false">C15+D15</f>
        <v>8532000</v>
      </c>
    </row>
    <row r="16" customFormat="false" ht="22.5" hidden="false" customHeight="true" outlineLevel="0" collapsed="false">
      <c r="B16" s="16" t="s">
        <v>30</v>
      </c>
      <c r="C16" s="17" t="n">
        <f aca="false">'BS(借方)'!E16</f>
        <v>710345</v>
      </c>
      <c r="D16" s="17"/>
      <c r="E16" s="18" t="n">
        <f aca="false">C16+D16</f>
        <v>710345</v>
      </c>
    </row>
    <row r="17" customFormat="false" ht="22.5" hidden="false" customHeight="true" outlineLevel="0" collapsed="false">
      <c r="B17" s="16" t="s">
        <v>31</v>
      </c>
      <c r="C17" s="17" t="n">
        <f aca="false">'BS(借方)'!E17</f>
        <v>0</v>
      </c>
      <c r="D17" s="17"/>
      <c r="E17" s="18" t="n">
        <f aca="false">C17+D17</f>
        <v>0</v>
      </c>
    </row>
    <row r="18" customFormat="false" ht="22.5" hidden="false" customHeight="true" outlineLevel="0" collapsed="false">
      <c r="B18" s="16" t="s">
        <v>32</v>
      </c>
      <c r="C18" s="17" t="n">
        <f aca="false">'BS(借方)'!E18</f>
        <v>10878400</v>
      </c>
      <c r="D18" s="17"/>
      <c r="E18" s="18" t="n">
        <f aca="false">C18+D18</f>
        <v>10878400</v>
      </c>
    </row>
    <row r="19" customFormat="false" ht="22.5" hidden="false" customHeight="true" outlineLevel="0" collapsed="false">
      <c r="B19" s="30"/>
      <c r="C19" s="55" t="n">
        <f aca="false">'BS(借方)'!E19</f>
        <v>0</v>
      </c>
      <c r="D19" s="55"/>
      <c r="E19" s="18" t="n">
        <f aca="false">C19+D19</f>
        <v>0</v>
      </c>
    </row>
    <row r="20" customFormat="false" ht="22.5" hidden="false" customHeight="true" outlineLevel="0" collapsed="false">
      <c r="B20" s="13" t="s">
        <v>33</v>
      </c>
      <c r="C20" s="137" t="n">
        <f aca="false">C21+C35+C46</f>
        <v>503310970</v>
      </c>
      <c r="D20" s="137" t="n">
        <f aca="false">D21+D35+D46</f>
        <v>0</v>
      </c>
      <c r="E20" s="147" t="n">
        <f aca="false">C20+D20</f>
        <v>503310970</v>
      </c>
    </row>
    <row r="21" customFormat="false" ht="22.5" hidden="false" customHeight="true" outlineLevel="0" collapsed="false">
      <c r="B21" s="32" t="s">
        <v>34</v>
      </c>
      <c r="C21" s="34" t="n">
        <f aca="false">SUM(C22:C34)</f>
        <v>490145870</v>
      </c>
      <c r="D21" s="34" t="n">
        <f aca="false">SUM(D22:D34)</f>
        <v>0</v>
      </c>
      <c r="E21" s="148" t="n">
        <f aca="false">C21+D21</f>
        <v>490145870</v>
      </c>
    </row>
    <row r="22" customFormat="false" ht="22.5" hidden="false" customHeight="true" outlineLevel="0" collapsed="false">
      <c r="B22" s="16" t="s">
        <v>35</v>
      </c>
      <c r="C22" s="17" t="n">
        <f aca="false">'BS(借方)'!E22</f>
        <v>118721091</v>
      </c>
      <c r="D22" s="17"/>
      <c r="E22" s="18" t="n">
        <f aca="false">C22+D22</f>
        <v>118721091</v>
      </c>
    </row>
    <row r="23" customFormat="false" ht="22.5" hidden="false" customHeight="true" outlineLevel="0" collapsed="false">
      <c r="B23" s="16" t="s">
        <v>36</v>
      </c>
      <c r="C23" s="17" t="n">
        <f aca="false">'BS(借方)'!E23</f>
        <v>20091490</v>
      </c>
      <c r="D23" s="17"/>
      <c r="E23" s="18" t="n">
        <f aca="false">C23+D23</f>
        <v>20091490</v>
      </c>
    </row>
    <row r="24" customFormat="false" ht="22.5" hidden="false" customHeight="true" outlineLevel="0" collapsed="false">
      <c r="B24" s="16" t="s">
        <v>37</v>
      </c>
      <c r="C24" s="17" t="n">
        <f aca="false">'BS(借方)'!E24</f>
        <v>0</v>
      </c>
      <c r="D24" s="17"/>
      <c r="E24" s="18" t="n">
        <f aca="false">C24+D24</f>
        <v>0</v>
      </c>
    </row>
    <row r="25" customFormat="false" ht="22.5" hidden="false" customHeight="true" outlineLevel="0" collapsed="false">
      <c r="B25" s="16" t="s">
        <v>38</v>
      </c>
      <c r="C25" s="17" t="n">
        <f aca="false">'BS(借方)'!E25</f>
        <v>0</v>
      </c>
      <c r="D25" s="17"/>
      <c r="E25" s="18" t="n">
        <f aca="false">C25+D25</f>
        <v>0</v>
      </c>
    </row>
    <row r="26" customFormat="false" ht="22.5" hidden="false" customHeight="true" outlineLevel="0" collapsed="false">
      <c r="B26" s="16" t="s">
        <v>39</v>
      </c>
      <c r="C26" s="17" t="n">
        <f aca="false">'BS(借方)'!E26</f>
        <v>5394909</v>
      </c>
      <c r="D26" s="17"/>
      <c r="E26" s="18" t="n">
        <f aca="false">C26+D26</f>
        <v>5394909</v>
      </c>
    </row>
    <row r="27" customFormat="false" ht="22.5" hidden="false" customHeight="true" outlineLevel="0" collapsed="false">
      <c r="B27" s="16" t="s">
        <v>40</v>
      </c>
      <c r="C27" s="17" t="n">
        <f aca="false">'BS(借方)'!E27</f>
        <v>908754</v>
      </c>
      <c r="D27" s="17"/>
      <c r="E27" s="18" t="n">
        <f aca="false">C27+D27</f>
        <v>908754</v>
      </c>
    </row>
    <row r="28" customFormat="false" ht="22.5" hidden="false" customHeight="true" outlineLevel="0" collapsed="false">
      <c r="B28" s="16" t="s">
        <v>41</v>
      </c>
      <c r="C28" s="17" t="n">
        <f aca="false">'BS(借方)'!E28</f>
        <v>0</v>
      </c>
      <c r="D28" s="17"/>
      <c r="E28" s="18" t="n">
        <f aca="false">C28+D28</f>
        <v>0</v>
      </c>
    </row>
    <row r="29" customFormat="false" ht="22.5" hidden="false" customHeight="true" outlineLevel="0" collapsed="false">
      <c r="B29" s="16" t="s">
        <v>42</v>
      </c>
      <c r="C29" s="17" t="n">
        <f aca="false">'BS(借方)'!E29</f>
        <v>345029626</v>
      </c>
      <c r="D29" s="17"/>
      <c r="E29" s="18" t="n">
        <f aca="false">C29+D29</f>
        <v>345029626</v>
      </c>
    </row>
    <row r="30" customFormat="false" ht="22.5" hidden="false" customHeight="true" outlineLevel="0" collapsed="false">
      <c r="B30" s="16" t="s">
        <v>43</v>
      </c>
      <c r="C30" s="17" t="n">
        <f aca="false">'BS(借方)'!E30</f>
        <v>0</v>
      </c>
      <c r="D30" s="17"/>
      <c r="E30" s="18" t="n">
        <f aca="false">C30+D30</f>
        <v>0</v>
      </c>
    </row>
    <row r="31" customFormat="false" ht="22.5" hidden="false" customHeight="true" outlineLevel="0" collapsed="false">
      <c r="B31" s="16"/>
      <c r="C31" s="17" t="n">
        <f aca="false">'BS(借方)'!E31</f>
        <v>0</v>
      </c>
      <c r="D31" s="17"/>
      <c r="E31" s="18" t="n">
        <f aca="false">C31+D31</f>
        <v>0</v>
      </c>
    </row>
    <row r="32" customFormat="false" ht="22.5" hidden="false" customHeight="true" outlineLevel="0" collapsed="false">
      <c r="B32" s="16"/>
      <c r="C32" s="17" t="n">
        <f aca="false">'BS(借方)'!E32</f>
        <v>0</v>
      </c>
      <c r="D32" s="17"/>
      <c r="E32" s="18" t="n">
        <f aca="false">C32+D32</f>
        <v>0</v>
      </c>
    </row>
    <row r="33" customFormat="false" ht="22.5" hidden="false" customHeight="true" outlineLevel="0" collapsed="false">
      <c r="B33" s="16"/>
      <c r="C33" s="17" t="n">
        <f aca="false">'BS(借方)'!E33</f>
        <v>0</v>
      </c>
      <c r="D33" s="17"/>
      <c r="E33" s="18" t="n">
        <f aca="false">C33+D33</f>
        <v>0</v>
      </c>
    </row>
    <row r="34" customFormat="false" ht="22.5" hidden="false" customHeight="true" outlineLevel="0" collapsed="false">
      <c r="B34" s="30"/>
      <c r="C34" s="55" t="n">
        <f aca="false">'BS(借方)'!E34</f>
        <v>0</v>
      </c>
      <c r="D34" s="55"/>
      <c r="E34" s="18" t="n">
        <f aca="false">C34+D34</f>
        <v>0</v>
      </c>
    </row>
    <row r="35" customFormat="false" ht="22.5" hidden="false" customHeight="true" outlineLevel="0" collapsed="false">
      <c r="B35" s="32" t="s">
        <v>44</v>
      </c>
      <c r="C35" s="149" t="n">
        <f aca="false">SUM(C36:C45)</f>
        <v>0</v>
      </c>
      <c r="D35" s="150" t="n">
        <f aca="false">SUM(D36:D45)</f>
        <v>0</v>
      </c>
      <c r="E35" s="151" t="n">
        <f aca="false">C35+D35</f>
        <v>0</v>
      </c>
    </row>
    <row r="36" customFormat="false" ht="21.75" hidden="false" customHeight="true" outlineLevel="0" collapsed="false">
      <c r="B36" s="16" t="s">
        <v>45</v>
      </c>
      <c r="C36" s="17" t="n">
        <f aca="false">'BS(借方)'!E36</f>
        <v>0</v>
      </c>
      <c r="D36" s="17"/>
      <c r="E36" s="18" t="n">
        <f aca="false">C36+D36</f>
        <v>0</v>
      </c>
    </row>
    <row r="37" customFormat="false" ht="21.75" hidden="false" customHeight="true" outlineLevel="0" collapsed="false">
      <c r="B37" s="16" t="s">
        <v>46</v>
      </c>
      <c r="C37" s="17" t="n">
        <f aca="false">'BS(借方)'!E37</f>
        <v>0</v>
      </c>
      <c r="D37" s="17"/>
      <c r="E37" s="18" t="n">
        <f aca="false">C37+D37</f>
        <v>0</v>
      </c>
    </row>
    <row r="38" customFormat="false" ht="21.75" hidden="false" customHeight="true" outlineLevel="0" collapsed="false">
      <c r="B38" s="16" t="s">
        <v>47</v>
      </c>
      <c r="C38" s="17" t="n">
        <f aca="false">'BS(借方)'!E38</f>
        <v>0</v>
      </c>
      <c r="D38" s="17"/>
      <c r="E38" s="18" t="n">
        <f aca="false">C38+D38</f>
        <v>0</v>
      </c>
    </row>
    <row r="39" customFormat="false" ht="21.75" hidden="false" customHeight="true" outlineLevel="0" collapsed="false">
      <c r="B39" s="16"/>
      <c r="C39" s="17" t="n">
        <f aca="false">'BS(借方)'!E39</f>
        <v>0</v>
      </c>
      <c r="D39" s="17"/>
      <c r="E39" s="18" t="n">
        <f aca="false">C39+D39</f>
        <v>0</v>
      </c>
    </row>
    <row r="40" customFormat="false" ht="21.75" hidden="false" customHeight="true" outlineLevel="0" collapsed="false">
      <c r="B40" s="16"/>
      <c r="C40" s="17" t="n">
        <f aca="false">'BS(借方)'!E40</f>
        <v>0</v>
      </c>
      <c r="D40" s="17"/>
      <c r="E40" s="18" t="n">
        <f aca="false">C40+D40</f>
        <v>0</v>
      </c>
    </row>
    <row r="41" customFormat="false" ht="21.75" hidden="false" customHeight="true" outlineLevel="0" collapsed="false">
      <c r="B41" s="16"/>
      <c r="C41" s="17" t="n">
        <f aca="false">'BS(借方)'!E41</f>
        <v>0</v>
      </c>
      <c r="D41" s="17"/>
      <c r="E41" s="18" t="n">
        <f aca="false">C41+D41</f>
        <v>0</v>
      </c>
    </row>
    <row r="42" customFormat="false" ht="21.75" hidden="false" customHeight="true" outlineLevel="0" collapsed="false">
      <c r="B42" s="16"/>
      <c r="C42" s="17" t="n">
        <f aca="false">'BS(借方)'!E42</f>
        <v>0</v>
      </c>
      <c r="D42" s="17"/>
      <c r="E42" s="18" t="n">
        <f aca="false">C42+D42</f>
        <v>0</v>
      </c>
    </row>
    <row r="43" customFormat="false" ht="21.75" hidden="false" customHeight="true" outlineLevel="0" collapsed="false">
      <c r="B43" s="16"/>
      <c r="C43" s="17" t="n">
        <f aca="false">'BS(借方)'!E43</f>
        <v>0</v>
      </c>
      <c r="D43" s="17"/>
      <c r="E43" s="18" t="n">
        <f aca="false">C43+D43</f>
        <v>0</v>
      </c>
    </row>
    <row r="44" customFormat="false" ht="21.75" hidden="false" customHeight="true" outlineLevel="0" collapsed="false">
      <c r="B44" s="16"/>
      <c r="C44" s="17" t="n">
        <f aca="false">'BS(借方)'!E44</f>
        <v>0</v>
      </c>
      <c r="D44" s="17"/>
      <c r="E44" s="18" t="n">
        <f aca="false">C44+D44</f>
        <v>0</v>
      </c>
    </row>
    <row r="45" customFormat="false" ht="21.75" hidden="false" customHeight="true" outlineLevel="0" collapsed="false">
      <c r="B45" s="30"/>
      <c r="C45" s="55" t="n">
        <f aca="false">'BS(借方)'!E45</f>
        <v>0</v>
      </c>
      <c r="D45" s="55"/>
      <c r="E45" s="18" t="n">
        <f aca="false">C45+D45</f>
        <v>0</v>
      </c>
    </row>
    <row r="46" customFormat="false" ht="21.75" hidden="false" customHeight="true" outlineLevel="0" collapsed="false">
      <c r="B46" s="32" t="s">
        <v>48</v>
      </c>
      <c r="C46" s="152" t="n">
        <f aca="false">SUM(C47:C54)</f>
        <v>13165100</v>
      </c>
      <c r="D46" s="153" t="n">
        <f aca="false">SUM(D47:D54)</f>
        <v>0</v>
      </c>
      <c r="E46" s="154" t="n">
        <f aca="false">C46+D46</f>
        <v>13165100</v>
      </c>
    </row>
    <row r="47" customFormat="false" ht="22.5" hidden="false" customHeight="true" outlineLevel="0" collapsed="false">
      <c r="B47" s="155" t="s">
        <v>49</v>
      </c>
      <c r="C47" s="17" t="n">
        <f aca="false">'BS(借方)'!E47</f>
        <v>5000</v>
      </c>
      <c r="D47" s="17"/>
      <c r="E47" s="18" t="n">
        <f aca="false">C47+D47</f>
        <v>5000</v>
      </c>
    </row>
    <row r="48" customFormat="false" ht="22.5" hidden="false" customHeight="true" outlineLevel="0" collapsed="false">
      <c r="B48" s="155" t="s">
        <v>50</v>
      </c>
      <c r="C48" s="17" t="n">
        <f aca="false">'BS(借方)'!E48</f>
        <v>0</v>
      </c>
      <c r="D48" s="17"/>
      <c r="E48" s="18" t="n">
        <f aca="false">C48+D48</f>
        <v>0</v>
      </c>
    </row>
    <row r="49" customFormat="false" ht="22.5" hidden="false" customHeight="true" outlineLevel="0" collapsed="false">
      <c r="B49" s="155" t="s">
        <v>51</v>
      </c>
      <c r="C49" s="17" t="n">
        <f aca="false">'BS(借方)'!E49</f>
        <v>0</v>
      </c>
      <c r="D49" s="17"/>
      <c r="E49" s="18" t="n">
        <f aca="false">C49+D49</f>
        <v>0</v>
      </c>
    </row>
    <row r="50" customFormat="false" ht="22.5" hidden="false" customHeight="true" outlineLevel="0" collapsed="false">
      <c r="B50" s="155" t="s">
        <v>52</v>
      </c>
      <c r="C50" s="17" t="n">
        <f aca="false">'BS(借方)'!E50</f>
        <v>0</v>
      </c>
      <c r="D50" s="17"/>
      <c r="E50" s="18" t="n">
        <f aca="false">C50+D50</f>
        <v>0</v>
      </c>
    </row>
    <row r="51" customFormat="false" ht="22.5" hidden="false" customHeight="true" outlineLevel="0" collapsed="false">
      <c r="B51" s="16" t="s">
        <v>53</v>
      </c>
      <c r="C51" s="17" t="n">
        <f aca="false">'BS(借方)'!E51</f>
        <v>13160100</v>
      </c>
      <c r="D51" s="17"/>
      <c r="E51" s="18" t="n">
        <f aca="false">C51+D51</f>
        <v>13160100</v>
      </c>
    </row>
    <row r="52" customFormat="false" ht="22.5" hidden="false" customHeight="true" outlineLevel="0" collapsed="false">
      <c r="B52" s="16" t="s">
        <v>54</v>
      </c>
      <c r="C52" s="17" t="n">
        <f aca="false">'BS(借方)'!E52</f>
        <v>0</v>
      </c>
      <c r="D52" s="17"/>
      <c r="E52" s="18" t="n">
        <f aca="false">C52+D52</f>
        <v>0</v>
      </c>
    </row>
    <row r="53" customFormat="false" ht="22.5" hidden="false" customHeight="true" outlineLevel="0" collapsed="false">
      <c r="B53" s="155"/>
      <c r="C53" s="17" t="n">
        <f aca="false">'BS(借方)'!E53</f>
        <v>0</v>
      </c>
      <c r="D53" s="17"/>
      <c r="E53" s="18" t="n">
        <f aca="false">C53+D53</f>
        <v>0</v>
      </c>
    </row>
    <row r="54" customFormat="false" ht="22.5" hidden="false" customHeight="true" outlineLevel="0" collapsed="false">
      <c r="B54" s="155"/>
      <c r="C54" s="17" t="n">
        <f aca="false">'BS(借方)'!E54</f>
        <v>0</v>
      </c>
      <c r="D54" s="17"/>
      <c r="E54" s="18" t="n">
        <f aca="false">C54+D54</f>
        <v>0</v>
      </c>
    </row>
    <row r="55" customFormat="false" ht="21.75" hidden="false" customHeight="true" outlineLevel="0" collapsed="false">
      <c r="B55" s="156" t="s">
        <v>55</v>
      </c>
      <c r="C55" s="40" t="n">
        <f aca="false">SUM(C56:C59)</f>
        <v>0</v>
      </c>
      <c r="D55" s="40" t="n">
        <f aca="false">SUM(D56:D59)</f>
        <v>0</v>
      </c>
      <c r="E55" s="157" t="n">
        <f aca="false">C55+D55</f>
        <v>0</v>
      </c>
    </row>
    <row r="56" customFormat="false" ht="21.75" hidden="false" customHeight="true" outlineLevel="0" collapsed="false">
      <c r="B56" s="158" t="s">
        <v>56</v>
      </c>
      <c r="C56" s="159" t="n">
        <f aca="false">'BS(借方)'!E57</f>
        <v>0</v>
      </c>
      <c r="D56" s="160"/>
      <c r="E56" s="161" t="n">
        <f aca="false">C56+D56</f>
        <v>0</v>
      </c>
    </row>
    <row r="57" customFormat="false" ht="21.75" hidden="false" customHeight="true" outlineLevel="0" collapsed="false">
      <c r="B57" s="155"/>
      <c r="C57" s="162" t="n">
        <f aca="false">'BS(借方)'!E58</f>
        <v>0</v>
      </c>
      <c r="D57" s="162"/>
      <c r="E57" s="18" t="n">
        <f aca="false">C57+D57</f>
        <v>0</v>
      </c>
    </row>
    <row r="58" customFormat="false" ht="21.75" hidden="false" customHeight="true" outlineLevel="0" collapsed="false">
      <c r="B58" s="155"/>
      <c r="C58" s="162" t="n">
        <f aca="false">'BS(借方)'!E59</f>
        <v>0</v>
      </c>
      <c r="D58" s="162"/>
      <c r="E58" s="18" t="n">
        <f aca="false">C58+D58</f>
        <v>0</v>
      </c>
    </row>
    <row r="59" customFormat="false" ht="21.75" hidden="false" customHeight="true" outlineLevel="0" collapsed="false">
      <c r="B59" s="163"/>
      <c r="C59" s="164" t="n">
        <f aca="false">'BS(借方)'!E60</f>
        <v>0</v>
      </c>
      <c r="D59" s="164"/>
      <c r="E59" s="165" t="n">
        <f aca="false">C59+D59</f>
        <v>0</v>
      </c>
    </row>
    <row r="60" customFormat="false" ht="21.75" hidden="false" customHeight="true" outlineLevel="0" collapsed="false">
      <c r="B60" s="166" t="s">
        <v>176</v>
      </c>
      <c r="C60" s="167" t="n">
        <v>0</v>
      </c>
      <c r="D60" s="167" t="n">
        <f aca="false">税効果!E18</f>
        <v>3558003</v>
      </c>
      <c r="E60" s="168" t="n">
        <f aca="false">C60+D60</f>
        <v>3558003</v>
      </c>
    </row>
    <row r="61" customFormat="false" ht="22.5" hidden="false" customHeight="true" outlineLevel="0" collapsed="false">
      <c r="B61" s="41" t="s">
        <v>57</v>
      </c>
      <c r="C61" s="169" t="n">
        <f aca="false">C5+C20+C55+C60</f>
        <v>796508990</v>
      </c>
      <c r="D61" s="169" t="n">
        <f aca="false">D5+D20+D55+D60</f>
        <v>3558003</v>
      </c>
      <c r="E61" s="170" t="n">
        <f aca="false">C61+D61</f>
        <v>800066993</v>
      </c>
    </row>
    <row r="62" customFormat="false" ht="18" hidden="false" customHeight="false" outlineLevel="0" collapsed="false">
      <c r="C62" s="171"/>
      <c r="D62" s="171"/>
      <c r="E62" s="171"/>
    </row>
    <row r="63" customFormat="false" ht="18" hidden="false" customHeight="false" outlineLevel="0" collapsed="false">
      <c r="C63" s="171"/>
      <c r="D63" s="171"/>
      <c r="E63" s="171"/>
    </row>
    <row r="64" customFormat="false" ht="18" hidden="false" customHeight="false" outlineLevel="0" collapsed="false">
      <c r="C64" s="171"/>
      <c r="D64" s="171"/>
      <c r="E64" s="171"/>
    </row>
    <row r="65" customFormat="false" ht="18" hidden="false" customHeight="false" outlineLevel="0" collapsed="false">
      <c r="C65" s="171"/>
      <c r="D65" s="171"/>
      <c r="E65" s="171"/>
    </row>
    <row r="66" customFormat="false" ht="18" hidden="false" customHeight="false" outlineLevel="0" collapsed="false">
      <c r="C66" s="171"/>
      <c r="D66" s="171"/>
      <c r="E66" s="171"/>
    </row>
    <row r="67" customFormat="false" ht="18" hidden="false" customHeight="false" outlineLevel="0" collapsed="false">
      <c r="C67" s="171"/>
      <c r="D67" s="171"/>
      <c r="E67" s="171"/>
    </row>
    <row r="68" customFormat="false" ht="18" hidden="false" customHeight="false" outlineLevel="0" collapsed="false">
      <c r="C68" s="171"/>
      <c r="D68" s="171"/>
      <c r="E68" s="171"/>
    </row>
    <row r="69" customFormat="false" ht="18" hidden="false" customHeight="false" outlineLevel="0" collapsed="false">
      <c r="C69" s="171"/>
      <c r="D69" s="171"/>
      <c r="E69" s="171"/>
    </row>
    <row r="70" customFormat="false" ht="18" hidden="false" customHeight="false" outlineLevel="0" collapsed="false">
      <c r="C70" s="171"/>
      <c r="D70" s="171"/>
      <c r="E70" s="171"/>
    </row>
    <row r="71" customFormat="false" ht="18" hidden="false" customHeight="false" outlineLevel="0" collapsed="false">
      <c r="C71" s="171"/>
      <c r="D71" s="171"/>
      <c r="E71" s="171"/>
    </row>
    <row r="72" customFormat="false" ht="18" hidden="false" customHeight="false" outlineLevel="0" collapsed="false">
      <c r="C72" s="171"/>
      <c r="D72" s="171"/>
      <c r="E72" s="171"/>
    </row>
    <row r="73" customFormat="false" ht="18" hidden="false" customHeight="false" outlineLevel="0" collapsed="false">
      <c r="C73" s="171"/>
      <c r="D73" s="171"/>
      <c r="E73" s="171"/>
    </row>
    <row r="74" customFormat="false" ht="18" hidden="false" customHeight="false" outlineLevel="0" collapsed="false">
      <c r="C74" s="171"/>
      <c r="D74" s="171"/>
      <c r="E74" s="171"/>
    </row>
    <row r="75" customFormat="false" ht="18" hidden="false" customHeight="false" outlineLevel="0" collapsed="false">
      <c r="C75" s="171"/>
      <c r="D75" s="171"/>
      <c r="E75" s="171"/>
    </row>
    <row r="76" customFormat="false" ht="18" hidden="false" customHeight="false" outlineLevel="0" collapsed="false">
      <c r="C76" s="171"/>
      <c r="D76" s="171"/>
      <c r="E76" s="171"/>
    </row>
    <row r="77" customFormat="false" ht="18" hidden="false" customHeight="false" outlineLevel="0" collapsed="false">
      <c r="C77" s="171"/>
      <c r="D77" s="171"/>
      <c r="E77" s="171"/>
    </row>
    <row r="78" customFormat="false" ht="18" hidden="false" customHeight="false" outlineLevel="0" collapsed="false">
      <c r="C78" s="171"/>
      <c r="D78" s="171"/>
      <c r="E78" s="171"/>
    </row>
    <row r="79" customFormat="false" ht="18" hidden="false" customHeight="false" outlineLevel="0" collapsed="false">
      <c r="C79" s="171"/>
      <c r="D79" s="171"/>
      <c r="E79" s="171"/>
    </row>
    <row r="80" customFormat="false" ht="18" hidden="false" customHeight="false" outlineLevel="0" collapsed="false">
      <c r="C80" s="171"/>
      <c r="D80" s="171"/>
      <c r="E80" s="171"/>
    </row>
    <row r="81" customFormat="false" ht="18" hidden="false" customHeight="false" outlineLevel="0" collapsed="false">
      <c r="C81" s="171"/>
      <c r="D81" s="171"/>
      <c r="E81" s="171"/>
    </row>
    <row r="82" customFormat="false" ht="18" hidden="false" customHeight="false" outlineLevel="0" collapsed="false">
      <c r="C82" s="171"/>
      <c r="D82" s="171"/>
      <c r="E82" s="171"/>
    </row>
    <row r="83" customFormat="false" ht="18" hidden="false" customHeight="false" outlineLevel="0" collapsed="false">
      <c r="C83" s="171"/>
      <c r="D83" s="171"/>
      <c r="E83" s="171"/>
    </row>
    <row r="84" customFormat="false" ht="18" hidden="false" customHeight="false" outlineLevel="0" collapsed="false">
      <c r="C84" s="171"/>
      <c r="D84" s="171"/>
      <c r="E84" s="171"/>
    </row>
    <row r="85" customFormat="false" ht="18" hidden="false" customHeight="false" outlineLevel="0" collapsed="false">
      <c r="C85" s="171"/>
      <c r="D85" s="171"/>
      <c r="E85" s="171"/>
    </row>
    <row r="86" customFormat="false" ht="18" hidden="false" customHeight="false" outlineLevel="0" collapsed="false">
      <c r="C86" s="171"/>
      <c r="D86" s="171"/>
      <c r="E86" s="171"/>
    </row>
    <row r="87" customFormat="false" ht="18" hidden="false" customHeight="false" outlineLevel="0" collapsed="false">
      <c r="C87" s="171"/>
      <c r="D87" s="171"/>
      <c r="E87" s="171"/>
    </row>
    <row r="88" customFormat="false" ht="18" hidden="false" customHeight="false" outlineLevel="0" collapsed="false">
      <c r="C88" s="171"/>
      <c r="D88" s="171"/>
      <c r="E88" s="171"/>
    </row>
    <row r="89" customFormat="false" ht="18" hidden="false" customHeight="false" outlineLevel="0" collapsed="false">
      <c r="C89" s="171"/>
      <c r="D89" s="171"/>
      <c r="E89" s="171"/>
    </row>
    <row r="90" customFormat="false" ht="18" hidden="false" customHeight="false" outlineLevel="0" collapsed="false">
      <c r="C90" s="171"/>
      <c r="D90" s="171"/>
      <c r="E90" s="171"/>
    </row>
    <row r="91" customFormat="false" ht="18" hidden="false" customHeight="false" outlineLevel="0" collapsed="false">
      <c r="C91" s="171"/>
      <c r="D91" s="171"/>
      <c r="E91" s="171"/>
    </row>
    <row r="92" customFormat="false" ht="18" hidden="false" customHeight="false" outlineLevel="0" collapsed="false">
      <c r="C92" s="171"/>
      <c r="D92" s="171"/>
      <c r="E92" s="171"/>
    </row>
    <row r="93" customFormat="false" ht="18" hidden="false" customHeight="false" outlineLevel="0" collapsed="false">
      <c r="C93" s="171"/>
      <c r="D93" s="171"/>
      <c r="E93" s="171"/>
    </row>
    <row r="94" customFormat="false" ht="18" hidden="false" customHeight="false" outlineLevel="0" collapsed="false">
      <c r="C94" s="171"/>
      <c r="D94" s="171"/>
      <c r="E94" s="171"/>
    </row>
    <row r="95" customFormat="false" ht="18" hidden="false" customHeight="false" outlineLevel="0" collapsed="false">
      <c r="C95" s="171"/>
      <c r="D95" s="171"/>
      <c r="E95" s="171"/>
    </row>
    <row r="96" customFormat="false" ht="18" hidden="false" customHeight="false" outlineLevel="0" collapsed="false">
      <c r="C96" s="172"/>
      <c r="D96" s="172"/>
      <c r="E96" s="172"/>
    </row>
    <row r="97" customFormat="false" ht="18" hidden="false" customHeight="false" outlineLevel="0" collapsed="false">
      <c r="C97" s="172"/>
      <c r="D97" s="172"/>
      <c r="E97" s="172"/>
    </row>
    <row r="98" customFormat="false" ht="18" hidden="false" customHeight="false" outlineLevel="0" collapsed="false">
      <c r="C98" s="172"/>
      <c r="D98" s="172"/>
      <c r="E98" s="172"/>
    </row>
    <row r="99" customFormat="false" ht="18" hidden="false" customHeight="false" outlineLevel="0" collapsed="false">
      <c r="C99" s="172"/>
      <c r="D99" s="172"/>
      <c r="E99" s="172"/>
    </row>
    <row r="100" customFormat="false" ht="18" hidden="false" customHeight="false" outlineLevel="0" collapsed="false">
      <c r="C100" s="172"/>
      <c r="D100" s="172"/>
      <c r="E100" s="172"/>
    </row>
    <row r="101" customFormat="false" ht="18" hidden="false" customHeight="false" outlineLevel="0" collapsed="false">
      <c r="C101" s="172"/>
      <c r="D101" s="172"/>
      <c r="E101" s="172"/>
    </row>
    <row r="102" customFormat="false" ht="18" hidden="false" customHeight="false" outlineLevel="0" collapsed="false">
      <c r="C102" s="172"/>
      <c r="D102" s="172"/>
      <c r="E102" s="172"/>
    </row>
    <row r="103" customFormat="false" ht="18" hidden="false" customHeight="false" outlineLevel="0" collapsed="false">
      <c r="C103" s="172"/>
      <c r="D103" s="172"/>
      <c r="E103" s="172"/>
    </row>
    <row r="104" customFormat="false" ht="18" hidden="false" customHeight="false" outlineLevel="0" collapsed="false">
      <c r="C104" s="172"/>
      <c r="D104" s="172"/>
      <c r="E104" s="172"/>
    </row>
    <row r="105" customFormat="false" ht="18" hidden="false" customHeight="false" outlineLevel="0" collapsed="false">
      <c r="C105" s="172"/>
      <c r="D105" s="172"/>
      <c r="E105" s="172"/>
    </row>
    <row r="106" customFormat="false" ht="18" hidden="false" customHeight="false" outlineLevel="0" collapsed="false">
      <c r="C106" s="172"/>
      <c r="D106" s="172"/>
      <c r="E106" s="172"/>
    </row>
    <row r="107" customFormat="false" ht="18" hidden="false" customHeight="false" outlineLevel="0" collapsed="false">
      <c r="C107" s="172"/>
      <c r="D107" s="172"/>
      <c r="E107" s="172"/>
    </row>
    <row r="108" customFormat="false" ht="18" hidden="false" customHeight="false" outlineLevel="0" collapsed="false">
      <c r="C108" s="172"/>
      <c r="D108" s="172"/>
      <c r="E108" s="172"/>
    </row>
    <row r="109" customFormat="false" ht="18" hidden="false" customHeight="false" outlineLevel="0" collapsed="false">
      <c r="C109" s="173"/>
      <c r="D109" s="173"/>
      <c r="E109" s="173"/>
    </row>
    <row r="110" customFormat="false" ht="18" hidden="false" customHeight="false" outlineLevel="0" collapsed="false">
      <c r="C110" s="173"/>
      <c r="D110" s="173"/>
      <c r="E110" s="173"/>
    </row>
    <row r="111" customFormat="false" ht="18" hidden="false" customHeight="false" outlineLevel="0" collapsed="false">
      <c r="C111" s="173"/>
      <c r="D111" s="173"/>
      <c r="E111" s="173"/>
    </row>
    <row r="112" customFormat="false" ht="18" hidden="false" customHeight="false" outlineLevel="0" collapsed="false">
      <c r="C112" s="173"/>
      <c r="D112" s="173"/>
      <c r="E112" s="173"/>
    </row>
    <row r="113" customFormat="false" ht="18" hidden="false" customHeight="false" outlineLevel="0" collapsed="false">
      <c r="C113" s="173"/>
      <c r="D113" s="173"/>
      <c r="E113" s="173"/>
    </row>
    <row r="114" customFormat="false" ht="18" hidden="false" customHeight="false" outlineLevel="0" collapsed="false">
      <c r="C114" s="173"/>
      <c r="D114" s="173"/>
      <c r="E114" s="173"/>
    </row>
    <row r="115" customFormat="false" ht="18" hidden="false" customHeight="false" outlineLevel="0" collapsed="false">
      <c r="C115" s="173"/>
      <c r="D115" s="173"/>
      <c r="E115" s="173"/>
    </row>
    <row r="116" customFormat="false" ht="18" hidden="false" customHeight="false" outlineLevel="0" collapsed="false">
      <c r="C116" s="173"/>
      <c r="D116" s="173"/>
      <c r="E116" s="173"/>
    </row>
    <row r="117" customFormat="false" ht="18" hidden="false" customHeight="false" outlineLevel="0" collapsed="false">
      <c r="C117" s="173"/>
      <c r="D117" s="173"/>
      <c r="E117" s="173"/>
    </row>
    <row r="118" customFormat="false" ht="18" hidden="false" customHeight="false" outlineLevel="0" collapsed="false">
      <c r="C118" s="173"/>
      <c r="D118" s="173"/>
      <c r="E118" s="173"/>
    </row>
    <row r="119" customFormat="false" ht="18" hidden="false" customHeight="false" outlineLevel="0" collapsed="false">
      <c r="C119" s="173"/>
      <c r="D119" s="173"/>
      <c r="E119" s="173"/>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125" defaultRowHeight="18" zeroHeight="false" outlineLevelRow="0" outlineLevelCol="0"/>
  <cols>
    <col collapsed="false" customWidth="true" hidden="false" outlineLevel="0" max="5" min="2" style="20" width="18.6"/>
    <col collapsed="false" customWidth="true" hidden="false" outlineLevel="0" max="6" min="6" style="20" width="40.1"/>
  </cols>
  <sheetData>
    <row r="2" customFormat="false" ht="18" hidden="false" customHeight="false" outlineLevel="0" collapsed="false">
      <c r="E2" s="47" t="s">
        <v>59</v>
      </c>
    </row>
    <row r="3" customFormat="false" ht="21.75" hidden="false" customHeight="true" outlineLevel="0" collapsed="false">
      <c r="A3" s="2" t="s">
        <v>22</v>
      </c>
      <c r="B3" s="61" t="s">
        <v>177</v>
      </c>
      <c r="C3" s="174" t="s">
        <v>85</v>
      </c>
      <c r="D3" s="174" t="s">
        <v>178</v>
      </c>
      <c r="E3" s="174" t="s">
        <v>179</v>
      </c>
      <c r="F3" s="175" t="s">
        <v>180</v>
      </c>
    </row>
    <row r="4" customFormat="false" ht="31.5" hidden="false" customHeight="true" outlineLevel="0" collapsed="false">
      <c r="B4" s="176" t="s">
        <v>181</v>
      </c>
      <c r="C4" s="87" t="n">
        <v>15400000</v>
      </c>
      <c r="D4" s="87" t="n">
        <v>0</v>
      </c>
      <c r="E4" s="87" t="n">
        <f aca="false">SUM(C4,D4)</f>
        <v>15400000</v>
      </c>
      <c r="F4" s="177" t="s">
        <v>182</v>
      </c>
    </row>
    <row r="5" customFormat="false" ht="31.5" hidden="false" customHeight="true" outlineLevel="0" collapsed="false">
      <c r="B5" s="176" t="s">
        <v>183</v>
      </c>
      <c r="C5" s="178" t="n">
        <v>5988954</v>
      </c>
      <c r="D5" s="178" t="n">
        <v>0</v>
      </c>
      <c r="E5" s="178" t="n">
        <f aca="false">SUM(C5,D5)</f>
        <v>5988954</v>
      </c>
      <c r="F5" s="179" t="s">
        <v>184</v>
      </c>
    </row>
    <row r="6" customFormat="false" ht="31.5" hidden="false" customHeight="true" outlineLevel="0" collapsed="false">
      <c r="B6" s="176" t="s">
        <v>185</v>
      </c>
      <c r="C6" s="178" t="n">
        <v>3347303</v>
      </c>
      <c r="D6" s="178" t="n">
        <v>0</v>
      </c>
      <c r="E6" s="178" t="n">
        <f aca="false">SUM(C6,D6)</f>
        <v>3347303</v>
      </c>
      <c r="F6" s="179" t="s">
        <v>186</v>
      </c>
    </row>
    <row r="7" customFormat="false" ht="31.5" hidden="false" customHeight="true" outlineLevel="0" collapsed="false">
      <c r="B7" s="180" t="s">
        <v>187</v>
      </c>
      <c r="C7" s="181" t="n">
        <v>3775826</v>
      </c>
      <c r="D7" s="181" t="n">
        <v>0</v>
      </c>
      <c r="E7" s="181" t="n">
        <f aca="false">SUM(C7,D7)</f>
        <v>3775826</v>
      </c>
      <c r="F7" s="182" t="s">
        <v>188</v>
      </c>
    </row>
    <row r="8" customFormat="false" ht="31.5" hidden="false" customHeight="true" outlineLevel="0" collapsed="false">
      <c r="B8" s="183" t="s">
        <v>131</v>
      </c>
      <c r="C8" s="184" t="n">
        <f aca="false">SUM(C4:C7)</f>
        <v>28512083</v>
      </c>
      <c r="D8" s="184" t="n">
        <f aca="false">SUM(D4:D7)</f>
        <v>0</v>
      </c>
      <c r="E8" s="184" t="n">
        <f aca="false">C8+D8</f>
        <v>28512083</v>
      </c>
      <c r="F8" s="185"/>
    </row>
    <row r="12" customFormat="false" ht="18" hidden="false" customHeight="false" outlineLevel="0" collapsed="false">
      <c r="E12" s="47" t="s">
        <v>59</v>
      </c>
    </row>
    <row r="13" customFormat="false" ht="21.75" hidden="false" customHeight="true" outlineLevel="0" collapsed="false">
      <c r="A13" s="2" t="s">
        <v>189</v>
      </c>
      <c r="B13" s="186" t="s">
        <v>177</v>
      </c>
      <c r="C13" s="187" t="s">
        <v>85</v>
      </c>
      <c r="D13" s="187" t="s">
        <v>178</v>
      </c>
      <c r="E13" s="187" t="s">
        <v>179</v>
      </c>
      <c r="F13" s="175" t="s">
        <v>180</v>
      </c>
    </row>
    <row r="14" customFormat="false" ht="31.5" hidden="false" customHeight="true" outlineLevel="0" collapsed="false">
      <c r="B14" s="188" t="s">
        <v>190</v>
      </c>
      <c r="C14" s="189" t="n">
        <v>8532000</v>
      </c>
      <c r="D14" s="189" t="n">
        <v>0</v>
      </c>
      <c r="E14" s="189" t="n">
        <f aca="false">SUM(C14,D14)</f>
        <v>8532000</v>
      </c>
      <c r="F14" s="190" t="s">
        <v>191</v>
      </c>
    </row>
    <row r="15" customFormat="false" ht="31.5" hidden="false" customHeight="true" outlineLevel="0" collapsed="false">
      <c r="B15" s="191"/>
      <c r="C15" s="189"/>
      <c r="D15" s="189"/>
      <c r="E15" s="189" t="n">
        <f aca="false">SUM(C15,D15)</f>
        <v>0</v>
      </c>
      <c r="F15" s="192"/>
    </row>
    <row r="16" customFormat="false" ht="31.5" hidden="false" customHeight="true" outlineLevel="0" collapsed="false">
      <c r="B16" s="193"/>
      <c r="C16" s="17"/>
      <c r="D16" s="17"/>
      <c r="E16" s="17" t="n">
        <f aca="false">SUM(C16,D16)</f>
        <v>0</v>
      </c>
      <c r="F16" s="194"/>
    </row>
    <row r="17" customFormat="false" ht="31.5" hidden="false" customHeight="true" outlineLevel="0" collapsed="false">
      <c r="B17" s="195"/>
      <c r="C17" s="196"/>
      <c r="D17" s="196"/>
      <c r="E17" s="196" t="n">
        <f aca="false">SUM(C17,D17)</f>
        <v>0</v>
      </c>
      <c r="F17" s="197"/>
    </row>
    <row r="18" customFormat="false" ht="31.5" hidden="false" customHeight="true" outlineLevel="0" collapsed="false">
      <c r="B18" s="183" t="s">
        <v>131</v>
      </c>
      <c r="C18" s="198" t="n">
        <f aca="false">SUM(C14:C17)</f>
        <v>8532000</v>
      </c>
      <c r="D18" s="198" t="n">
        <f aca="false">SUM(D14:D17)</f>
        <v>0</v>
      </c>
      <c r="E18" s="198" t="n">
        <f aca="false">C18+D18</f>
        <v>8532000</v>
      </c>
      <c r="F18" s="19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3125" defaultRowHeight="18" zeroHeight="false" outlineLevelRow="0" outlineLevelCol="0"/>
  <cols>
    <col collapsed="false" customWidth="true" hidden="false" outlineLevel="0" max="5" min="2" style="20" width="18.6"/>
    <col collapsed="false" customWidth="true" hidden="false" outlineLevel="0" max="6" min="6" style="20" width="25.8"/>
  </cols>
  <sheetData>
    <row r="2" customFormat="false" ht="18" hidden="false" customHeight="false" outlineLevel="0" collapsed="false">
      <c r="E2" s="47" t="s">
        <v>59</v>
      </c>
    </row>
    <row r="3" customFormat="false" ht="21.75" hidden="false" customHeight="true" outlineLevel="0" collapsed="false">
      <c r="B3" s="61" t="s">
        <v>192</v>
      </c>
      <c r="C3" s="174" t="s">
        <v>85</v>
      </c>
      <c r="D3" s="174" t="s">
        <v>178</v>
      </c>
      <c r="E3" s="174" t="s">
        <v>179</v>
      </c>
      <c r="F3" s="175" t="s">
        <v>180</v>
      </c>
    </row>
    <row r="4" customFormat="false" ht="31.5" hidden="false" customHeight="true" outlineLevel="0" collapsed="false">
      <c r="B4" s="176" t="s">
        <v>35</v>
      </c>
      <c r="C4" s="87" t="n">
        <f aca="false">'BS(借方)'!E22</f>
        <v>118721091</v>
      </c>
      <c r="D4" s="87" t="n">
        <v>0</v>
      </c>
      <c r="E4" s="87" t="n">
        <f aca="false">SUM(C4,D4)</f>
        <v>118721091</v>
      </c>
      <c r="F4" s="177" t="s">
        <v>193</v>
      </c>
    </row>
    <row r="5" customFormat="false" ht="31.5" hidden="false" customHeight="true" outlineLevel="0" collapsed="false">
      <c r="B5" s="176" t="s">
        <v>36</v>
      </c>
      <c r="C5" s="178" t="n">
        <f aca="false">'BS(借方)'!E23</f>
        <v>20091490</v>
      </c>
      <c r="D5" s="178" t="n">
        <v>0</v>
      </c>
      <c r="E5" s="178" t="n">
        <f aca="false">SUM(C5,D5)</f>
        <v>20091490</v>
      </c>
      <c r="F5" s="177" t="s">
        <v>193</v>
      </c>
    </row>
    <row r="6" customFormat="false" ht="31.5" hidden="false" customHeight="true" outlineLevel="0" collapsed="false">
      <c r="B6" s="176" t="s">
        <v>194</v>
      </c>
      <c r="C6" s="178" t="n">
        <f aca="false">'BS(借方)'!E26</f>
        <v>5394909</v>
      </c>
      <c r="D6" s="178" t="n">
        <v>0</v>
      </c>
      <c r="E6" s="178" t="n">
        <f aca="false">SUM(C6,D6)</f>
        <v>5394909</v>
      </c>
      <c r="F6" s="177" t="s">
        <v>193</v>
      </c>
    </row>
    <row r="7" customFormat="false" ht="31.5" hidden="false" customHeight="true" outlineLevel="0" collapsed="false">
      <c r="B7" s="180" t="s">
        <v>40</v>
      </c>
      <c r="C7" s="181" t="n">
        <f aca="false">'BS(借方)'!E27</f>
        <v>908754</v>
      </c>
      <c r="D7" s="181" t="n">
        <v>0</v>
      </c>
      <c r="E7" s="181" t="n">
        <f aca="false">SUM(C7,D7)</f>
        <v>908754</v>
      </c>
      <c r="F7" s="182" t="s">
        <v>193</v>
      </c>
    </row>
    <row r="8" customFormat="false" ht="31.5" hidden="false" customHeight="true" outlineLevel="0" collapsed="false">
      <c r="B8" s="183" t="s">
        <v>131</v>
      </c>
      <c r="C8" s="184" t="n">
        <f aca="false">SUM(C4:C7)</f>
        <v>145116244</v>
      </c>
      <c r="D8" s="184" t="n">
        <f aca="false">SUM(D4:D7)</f>
        <v>0</v>
      </c>
      <c r="E8" s="184" t="n">
        <f aca="false">C8+D8</f>
        <v>145116244</v>
      </c>
      <c r="F8" s="18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3125" defaultRowHeight="18" zeroHeight="false" outlineLevelRow="0" outlineLevelCol="0"/>
  <cols>
    <col collapsed="false" customWidth="true" hidden="false" outlineLevel="0" max="2" min="2" style="20" width="49.5"/>
    <col collapsed="false" customWidth="true" hidden="false" outlineLevel="0" max="6" min="3" style="20" width="18.6"/>
    <col collapsed="false" customWidth="true" hidden="false" outlineLevel="0" max="7" min="7" style="20" width="32.9"/>
  </cols>
  <sheetData>
    <row r="2" customFormat="false" ht="18" hidden="false" customHeight="false" outlineLevel="0" collapsed="false">
      <c r="E2" s="47"/>
      <c r="F2" s="47" t="s">
        <v>59</v>
      </c>
    </row>
    <row r="3" customFormat="false" ht="21.75" hidden="false" customHeight="true" outlineLevel="0" collapsed="false">
      <c r="B3" s="61" t="s">
        <v>195</v>
      </c>
      <c r="C3" s="174" t="s">
        <v>196</v>
      </c>
      <c r="D3" s="174" t="s">
        <v>85</v>
      </c>
      <c r="E3" s="174" t="s">
        <v>178</v>
      </c>
      <c r="F3" s="174" t="s">
        <v>197</v>
      </c>
      <c r="G3" s="175" t="s">
        <v>180</v>
      </c>
    </row>
    <row r="4" customFormat="false" ht="31.5" hidden="false" customHeight="true" outlineLevel="0" collapsed="false">
      <c r="B4" s="176" t="s">
        <v>198</v>
      </c>
      <c r="C4" s="200" t="s">
        <v>199</v>
      </c>
      <c r="D4" s="87" t="n">
        <f aca="false">'BS(借方)'!E29</f>
        <v>345029626</v>
      </c>
      <c r="E4" s="87" t="n">
        <f aca="false">F4-D4</f>
        <v>0</v>
      </c>
      <c r="F4" s="87" t="n">
        <f aca="false">D4</f>
        <v>345029626</v>
      </c>
      <c r="G4" s="177" t="s">
        <v>200</v>
      </c>
    </row>
    <row r="5" customFormat="false" ht="31.5" hidden="false" customHeight="true" outlineLevel="0" collapsed="false">
      <c r="B5" s="146"/>
      <c r="C5" s="201"/>
      <c r="D5" s="178"/>
      <c r="E5" s="178" t="n">
        <f aca="false">F5-D5</f>
        <v>0</v>
      </c>
      <c r="F5" s="178"/>
      <c r="G5" s="177"/>
    </row>
    <row r="6" customFormat="false" ht="31.5" hidden="false" customHeight="true" outlineLevel="0" collapsed="false">
      <c r="B6" s="155"/>
      <c r="C6" s="201"/>
      <c r="D6" s="35"/>
      <c r="E6" s="178" t="n">
        <f aca="false">F6-D6</f>
        <v>0</v>
      </c>
      <c r="F6" s="178"/>
      <c r="G6" s="177"/>
    </row>
    <row r="7" customFormat="false" ht="31.5" hidden="false" customHeight="true" outlineLevel="0" collapsed="false">
      <c r="B7" s="180"/>
      <c r="C7" s="202"/>
      <c r="D7" s="181"/>
      <c r="E7" s="35" t="n">
        <f aca="false">F7-D7</f>
        <v>0</v>
      </c>
      <c r="F7" s="35"/>
      <c r="G7" s="182"/>
    </row>
    <row r="8" customFormat="false" ht="31.5" hidden="false" customHeight="true" outlineLevel="0" collapsed="false">
      <c r="B8" s="183" t="s">
        <v>131</v>
      </c>
      <c r="C8" s="203"/>
      <c r="D8" s="184" t="n">
        <f aca="false">SUM(D4:D7)</f>
        <v>345029626</v>
      </c>
      <c r="E8" s="184" t="n">
        <f aca="false">SUM(E4:E7)</f>
        <v>0</v>
      </c>
      <c r="F8" s="184" t="n">
        <f aca="false">SUM(F4:F7)</f>
        <v>345029626</v>
      </c>
      <c r="G8" s="18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125" defaultRowHeight="18" zeroHeight="false" outlineLevelRow="0" outlineLevelCol="0"/>
  <cols>
    <col collapsed="false" customWidth="true" hidden="false" outlineLevel="0" max="2" min="2" style="20" width="41.29"/>
    <col collapsed="false" customWidth="true" hidden="false" outlineLevel="0" max="5" min="3" style="20" width="18.6"/>
    <col collapsed="false" customWidth="true" hidden="false" outlineLevel="0" max="6" min="6" style="20" width="33.1"/>
  </cols>
  <sheetData>
    <row r="2" customFormat="false" ht="18" hidden="false" customHeight="false" outlineLevel="0" collapsed="false">
      <c r="E2" s="47" t="s">
        <v>59</v>
      </c>
    </row>
    <row r="3" customFormat="false" ht="21.75" hidden="false" customHeight="true" outlineLevel="0" collapsed="false">
      <c r="B3" s="61" t="s">
        <v>201</v>
      </c>
      <c r="C3" s="174" t="s">
        <v>85</v>
      </c>
      <c r="D3" s="174" t="s">
        <v>178</v>
      </c>
      <c r="E3" s="174" t="s">
        <v>179</v>
      </c>
      <c r="F3" s="175" t="s">
        <v>180</v>
      </c>
    </row>
    <row r="4" customFormat="false" ht="31.5" hidden="false" customHeight="true" outlineLevel="0" collapsed="false">
      <c r="B4" s="176" t="s">
        <v>202</v>
      </c>
      <c r="C4" s="87" t="n">
        <v>0</v>
      </c>
      <c r="D4" s="87" t="n">
        <f aca="false">E4-C4</f>
        <v>0</v>
      </c>
      <c r="E4" s="87" t="n">
        <v>0</v>
      </c>
      <c r="F4" s="177" t="s">
        <v>203</v>
      </c>
    </row>
    <row r="5" customFormat="false" ht="31.5" hidden="false" customHeight="true" outlineLevel="0" collapsed="false">
      <c r="B5" s="146"/>
      <c r="C5" s="178"/>
      <c r="D5" s="178"/>
      <c r="E5" s="178"/>
      <c r="F5" s="177"/>
    </row>
    <row r="6" customFormat="false" ht="31.5" hidden="false" customHeight="true" outlineLevel="0" collapsed="false">
      <c r="B6" s="155"/>
      <c r="C6" s="178"/>
      <c r="D6" s="178"/>
      <c r="E6" s="178"/>
      <c r="F6" s="177"/>
    </row>
    <row r="7" customFormat="false" ht="31.5" hidden="false" customHeight="true" outlineLevel="0" collapsed="false">
      <c r="B7" s="180"/>
      <c r="C7" s="181"/>
      <c r="D7" s="181"/>
      <c r="E7" s="181"/>
      <c r="F7" s="182"/>
    </row>
    <row r="8" customFormat="false" ht="31.5" hidden="false" customHeight="true" outlineLevel="0" collapsed="false">
      <c r="B8" s="204" t="s">
        <v>131</v>
      </c>
      <c r="C8" s="184" t="n">
        <f aca="false">SUM(C4:C7)</f>
        <v>0</v>
      </c>
      <c r="D8" s="184" t="n">
        <f aca="false">SUM(D4:D7)</f>
        <v>0</v>
      </c>
      <c r="E8" s="184" t="n">
        <f aca="false">C8+D8</f>
        <v>0</v>
      </c>
      <c r="F8" s="18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125" defaultRowHeight="18" zeroHeight="false" outlineLevelRow="0" outlineLevelCol="0"/>
  <cols>
    <col collapsed="false" customWidth="true" hidden="false" outlineLevel="0" max="2" min="2" style="20" width="35.1"/>
    <col collapsed="false" customWidth="true" hidden="false" outlineLevel="0" max="3" min="3" style="20" width="21.2"/>
    <col collapsed="false" customWidth="true" hidden="false" outlineLevel="0" max="6" min="4" style="20" width="18.6"/>
    <col collapsed="false" customWidth="true" hidden="false" outlineLevel="0" max="7" min="7" style="20" width="31.4"/>
  </cols>
  <sheetData>
    <row r="2" customFormat="false" ht="18" hidden="false" customHeight="false" outlineLevel="0" collapsed="false">
      <c r="F2" s="47" t="s">
        <v>59</v>
      </c>
    </row>
    <row r="3" customFormat="false" ht="21.75" hidden="false" customHeight="true" outlineLevel="0" collapsed="false">
      <c r="B3" s="61" t="s">
        <v>204</v>
      </c>
      <c r="C3" s="205" t="s">
        <v>205</v>
      </c>
      <c r="D3" s="174" t="s">
        <v>85</v>
      </c>
      <c r="E3" s="174" t="s">
        <v>178</v>
      </c>
      <c r="F3" s="174" t="s">
        <v>179</v>
      </c>
      <c r="G3" s="175" t="s">
        <v>180</v>
      </c>
    </row>
    <row r="4" customFormat="false" ht="31.5" hidden="false" customHeight="true" outlineLevel="0" collapsed="false">
      <c r="B4" s="176" t="s">
        <v>206</v>
      </c>
      <c r="C4" s="206" t="n">
        <v>0</v>
      </c>
      <c r="D4" s="87" t="n">
        <v>0</v>
      </c>
      <c r="E4" s="87" t="n">
        <f aca="false">F4-D4</f>
        <v>0</v>
      </c>
      <c r="F4" s="87" t="n">
        <v>0</v>
      </c>
      <c r="G4" s="207" t="s">
        <v>207</v>
      </c>
    </row>
    <row r="5" customFormat="false" ht="31.5" hidden="false" customHeight="true" outlineLevel="0" collapsed="false">
      <c r="B5" s="146"/>
      <c r="C5" s="208"/>
      <c r="D5" s="178"/>
      <c r="E5" s="178" t="n">
        <f aca="false">F5-D5</f>
        <v>0</v>
      </c>
      <c r="F5" s="178"/>
      <c r="G5" s="177"/>
    </row>
    <row r="6" customFormat="false" ht="31.5" hidden="false" customHeight="true" outlineLevel="0" collapsed="false">
      <c r="B6" s="155"/>
      <c r="C6" s="209"/>
      <c r="D6" s="178"/>
      <c r="E6" s="178"/>
      <c r="F6" s="178"/>
      <c r="G6" s="177"/>
    </row>
    <row r="7" customFormat="false" ht="31.5" hidden="false" customHeight="true" outlineLevel="0" collapsed="false">
      <c r="B7" s="146"/>
      <c r="C7" s="208"/>
      <c r="D7" s="178"/>
      <c r="E7" s="178" t="n">
        <f aca="false">F7-D7</f>
        <v>0</v>
      </c>
      <c r="F7" s="178"/>
      <c r="G7" s="177"/>
    </row>
    <row r="8" customFormat="false" ht="31.5" hidden="false" customHeight="true" outlineLevel="0" collapsed="false">
      <c r="B8" s="180"/>
      <c r="C8" s="210"/>
      <c r="D8" s="181"/>
      <c r="E8" s="35" t="n">
        <f aca="false">F8-D8</f>
        <v>0</v>
      </c>
      <c r="F8" s="181"/>
      <c r="G8" s="182"/>
    </row>
    <row r="9" customFormat="false" ht="31.5" hidden="false" customHeight="true" outlineLevel="0" collapsed="false">
      <c r="B9" s="183" t="s">
        <v>131</v>
      </c>
      <c r="C9" s="211" t="s">
        <v>120</v>
      </c>
      <c r="D9" s="184" t="n">
        <f aca="false">SUM(D4:D8)</f>
        <v>0</v>
      </c>
      <c r="E9" s="184" t="n">
        <f aca="false">SUM(E4:E8)</f>
        <v>0</v>
      </c>
      <c r="F9" s="184" t="n">
        <f aca="false">D9+E9</f>
        <v>0</v>
      </c>
      <c r="G9" s="18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E1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F57" activeCellId="0" sqref="F57"/>
    </sheetView>
  </sheetViews>
  <sheetFormatPr defaultColWidth="8.53125" defaultRowHeight="18" zeroHeight="false" outlineLevelRow="0" outlineLevelCol="0"/>
  <cols>
    <col collapsed="false" customWidth="true" hidden="false" outlineLevel="0" max="2" min="2" style="46" width="28"/>
    <col collapsed="false" customWidth="true" hidden="false" outlineLevel="0" max="5" min="3" style="20" width="16.1"/>
    <col collapsed="false" customWidth="true" hidden="false" outlineLevel="0" max="6" min="6" style="20" width="8.8"/>
  </cols>
  <sheetData>
    <row r="2" customFormat="false" ht="18" hidden="false" customHeight="false" outlineLevel="0" collapsed="false">
      <c r="E2" s="47" t="s">
        <v>59</v>
      </c>
    </row>
    <row r="3" customFormat="false" ht="27.75" hidden="false" customHeight="true" outlineLevel="0" collapsed="false">
      <c r="B3" s="212" t="s">
        <v>60</v>
      </c>
      <c r="C3" s="212"/>
      <c r="D3" s="212"/>
      <c r="E3" s="212"/>
    </row>
    <row r="4" customFormat="false" ht="19.5" hidden="false" customHeight="true" outlineLevel="0" collapsed="false">
      <c r="B4" s="175" t="s">
        <v>6</v>
      </c>
      <c r="C4" s="213" t="str">
        <f aca="false">'BS(借方)'!E4</f>
        <v>令和8年3月期</v>
      </c>
      <c r="D4" s="214" t="s">
        <v>174</v>
      </c>
      <c r="E4" s="12" t="s">
        <v>175</v>
      </c>
    </row>
    <row r="5" customFormat="false" ht="22.5" hidden="false" customHeight="true" outlineLevel="0" collapsed="false">
      <c r="B5" s="215" t="s">
        <v>61</v>
      </c>
      <c r="C5" s="93" t="n">
        <f aca="false">SUM(C6:C17)</f>
        <v>196854699</v>
      </c>
      <c r="D5" s="14" t="n">
        <f aca="false">SUM(D6:D17)</f>
        <v>10464714</v>
      </c>
      <c r="E5" s="15" t="n">
        <f aca="false">C5+D5</f>
        <v>207319413</v>
      </c>
    </row>
    <row r="6" customFormat="false" ht="22.5" hidden="false" customHeight="true" outlineLevel="0" collapsed="false">
      <c r="B6" s="102" t="s">
        <v>62</v>
      </c>
      <c r="C6" s="35" t="n">
        <f aca="false">'BS (貸方)'!E6</f>
        <v>10296760</v>
      </c>
      <c r="D6" s="52"/>
      <c r="E6" s="18" t="n">
        <f aca="false">C6+D6</f>
        <v>10296760</v>
      </c>
    </row>
    <row r="7" customFormat="false" ht="22.5" hidden="false" customHeight="true" outlineLevel="0" collapsed="false">
      <c r="B7" s="102" t="s">
        <v>63</v>
      </c>
      <c r="C7" s="35" t="n">
        <f aca="false">'BS (貸方)'!E7</f>
        <v>7639437</v>
      </c>
      <c r="D7" s="52"/>
      <c r="E7" s="18" t="n">
        <f aca="false">C7+D7</f>
        <v>7639437</v>
      </c>
    </row>
    <row r="8" customFormat="false" ht="22.5" hidden="false" customHeight="true" outlineLevel="0" collapsed="false">
      <c r="B8" s="102" t="s">
        <v>64</v>
      </c>
      <c r="C8" s="35" t="n">
        <f aca="false">'BS (貸方)'!E8</f>
        <v>0</v>
      </c>
      <c r="D8" s="52" t="n">
        <f aca="false">未払人件費・賞与!F4</f>
        <v>10464714</v>
      </c>
      <c r="E8" s="18" t="n">
        <f aca="false">C8+D8</f>
        <v>10464714</v>
      </c>
    </row>
    <row r="9" customFormat="false" ht="22.5" hidden="false" customHeight="true" outlineLevel="0" collapsed="false">
      <c r="B9" s="102" t="s">
        <v>65</v>
      </c>
      <c r="C9" s="35" t="n">
        <f aca="false">'BS (貸方)'!E9</f>
        <v>4950000</v>
      </c>
      <c r="D9" s="52"/>
      <c r="E9" s="18" t="n">
        <f aca="false">C9+D9</f>
        <v>4950000</v>
      </c>
    </row>
    <row r="10" customFormat="false" ht="22.5" hidden="false" customHeight="true" outlineLevel="0" collapsed="false">
      <c r="B10" s="102" t="s">
        <v>66</v>
      </c>
      <c r="C10" s="35" t="n">
        <f aca="false">'BS (貸方)'!E10</f>
        <v>794225</v>
      </c>
      <c r="D10" s="52"/>
      <c r="E10" s="18" t="n">
        <f aca="false">C10+D10</f>
        <v>794225</v>
      </c>
    </row>
    <row r="11" customFormat="false" ht="22.5" hidden="false" customHeight="true" outlineLevel="0" collapsed="false">
      <c r="B11" s="102" t="s">
        <v>67</v>
      </c>
      <c r="C11" s="35" t="n">
        <f aca="false">'BS (貸方)'!E11</f>
        <v>97300</v>
      </c>
      <c r="D11" s="52"/>
      <c r="E11" s="18" t="n">
        <f aca="false">C11+D11</f>
        <v>97300</v>
      </c>
    </row>
    <row r="12" customFormat="false" ht="22.5" hidden="false" customHeight="true" outlineLevel="0" collapsed="false">
      <c r="B12" s="102" t="s">
        <v>68</v>
      </c>
      <c r="C12" s="35" t="n">
        <f aca="false">'BS (貸方)'!E12</f>
        <v>173076977</v>
      </c>
      <c r="D12" s="52"/>
      <c r="E12" s="18" t="n">
        <f aca="false">C12+D12</f>
        <v>173076977</v>
      </c>
    </row>
    <row r="13" customFormat="false" ht="22.5" hidden="false" customHeight="true" outlineLevel="0" collapsed="false">
      <c r="B13" s="102"/>
      <c r="C13" s="35" t="n">
        <f aca="false">'BS (貸方)'!E13</f>
        <v>0</v>
      </c>
      <c r="D13" s="52"/>
      <c r="E13" s="18" t="n">
        <f aca="false">C13+D13</f>
        <v>0</v>
      </c>
    </row>
    <row r="14" customFormat="false" ht="22.5" hidden="false" customHeight="true" outlineLevel="0" collapsed="false">
      <c r="B14" s="102"/>
      <c r="C14" s="35" t="n">
        <f aca="false">'BS (貸方)'!E14</f>
        <v>0</v>
      </c>
      <c r="D14" s="52"/>
      <c r="E14" s="18" t="n">
        <f aca="false">C14+D14</f>
        <v>0</v>
      </c>
    </row>
    <row r="15" customFormat="false" ht="22.5" hidden="false" customHeight="true" outlineLevel="0" collapsed="false">
      <c r="B15" s="102"/>
      <c r="C15" s="35" t="n">
        <f aca="false">'BS (貸方)'!E15</f>
        <v>0</v>
      </c>
      <c r="D15" s="52"/>
      <c r="E15" s="18" t="n">
        <f aca="false">C15+D15</f>
        <v>0</v>
      </c>
    </row>
    <row r="16" customFormat="false" ht="22.5" hidden="false" customHeight="true" outlineLevel="0" collapsed="false">
      <c r="B16" s="102"/>
      <c r="C16" s="35" t="n">
        <f aca="false">'BS (貸方)'!E16</f>
        <v>0</v>
      </c>
      <c r="D16" s="52"/>
      <c r="E16" s="18" t="n">
        <f aca="false">C16+D16</f>
        <v>0</v>
      </c>
    </row>
    <row r="17" customFormat="false" ht="22.5" hidden="false" customHeight="true" outlineLevel="0" collapsed="false">
      <c r="B17" s="103"/>
      <c r="C17" s="37" t="n">
        <f aca="false">'BS (貸方)'!E17</f>
        <v>0</v>
      </c>
      <c r="D17" s="54"/>
      <c r="E17" s="18" t="n">
        <f aca="false">C17+D17</f>
        <v>0</v>
      </c>
    </row>
    <row r="18" customFormat="false" ht="22.5" hidden="false" customHeight="true" outlineLevel="0" collapsed="false">
      <c r="B18" s="215" t="s">
        <v>69</v>
      </c>
      <c r="C18" s="93" t="n">
        <f aca="false">SUM(C19:C26)</f>
        <v>272745529</v>
      </c>
      <c r="D18" s="14" t="n">
        <f aca="false">SUM(D19:D26)</f>
        <v>0</v>
      </c>
      <c r="E18" s="147" t="n">
        <f aca="false">C18+D18</f>
        <v>272745529</v>
      </c>
    </row>
    <row r="19" customFormat="false" ht="22.5" hidden="false" customHeight="true" outlineLevel="0" collapsed="false">
      <c r="B19" s="102" t="s">
        <v>70</v>
      </c>
      <c r="C19" s="35" t="n">
        <f aca="false">'BS (貸方)'!E19</f>
        <v>272745529</v>
      </c>
      <c r="D19" s="52"/>
      <c r="E19" s="18" t="n">
        <f aca="false">C19+D19</f>
        <v>272745529</v>
      </c>
    </row>
    <row r="20" customFormat="false" ht="22.5" hidden="false" customHeight="true" outlineLevel="0" collapsed="false">
      <c r="B20" s="102" t="s">
        <v>71</v>
      </c>
      <c r="C20" s="35" t="n">
        <f aca="false">'BS (貸方)'!E20</f>
        <v>0</v>
      </c>
      <c r="D20" s="52"/>
      <c r="E20" s="18" t="n">
        <f aca="false">C20+D20</f>
        <v>0</v>
      </c>
    </row>
    <row r="21" customFormat="false" ht="22.5" hidden="false" customHeight="true" outlineLevel="0" collapsed="false">
      <c r="B21" s="102"/>
      <c r="C21" s="35" t="n">
        <f aca="false">'BS (貸方)'!E21</f>
        <v>0</v>
      </c>
      <c r="D21" s="52"/>
      <c r="E21" s="18" t="n">
        <f aca="false">C21+D21</f>
        <v>0</v>
      </c>
    </row>
    <row r="22" customFormat="false" ht="22.5" hidden="false" customHeight="true" outlineLevel="0" collapsed="false">
      <c r="B22" s="102"/>
      <c r="C22" s="35" t="n">
        <f aca="false">'BS (貸方)'!E22</f>
        <v>0</v>
      </c>
      <c r="D22" s="52"/>
      <c r="E22" s="18" t="n">
        <f aca="false">C22+D22</f>
        <v>0</v>
      </c>
    </row>
    <row r="23" customFormat="false" ht="22.5" hidden="false" customHeight="true" outlineLevel="0" collapsed="false">
      <c r="B23" s="102"/>
      <c r="C23" s="35" t="n">
        <f aca="false">'BS (貸方)'!E23</f>
        <v>0</v>
      </c>
      <c r="D23" s="52"/>
      <c r="E23" s="18" t="n">
        <f aca="false">C23+D23</f>
        <v>0</v>
      </c>
    </row>
    <row r="24" customFormat="false" ht="22.5" hidden="false" customHeight="true" outlineLevel="0" collapsed="false">
      <c r="B24" s="102"/>
      <c r="C24" s="35" t="n">
        <f aca="false">'BS (貸方)'!E24</f>
        <v>0</v>
      </c>
      <c r="D24" s="52"/>
      <c r="E24" s="18" t="n">
        <f aca="false">C24+D24</f>
        <v>0</v>
      </c>
    </row>
    <row r="25" customFormat="false" ht="22.5" hidden="false" customHeight="true" outlineLevel="0" collapsed="false">
      <c r="B25" s="102"/>
      <c r="C25" s="35"/>
      <c r="D25" s="52"/>
      <c r="E25" s="18" t="n">
        <f aca="false">C25+D25</f>
        <v>0</v>
      </c>
    </row>
    <row r="26" customFormat="false" ht="22.5" hidden="false" customHeight="true" outlineLevel="0" collapsed="false">
      <c r="B26" s="102"/>
      <c r="C26" s="35"/>
      <c r="D26" s="52"/>
      <c r="E26" s="18" t="n">
        <f aca="false">C26+D26</f>
        <v>0</v>
      </c>
    </row>
    <row r="27" customFormat="false" ht="22.5" hidden="false" customHeight="true" outlineLevel="0" collapsed="false">
      <c r="B27" s="92" t="s">
        <v>208</v>
      </c>
      <c r="C27" s="137" t="n">
        <v>0</v>
      </c>
      <c r="D27" s="216" t="n">
        <v>0</v>
      </c>
      <c r="E27" s="147" t="n">
        <f aca="false">C27+D27</f>
        <v>0</v>
      </c>
    </row>
    <row r="28" customFormat="false" ht="22.5" hidden="false" customHeight="true" outlineLevel="0" collapsed="false">
      <c r="B28" s="217" t="s">
        <v>72</v>
      </c>
      <c r="C28" s="218" t="n">
        <f aca="false">C5+C18+C27</f>
        <v>469600228</v>
      </c>
      <c r="D28" s="57" t="n">
        <f aca="false">D5+D18+D27</f>
        <v>10464714</v>
      </c>
      <c r="E28" s="219" t="n">
        <f aca="false">C28+D28</f>
        <v>480064942</v>
      </c>
    </row>
    <row r="29" customFormat="false" ht="22.5" hidden="false" customHeight="true" outlineLevel="0" collapsed="false">
      <c r="B29" s="220"/>
      <c r="C29" s="60"/>
      <c r="D29" s="60"/>
      <c r="E29" s="60"/>
    </row>
    <row r="30" customFormat="false" ht="22.5" hidden="false" customHeight="true" outlineLevel="0" collapsed="false">
      <c r="B30" s="220"/>
      <c r="C30" s="17"/>
      <c r="D30" s="17"/>
      <c r="E30" s="17"/>
    </row>
    <row r="31" customFormat="false" ht="22.5" hidden="false" customHeight="true" outlineLevel="0" collapsed="false">
      <c r="B31" s="220"/>
      <c r="C31" s="17"/>
      <c r="D31" s="17"/>
      <c r="E31" s="17"/>
    </row>
    <row r="32" customFormat="false" ht="22.5" hidden="false" customHeight="true" outlineLevel="0" collapsed="false">
      <c r="B32" s="220"/>
      <c r="C32" s="17"/>
      <c r="D32" s="17"/>
      <c r="E32" s="17"/>
    </row>
    <row r="33" customFormat="false" ht="22.5" hidden="false" customHeight="true" outlineLevel="0" collapsed="false">
      <c r="B33" s="220"/>
      <c r="C33" s="17"/>
      <c r="D33" s="17"/>
      <c r="E33" s="17"/>
    </row>
    <row r="34" customFormat="false" ht="21.75" hidden="false" customHeight="true" outlineLevel="0" collapsed="false">
      <c r="B34" s="221" t="s">
        <v>73</v>
      </c>
      <c r="C34" s="221"/>
      <c r="D34" s="221"/>
      <c r="E34" s="221"/>
    </row>
    <row r="35" customFormat="false" ht="21.75" hidden="false" customHeight="true" outlineLevel="0" collapsed="false">
      <c r="B35" s="215" t="s">
        <v>74</v>
      </c>
      <c r="C35" s="93" t="n">
        <f aca="false">SUM(C36:C38)</f>
        <v>500000</v>
      </c>
      <c r="D35" s="14" t="n">
        <f aca="false">SUM(D36:D38)</f>
        <v>0</v>
      </c>
      <c r="E35" s="15" t="n">
        <f aca="false">C35+D35</f>
        <v>500000</v>
      </c>
    </row>
    <row r="36" customFormat="false" ht="21.75" hidden="false" customHeight="true" outlineLevel="0" collapsed="false">
      <c r="B36" s="222" t="s">
        <v>75</v>
      </c>
      <c r="C36" s="60" t="n">
        <f aca="false">'BS (貸方)'!E36</f>
        <v>500000</v>
      </c>
      <c r="D36" s="17"/>
      <c r="E36" s="18" t="n">
        <f aca="false">C36+D36</f>
        <v>500000</v>
      </c>
    </row>
    <row r="37" customFormat="false" ht="21.75" hidden="false" customHeight="true" outlineLevel="0" collapsed="false">
      <c r="B37" s="222"/>
      <c r="C37" s="17" t="n">
        <f aca="false">'BS (貸方)'!E37</f>
        <v>0</v>
      </c>
      <c r="D37" s="17"/>
      <c r="E37" s="18" t="n">
        <f aca="false">C37+D37</f>
        <v>0</v>
      </c>
    </row>
    <row r="38" customFormat="false" ht="21.75" hidden="false" customHeight="true" outlineLevel="0" collapsed="false">
      <c r="B38" s="223"/>
      <c r="C38" s="37" t="n">
        <f aca="false">'BS (貸方)'!E38</f>
        <v>0</v>
      </c>
      <c r="D38" s="54"/>
      <c r="E38" s="18" t="n">
        <f aca="false">C38+D38</f>
        <v>0</v>
      </c>
    </row>
    <row r="39" customFormat="false" ht="21.75" hidden="false" customHeight="true" outlineLevel="0" collapsed="false">
      <c r="B39" s="215" t="s">
        <v>76</v>
      </c>
      <c r="C39" s="137" t="n">
        <f aca="false">SUM(C40:C42)</f>
        <v>5000000</v>
      </c>
      <c r="D39" s="216" t="n">
        <f aca="false">SUM(D40:D42)</f>
        <v>0</v>
      </c>
      <c r="E39" s="147" t="n">
        <f aca="false">C39+D39</f>
        <v>5000000</v>
      </c>
    </row>
    <row r="40" customFormat="false" ht="21.75" hidden="false" customHeight="true" outlineLevel="0" collapsed="false">
      <c r="B40" s="102" t="s">
        <v>77</v>
      </c>
      <c r="C40" s="224" t="n">
        <f aca="false">'BS (貸方)'!E40</f>
        <v>5000000</v>
      </c>
      <c r="D40" s="225"/>
      <c r="E40" s="161" t="n">
        <f aca="false">C40+D40</f>
        <v>5000000</v>
      </c>
    </row>
    <row r="41" customFormat="false" ht="21.75" hidden="false" customHeight="true" outlineLevel="0" collapsed="false">
      <c r="B41" s="222"/>
      <c r="C41" s="35" t="n">
        <f aca="false">'BS (貸方)'!E41</f>
        <v>0</v>
      </c>
      <c r="D41" s="52"/>
      <c r="E41" s="18" t="n">
        <f aca="false">C41+D41</f>
        <v>0</v>
      </c>
    </row>
    <row r="42" customFormat="false" ht="21.75" hidden="false" customHeight="true" outlineLevel="0" collapsed="false">
      <c r="B42" s="226"/>
      <c r="C42" s="37" t="n">
        <f aca="false">'BS (貸方)'!E42</f>
        <v>0</v>
      </c>
      <c r="D42" s="54"/>
      <c r="E42" s="18" t="n">
        <f aca="false">C42+D42</f>
        <v>0</v>
      </c>
    </row>
    <row r="43" customFormat="false" ht="22.5" hidden="false" customHeight="true" outlineLevel="0" collapsed="false">
      <c r="B43" s="215" t="s">
        <v>78</v>
      </c>
      <c r="C43" s="137" t="n">
        <f aca="false">SUM(C44:C47)</f>
        <v>321408762</v>
      </c>
      <c r="D43" s="216" t="n">
        <f aca="false">SUM(D44:D47)</f>
        <v>0</v>
      </c>
      <c r="E43" s="147" t="n">
        <f aca="false">C43+D43</f>
        <v>321408762</v>
      </c>
    </row>
    <row r="44" customFormat="false" ht="22.5" hidden="false" customHeight="true" outlineLevel="0" collapsed="false">
      <c r="B44" s="222" t="s">
        <v>79</v>
      </c>
      <c r="C44" s="60" t="n">
        <f aca="false">'BS (貸方)'!E44</f>
        <v>0</v>
      </c>
      <c r="D44" s="17"/>
      <c r="E44" s="18" t="n">
        <f aca="false">C44+D44</f>
        <v>0</v>
      </c>
    </row>
    <row r="45" customFormat="false" ht="22.5" hidden="false" customHeight="true" outlineLevel="0" collapsed="false">
      <c r="B45" s="222" t="s">
        <v>80</v>
      </c>
      <c r="C45" s="17" t="n">
        <f aca="false">'BS (貸方)'!E45</f>
        <v>0</v>
      </c>
      <c r="D45" s="17"/>
      <c r="E45" s="18" t="n">
        <f aca="false">C45+D45</f>
        <v>0</v>
      </c>
    </row>
    <row r="46" customFormat="false" ht="22.5" hidden="false" customHeight="true" outlineLevel="0" collapsed="false">
      <c r="B46" s="222" t="s">
        <v>81</v>
      </c>
      <c r="C46" s="17" t="n">
        <f aca="false">'BS (貸方)'!E46</f>
        <v>321408762</v>
      </c>
      <c r="D46" s="17"/>
      <c r="E46" s="18" t="n">
        <f aca="false">C46+D46</f>
        <v>321408762</v>
      </c>
    </row>
    <row r="47" customFormat="false" ht="22.5" hidden="false" customHeight="true" outlineLevel="0" collapsed="false">
      <c r="B47" s="223"/>
      <c r="C47" s="37"/>
      <c r="D47" s="54"/>
      <c r="E47" s="18" t="n">
        <f aca="false">C47+D47</f>
        <v>0</v>
      </c>
    </row>
    <row r="48" customFormat="false" ht="22.5" hidden="false" customHeight="true" outlineLevel="0" collapsed="false">
      <c r="B48" s="92" t="s">
        <v>82</v>
      </c>
      <c r="C48" s="137" t="n">
        <v>0</v>
      </c>
      <c r="D48" s="216" t="n">
        <v>0</v>
      </c>
      <c r="E48" s="147" t="n">
        <f aca="false">C48+D48</f>
        <v>0</v>
      </c>
    </row>
    <row r="49" customFormat="false" ht="22.5" hidden="false" customHeight="true" outlineLevel="0" collapsed="false">
      <c r="B49" s="92" t="s">
        <v>209</v>
      </c>
      <c r="C49" s="137"/>
      <c r="D49" s="216" t="n">
        <f aca="false">SUM(D50:D51)</f>
        <v>-6906711</v>
      </c>
      <c r="E49" s="147" t="n">
        <f aca="false">C49+D49</f>
        <v>-6906711</v>
      </c>
    </row>
    <row r="50" customFormat="false" ht="22.5" hidden="false" customHeight="true" outlineLevel="0" collapsed="false">
      <c r="B50" s="227" t="s">
        <v>174</v>
      </c>
      <c r="C50" s="228"/>
      <c r="D50" s="229" t="n">
        <f aca="false">'修正BS(借方)'!D61-'修正BS(借方)'!D60-(D28-D27)</f>
        <v>-10464714</v>
      </c>
      <c r="E50" s="230" t="n">
        <f aca="false">C50+D50</f>
        <v>-10464714</v>
      </c>
    </row>
    <row r="51" customFormat="false" ht="22.5" hidden="false" customHeight="true" outlineLevel="0" collapsed="false">
      <c r="B51" s="231" t="s">
        <v>210</v>
      </c>
      <c r="C51" s="34"/>
      <c r="D51" s="232" t="n">
        <f aca="false">'修正BS(借方)'!D60-D27</f>
        <v>3558003</v>
      </c>
      <c r="E51" s="148" t="n">
        <f aca="false">C51+D51</f>
        <v>3558003</v>
      </c>
    </row>
    <row r="52" customFormat="false" ht="22.5" hidden="false" customHeight="true" outlineLevel="0" collapsed="false">
      <c r="B52" s="233" t="s">
        <v>83</v>
      </c>
      <c r="C52" s="234" t="n">
        <f aca="false">C35+C39+C43+C48</f>
        <v>326908762</v>
      </c>
      <c r="D52" s="234" t="n">
        <f aca="false">D35+D39+D43+D48+D49</f>
        <v>-6906711</v>
      </c>
      <c r="E52" s="235" t="n">
        <f aca="false">C52+D52</f>
        <v>320002051</v>
      </c>
    </row>
    <row r="53" customFormat="false" ht="22.5" hidden="false" customHeight="true" outlineLevel="0" collapsed="false">
      <c r="B53" s="236" t="s">
        <v>84</v>
      </c>
      <c r="C53" s="237" t="n">
        <f aca="false">C28+C52</f>
        <v>796508990</v>
      </c>
      <c r="D53" s="237" t="n">
        <f aca="false">D28+D52</f>
        <v>3558003</v>
      </c>
      <c r="E53" s="238" t="n">
        <f aca="false">C53+D53</f>
        <v>800066993</v>
      </c>
    </row>
    <row r="54" customFormat="false" ht="18" hidden="false" customHeight="false" outlineLevel="0" collapsed="false">
      <c r="C54" s="43"/>
      <c r="D54" s="43"/>
      <c r="E54" s="43"/>
    </row>
    <row r="55" customFormat="false" ht="18" hidden="false" customHeight="false" outlineLevel="0" collapsed="false">
      <c r="B55" s="236" t="s">
        <v>211</v>
      </c>
      <c r="C55" s="43" t="n">
        <f aca="false">EXACT(E53,'修正BS(借方)'!E61)</f>
        <v>1</v>
      </c>
      <c r="D55" s="43"/>
      <c r="E55" s="43"/>
    </row>
    <row r="56" customFormat="false" ht="18" hidden="false" customHeight="false" outlineLevel="0" collapsed="false">
      <c r="C56" s="43"/>
      <c r="D56" s="43"/>
      <c r="E56" s="43"/>
    </row>
    <row r="57" customFormat="false" ht="18" hidden="false" customHeight="false" outlineLevel="0" collapsed="false">
      <c r="C57" s="43"/>
      <c r="D57" s="43"/>
      <c r="E57" s="43"/>
    </row>
    <row r="58" customFormat="false" ht="18" hidden="false" customHeight="false" outlineLevel="0" collapsed="false">
      <c r="C58" s="43"/>
      <c r="D58" s="43"/>
      <c r="E58" s="43"/>
    </row>
    <row r="59" customFormat="false" ht="18" hidden="false" customHeight="false" outlineLevel="0" collapsed="false">
      <c r="C59" s="43"/>
      <c r="D59" s="43"/>
      <c r="E59" s="43"/>
    </row>
    <row r="60" customFormat="false" ht="18" hidden="false" customHeight="false" outlineLevel="0" collapsed="false">
      <c r="C60" s="43"/>
      <c r="D60" s="43"/>
      <c r="E60" s="43"/>
    </row>
    <row r="61" customFormat="false" ht="18" hidden="false" customHeight="false" outlineLevel="0" collapsed="false">
      <c r="C61" s="43"/>
      <c r="D61" s="43"/>
      <c r="E61" s="43"/>
    </row>
    <row r="62" customFormat="false" ht="18" hidden="false" customHeight="false" outlineLevel="0" collapsed="false">
      <c r="C62" s="43"/>
      <c r="D62" s="43"/>
      <c r="E62" s="43"/>
    </row>
    <row r="63" customFormat="false" ht="18" hidden="false" customHeight="false" outlineLevel="0" collapsed="false">
      <c r="C63" s="43"/>
      <c r="D63" s="43"/>
      <c r="E63" s="43"/>
    </row>
    <row r="64" customFormat="false" ht="18" hidden="false" customHeight="false" outlineLevel="0" collapsed="false">
      <c r="C64" s="43"/>
      <c r="D64" s="43"/>
      <c r="E64" s="43"/>
    </row>
    <row r="65" customFormat="false" ht="18" hidden="false" customHeight="false" outlineLevel="0" collapsed="false">
      <c r="C65" s="43"/>
      <c r="D65" s="43"/>
      <c r="E65" s="43"/>
    </row>
    <row r="66" customFormat="false" ht="18" hidden="false" customHeight="false" outlineLevel="0" collapsed="false">
      <c r="C66" s="43"/>
      <c r="D66" s="43"/>
      <c r="E66" s="43"/>
    </row>
    <row r="67" customFormat="false" ht="18" hidden="false" customHeight="false" outlineLevel="0" collapsed="false">
      <c r="C67" s="43"/>
      <c r="D67" s="43"/>
      <c r="E67" s="43"/>
    </row>
    <row r="68" customFormat="false" ht="18" hidden="false" customHeight="false" outlineLevel="0" collapsed="false">
      <c r="C68" s="43"/>
      <c r="D68" s="43"/>
      <c r="E68" s="43"/>
    </row>
    <row r="69" customFormat="false" ht="18" hidden="false" customHeight="false" outlineLevel="0" collapsed="false">
      <c r="C69" s="43"/>
      <c r="D69" s="43"/>
      <c r="E69" s="43"/>
    </row>
    <row r="70" customFormat="false" ht="18" hidden="false" customHeight="false" outlineLevel="0" collapsed="false">
      <c r="C70" s="43"/>
      <c r="D70" s="43"/>
      <c r="E70" s="43"/>
    </row>
    <row r="71" customFormat="false" ht="18" hidden="false" customHeight="false" outlineLevel="0" collapsed="false">
      <c r="C71" s="43"/>
      <c r="D71" s="43"/>
      <c r="E71" s="43"/>
    </row>
    <row r="72" customFormat="false" ht="18" hidden="false" customHeight="false" outlineLevel="0" collapsed="false">
      <c r="C72" s="43"/>
      <c r="D72" s="43"/>
      <c r="E72" s="43"/>
    </row>
    <row r="73" customFormat="false" ht="18" hidden="false" customHeight="false" outlineLevel="0" collapsed="false">
      <c r="C73" s="43"/>
      <c r="D73" s="43"/>
      <c r="E73" s="43"/>
    </row>
    <row r="74" customFormat="false" ht="18" hidden="false" customHeight="false" outlineLevel="0" collapsed="false">
      <c r="C74" s="43"/>
      <c r="D74" s="43"/>
      <c r="E74" s="43"/>
    </row>
    <row r="75" customFormat="false" ht="18" hidden="false" customHeight="false" outlineLevel="0" collapsed="false">
      <c r="C75" s="43"/>
      <c r="D75" s="43"/>
      <c r="E75" s="43"/>
    </row>
    <row r="76" customFormat="false" ht="18" hidden="false" customHeight="false" outlineLevel="0" collapsed="false">
      <c r="C76" s="43"/>
      <c r="D76" s="43"/>
      <c r="E76" s="43"/>
    </row>
    <row r="77" customFormat="false" ht="18" hidden="false" customHeight="false" outlineLevel="0" collapsed="false">
      <c r="C77" s="43"/>
      <c r="D77" s="43"/>
      <c r="E77" s="43"/>
    </row>
    <row r="78" customFormat="false" ht="18" hidden="false" customHeight="false" outlineLevel="0" collapsed="false">
      <c r="C78" s="43"/>
      <c r="D78" s="43"/>
      <c r="E78" s="43"/>
    </row>
    <row r="79" customFormat="false" ht="18" hidden="false" customHeight="false" outlineLevel="0" collapsed="false">
      <c r="C79" s="43"/>
      <c r="D79" s="43"/>
      <c r="E79" s="43"/>
    </row>
    <row r="80" customFormat="false" ht="18" hidden="false" customHeight="false" outlineLevel="0" collapsed="false">
      <c r="C80" s="43"/>
      <c r="D80" s="43"/>
      <c r="E80" s="43"/>
    </row>
    <row r="81" customFormat="false" ht="18" hidden="false" customHeight="false" outlineLevel="0" collapsed="false">
      <c r="C81" s="43"/>
      <c r="D81" s="43"/>
      <c r="E81" s="43"/>
    </row>
    <row r="82" customFormat="false" ht="18" hidden="false" customHeight="false" outlineLevel="0" collapsed="false">
      <c r="C82" s="43"/>
      <c r="D82" s="43"/>
      <c r="E82" s="43"/>
    </row>
    <row r="83" customFormat="false" ht="18" hidden="false" customHeight="false" outlineLevel="0" collapsed="false">
      <c r="C83" s="43"/>
      <c r="D83" s="43"/>
      <c r="E83" s="43"/>
    </row>
    <row r="84" customFormat="false" ht="18" hidden="false" customHeight="false" outlineLevel="0" collapsed="false">
      <c r="C84" s="43"/>
      <c r="D84" s="43"/>
      <c r="E84" s="43"/>
    </row>
    <row r="85" customFormat="false" ht="18" hidden="false" customHeight="false" outlineLevel="0" collapsed="false">
      <c r="C85" s="43"/>
      <c r="D85" s="43"/>
      <c r="E85" s="43"/>
    </row>
    <row r="86" customFormat="false" ht="18" hidden="false" customHeight="false" outlineLevel="0" collapsed="false">
      <c r="C86" s="43"/>
      <c r="D86" s="43"/>
      <c r="E86" s="43"/>
    </row>
    <row r="87" customFormat="false" ht="18" hidden="false" customHeight="false" outlineLevel="0" collapsed="false">
      <c r="C87" s="43"/>
      <c r="D87" s="43"/>
      <c r="E87" s="43"/>
    </row>
    <row r="88" customFormat="false" ht="18" hidden="false" customHeight="false" outlineLevel="0" collapsed="false">
      <c r="C88" s="43"/>
      <c r="D88" s="43"/>
      <c r="E88" s="43"/>
    </row>
    <row r="89" customFormat="false" ht="18" hidden="false" customHeight="false" outlineLevel="0" collapsed="false">
      <c r="C89" s="43"/>
      <c r="D89" s="43"/>
      <c r="E89" s="43"/>
    </row>
    <row r="90" customFormat="false" ht="18" hidden="false" customHeight="false" outlineLevel="0" collapsed="false">
      <c r="C90" s="43"/>
      <c r="D90" s="43"/>
      <c r="E90" s="43"/>
    </row>
    <row r="91" customFormat="false" ht="18" hidden="false" customHeight="false" outlineLevel="0" collapsed="false">
      <c r="C91" s="43"/>
      <c r="D91" s="43"/>
      <c r="E91" s="43"/>
    </row>
    <row r="92" customFormat="false" ht="18" hidden="false" customHeight="false" outlineLevel="0" collapsed="false">
      <c r="C92" s="43"/>
      <c r="D92" s="43"/>
      <c r="E92" s="43"/>
    </row>
    <row r="93" customFormat="false" ht="18" hidden="false" customHeight="false" outlineLevel="0" collapsed="false">
      <c r="C93" s="43"/>
      <c r="D93" s="43"/>
      <c r="E93" s="43"/>
    </row>
    <row r="94" customFormat="false" ht="18" hidden="false" customHeight="false" outlineLevel="0" collapsed="false">
      <c r="C94" s="43"/>
      <c r="D94" s="43"/>
      <c r="E94" s="43"/>
    </row>
    <row r="95" customFormat="false" ht="18" hidden="false" customHeight="false" outlineLevel="0" collapsed="false">
      <c r="C95" s="43"/>
      <c r="D95" s="43"/>
      <c r="E95" s="43"/>
    </row>
    <row r="96" customFormat="false" ht="18" hidden="false" customHeight="false" outlineLevel="0" collapsed="false">
      <c r="C96" s="43"/>
      <c r="D96" s="43"/>
      <c r="E96" s="43"/>
    </row>
    <row r="97" customFormat="false" ht="18" hidden="false" customHeight="false" outlineLevel="0" collapsed="false">
      <c r="C97" s="43"/>
      <c r="D97" s="43"/>
      <c r="E97" s="43"/>
    </row>
    <row r="98" customFormat="false" ht="18" hidden="false" customHeight="false" outlineLevel="0" collapsed="false">
      <c r="C98" s="43"/>
      <c r="D98" s="43"/>
      <c r="E98" s="43"/>
    </row>
    <row r="99" customFormat="false" ht="18" hidden="false" customHeight="false" outlineLevel="0" collapsed="false">
      <c r="C99" s="43"/>
      <c r="D99" s="43"/>
      <c r="E99" s="43"/>
    </row>
    <row r="100" customFormat="false" ht="18" hidden="false" customHeight="false" outlineLevel="0" collapsed="false">
      <c r="C100" s="43"/>
      <c r="D100" s="43"/>
      <c r="E100" s="43"/>
    </row>
    <row r="101" customFormat="false" ht="18" hidden="false" customHeight="false" outlineLevel="0" collapsed="false">
      <c r="C101" s="43"/>
      <c r="D101" s="43"/>
      <c r="E101" s="43"/>
    </row>
    <row r="102" customFormat="false" ht="18" hidden="false" customHeight="false" outlineLevel="0" collapsed="false">
      <c r="C102" s="43"/>
      <c r="D102" s="43"/>
      <c r="E102" s="43"/>
    </row>
    <row r="103" customFormat="false" ht="18" hidden="false" customHeight="false" outlineLevel="0" collapsed="false">
      <c r="C103" s="43"/>
      <c r="D103" s="43"/>
      <c r="E103" s="43"/>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125" defaultRowHeight="18" zeroHeight="false" outlineLevelRow="0" outlineLevelCol="0"/>
  <cols>
    <col collapsed="false" customWidth="true" hidden="false" outlineLevel="0" max="2" min="2" style="20" width="37.1"/>
    <col collapsed="false" customWidth="true" hidden="false" outlineLevel="0" max="4" min="3" style="20" width="18.6"/>
    <col collapsed="false" customWidth="true" hidden="false" outlineLevel="0" max="7" min="5" style="20" width="19.7"/>
  </cols>
  <sheetData>
    <row r="2" customFormat="false" ht="18" hidden="false" customHeight="false" outlineLevel="0" collapsed="false">
      <c r="D2" s="47" t="s">
        <v>59</v>
      </c>
      <c r="E2" s="47" t="s">
        <v>59</v>
      </c>
      <c r="F2" s="47" t="s">
        <v>59</v>
      </c>
    </row>
    <row r="3" customFormat="false" ht="21.75" hidden="false" customHeight="true" outlineLevel="0" collapsed="false">
      <c r="B3" s="61" t="s">
        <v>212</v>
      </c>
      <c r="C3" s="174" t="s">
        <v>213</v>
      </c>
      <c r="D3" s="174" t="s">
        <v>214</v>
      </c>
      <c r="E3" s="239" t="s">
        <v>215</v>
      </c>
      <c r="F3" s="174" t="s">
        <v>214</v>
      </c>
    </row>
    <row r="4" customFormat="false" ht="31.5" hidden="false" customHeight="true" outlineLevel="0" collapsed="false">
      <c r="B4" s="240" t="n">
        <v>9099751</v>
      </c>
      <c r="C4" s="241" t="s">
        <v>216</v>
      </c>
      <c r="D4" s="242" t="n">
        <f aca="false">ROUND(B4*31/31,0)</f>
        <v>9099751</v>
      </c>
      <c r="E4" s="243" t="n">
        <f aca="false">ROUND(D4*0.15,0)</f>
        <v>1364963</v>
      </c>
      <c r="F4" s="242" t="n">
        <f aca="false">D4+E4</f>
        <v>10464714</v>
      </c>
    </row>
    <row r="7" customFormat="false" ht="18" hidden="false" customHeight="false" outlineLevel="0" collapsed="false">
      <c r="D7" s="47"/>
      <c r="E7" s="47" t="s">
        <v>59</v>
      </c>
    </row>
    <row r="8" customFormat="false" ht="19.5" hidden="false" customHeight="true" outlineLevel="0" collapsed="false">
      <c r="B8" s="61" t="s">
        <v>217</v>
      </c>
      <c r="C8" s="174" t="s">
        <v>218</v>
      </c>
      <c r="D8" s="174" t="s">
        <v>219</v>
      </c>
      <c r="E8" s="174" t="s">
        <v>220</v>
      </c>
      <c r="F8" s="239" t="s">
        <v>215</v>
      </c>
      <c r="G8" s="239" t="s">
        <v>221</v>
      </c>
    </row>
    <row r="9" customFormat="false" ht="31.5" hidden="false" customHeight="true" outlineLevel="0" collapsed="false">
      <c r="B9" s="240" t="n">
        <v>0</v>
      </c>
      <c r="C9" s="244" t="s">
        <v>222</v>
      </c>
      <c r="D9" s="244" t="s">
        <v>19</v>
      </c>
      <c r="E9" s="245" t="n">
        <f aca="false">B9*0</f>
        <v>0</v>
      </c>
      <c r="F9" s="243" t="n">
        <f aca="false">E9*0.15</f>
        <v>0</v>
      </c>
      <c r="G9" s="246" t="n">
        <f aca="false">E9+F9</f>
        <v>0</v>
      </c>
    </row>
    <row r="10" customFormat="false" ht="31.5" hidden="false" customHeight="true" outlineLevel="0" collapsed="false"/>
    <row r="11"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125" defaultRowHeight="18" zeroHeight="false" outlineLevelRow="0" outlineLevelCol="0"/>
  <cols>
    <col collapsed="false" customWidth="true" hidden="false" outlineLevel="0" max="2" min="2" style="20" width="4.7"/>
    <col collapsed="false" customWidth="true" hidden="false" outlineLevel="0" max="3" min="3" style="20" width="14.5"/>
    <col collapsed="false" customWidth="true" hidden="false" outlineLevel="0" max="11" min="4" style="20" width="18.6"/>
  </cols>
  <sheetData>
    <row r="2" customFormat="false" ht="18" hidden="false" customHeight="false" outlineLevel="0" collapsed="false">
      <c r="J2" s="47" t="s">
        <v>59</v>
      </c>
    </row>
    <row r="3" customFormat="false" ht="21.75" hidden="false" customHeight="true" outlineLevel="0" collapsed="false">
      <c r="B3" s="247" t="s">
        <v>223</v>
      </c>
      <c r="C3" s="61" t="s">
        <v>224</v>
      </c>
      <c r="D3" s="174" t="s">
        <v>225</v>
      </c>
      <c r="E3" s="174" t="s">
        <v>226</v>
      </c>
      <c r="F3" s="174" t="s">
        <v>227</v>
      </c>
      <c r="G3" s="174" t="s">
        <v>228</v>
      </c>
      <c r="H3" s="174" t="s">
        <v>229</v>
      </c>
      <c r="I3" s="174" t="s">
        <v>230</v>
      </c>
      <c r="J3" s="174" t="s">
        <v>231</v>
      </c>
    </row>
    <row r="4" customFormat="false" ht="31.5" hidden="false" customHeight="true" outlineLevel="0" collapsed="false">
      <c r="B4" s="248"/>
      <c r="C4" s="249" t="s">
        <v>232</v>
      </c>
      <c r="D4" s="244"/>
      <c r="E4" s="244"/>
      <c r="F4" s="244"/>
      <c r="G4" s="244"/>
      <c r="H4" s="244"/>
      <c r="I4" s="244"/>
      <c r="J4" s="244"/>
    </row>
    <row r="5" customFormat="false" ht="31.5" hidden="false" customHeight="true" outlineLevel="0" collapsed="false">
      <c r="B5" s="248"/>
      <c r="C5" s="249"/>
      <c r="D5" s="244"/>
      <c r="E5" s="244"/>
      <c r="F5" s="244"/>
      <c r="G5" s="244"/>
      <c r="H5" s="244"/>
      <c r="I5" s="244"/>
      <c r="J5" s="244"/>
    </row>
    <row r="6" customFormat="false" ht="31.5" hidden="false" customHeight="true" outlineLevel="0" collapsed="false">
      <c r="B6" s="248"/>
      <c r="C6" s="249"/>
      <c r="D6" s="244"/>
      <c r="E6" s="244"/>
      <c r="F6" s="244"/>
      <c r="G6" s="244"/>
      <c r="H6" s="244"/>
      <c r="I6" s="244"/>
      <c r="J6" s="244"/>
    </row>
    <row r="7" customFormat="false" ht="31.5" hidden="false" customHeight="true" outlineLevel="0" collapsed="false">
      <c r="B7" s="248"/>
      <c r="C7" s="249"/>
      <c r="D7" s="244"/>
      <c r="E7" s="244"/>
      <c r="F7" s="244"/>
      <c r="G7" s="244"/>
      <c r="H7" s="244"/>
      <c r="I7" s="244"/>
      <c r="J7" s="244"/>
    </row>
    <row r="8" customFormat="false" ht="31.5" hidden="false" customHeight="true" outlineLevel="0" collapsed="false">
      <c r="B8" s="248"/>
      <c r="C8" s="249"/>
      <c r="D8" s="244"/>
      <c r="E8" s="244"/>
      <c r="F8" s="244"/>
      <c r="G8" s="244"/>
      <c r="H8" s="244"/>
      <c r="I8" s="244"/>
      <c r="J8" s="244"/>
    </row>
    <row r="9" customFormat="false" ht="31.5" hidden="false" customHeight="true" outlineLevel="0" collapsed="false">
      <c r="B9" s="248"/>
      <c r="C9" s="249"/>
      <c r="D9" s="244"/>
      <c r="E9" s="244"/>
      <c r="F9" s="244"/>
      <c r="G9" s="244"/>
      <c r="H9" s="244"/>
      <c r="I9" s="244"/>
      <c r="J9" s="244"/>
    </row>
    <row r="10" customFormat="false" ht="31.5" hidden="false" customHeight="true" outlineLevel="0" collapsed="false">
      <c r="B10" s="183"/>
      <c r="C10" s="183" t="s">
        <v>131</v>
      </c>
      <c r="D10" s="211"/>
      <c r="E10" s="211"/>
      <c r="F10" s="211"/>
      <c r="G10" s="211"/>
      <c r="H10" s="184" t="n">
        <v>0</v>
      </c>
      <c r="I10" s="184" t="n">
        <v>0</v>
      </c>
      <c r="J10" s="184" t="n">
        <f aca="false">H10+I10</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125" defaultRowHeight="18" zeroHeight="false" outlineLevelRow="0" outlineLevelCol="0"/>
  <cols>
    <col collapsed="false" customWidth="true" hidden="false" outlineLevel="0" max="2" min="2" style="20" width="35.1"/>
    <col collapsed="false" customWidth="true" hidden="false" outlineLevel="0" max="3" min="3" style="20" width="21.2"/>
    <col collapsed="false" customWidth="true" hidden="false" outlineLevel="0" max="5" min="4" style="20" width="18.6"/>
    <col collapsed="false" customWidth="true" hidden="false" outlineLevel="0" max="6" min="6" style="20" width="51.5"/>
  </cols>
  <sheetData>
    <row r="2" customFormat="false" ht="18" hidden="false" customHeight="false" outlineLevel="0" collapsed="false">
      <c r="E2" s="47" t="s">
        <v>59</v>
      </c>
    </row>
    <row r="3" customFormat="false" ht="21.75" hidden="false" customHeight="true" outlineLevel="0" collapsed="false">
      <c r="B3" s="61" t="s">
        <v>233</v>
      </c>
      <c r="C3" s="205" t="s">
        <v>234</v>
      </c>
      <c r="D3" s="174" t="s">
        <v>174</v>
      </c>
      <c r="E3" s="174" t="s">
        <v>235</v>
      </c>
      <c r="F3" s="175" t="s">
        <v>236</v>
      </c>
    </row>
    <row r="4" customFormat="false" ht="31.5" hidden="false" customHeight="true" outlineLevel="0" collapsed="false">
      <c r="B4" s="176" t="s">
        <v>22</v>
      </c>
      <c r="C4" s="250" t="s">
        <v>237</v>
      </c>
      <c r="D4" s="87" t="n">
        <v>0</v>
      </c>
      <c r="E4" s="87" t="n">
        <f aca="false">ROUND(-D4*0.34,0)</f>
        <v>-0</v>
      </c>
      <c r="F4" s="251" t="s">
        <v>238</v>
      </c>
    </row>
    <row r="5" customFormat="false" ht="31.5" hidden="false" customHeight="true" outlineLevel="0" collapsed="false">
      <c r="B5" s="146" t="s">
        <v>239</v>
      </c>
      <c r="C5" s="252" t="s">
        <v>237</v>
      </c>
      <c r="D5" s="178" t="n">
        <v>0</v>
      </c>
      <c r="E5" s="178" t="n">
        <f aca="false">ROUND(-D5*0.34,0)</f>
        <v>-0</v>
      </c>
      <c r="F5" s="177" t="s">
        <v>238</v>
      </c>
    </row>
    <row r="6" customFormat="false" ht="31.5" hidden="false" customHeight="true" outlineLevel="0" collapsed="false">
      <c r="B6" s="146" t="s">
        <v>35</v>
      </c>
      <c r="C6" s="252" t="s">
        <v>237</v>
      </c>
      <c r="D6" s="178"/>
      <c r="E6" s="178" t="n">
        <f aca="false">ROUND(-D6*0.34,0)</f>
        <v>-0</v>
      </c>
      <c r="F6" s="177"/>
    </row>
    <row r="7" customFormat="false" ht="31.5" hidden="false" customHeight="true" outlineLevel="0" collapsed="false">
      <c r="B7" s="146" t="s">
        <v>42</v>
      </c>
      <c r="C7" s="253" t="s">
        <v>240</v>
      </c>
      <c r="D7" s="178"/>
      <c r="E7" s="254" t="s">
        <v>120</v>
      </c>
      <c r="F7" s="177" t="s">
        <v>241</v>
      </c>
    </row>
    <row r="8" customFormat="false" ht="31.5" hidden="false" customHeight="true" outlineLevel="0" collapsed="false">
      <c r="B8" s="146" t="s">
        <v>46</v>
      </c>
      <c r="C8" s="253" t="s">
        <v>240</v>
      </c>
      <c r="D8" s="178"/>
      <c r="E8" s="254" t="s">
        <v>120</v>
      </c>
      <c r="F8" s="177" t="s">
        <v>242</v>
      </c>
    </row>
    <row r="9" customFormat="false" ht="31.5" hidden="false" customHeight="true" outlineLevel="0" collapsed="false">
      <c r="B9" s="146" t="s">
        <v>51</v>
      </c>
      <c r="C9" s="252" t="s">
        <v>237</v>
      </c>
      <c r="D9" s="178"/>
      <c r="E9" s="178" t="n">
        <f aca="false">ROUND(-D9*0.34,0)</f>
        <v>-0</v>
      </c>
      <c r="F9" s="177" t="s">
        <v>243</v>
      </c>
    </row>
    <row r="10" customFormat="false" ht="31.5" hidden="false" customHeight="true" outlineLevel="0" collapsed="false">
      <c r="B10" s="146" t="s">
        <v>52</v>
      </c>
      <c r="C10" s="252" t="s">
        <v>237</v>
      </c>
      <c r="D10" s="178"/>
      <c r="E10" s="178" t="n">
        <f aca="false">ROUND(-D10*0.34,0)</f>
        <v>-0</v>
      </c>
      <c r="F10" s="177" t="s">
        <v>243</v>
      </c>
    </row>
    <row r="11" customFormat="false" ht="31.5" hidden="false" customHeight="true" outlineLevel="0" collapsed="false">
      <c r="B11" s="146" t="s">
        <v>64</v>
      </c>
      <c r="C11" s="252" t="s">
        <v>237</v>
      </c>
      <c r="D11" s="178" t="n">
        <f aca="false">-未払人件費・賞与!F4</f>
        <v>-10464714</v>
      </c>
      <c r="E11" s="178" t="n">
        <f aca="false">ROUND(-D11*0.34,0)</f>
        <v>3558003</v>
      </c>
      <c r="F11" s="207" t="s">
        <v>244</v>
      </c>
    </row>
    <row r="12" customFormat="false" ht="31.5" hidden="false" customHeight="true" outlineLevel="0" collapsed="false">
      <c r="B12" s="146" t="s">
        <v>245</v>
      </c>
      <c r="C12" s="252" t="s">
        <v>237</v>
      </c>
      <c r="D12" s="178"/>
      <c r="E12" s="178" t="n">
        <f aca="false">ROUND(-D12*0.34,0)</f>
        <v>-0</v>
      </c>
      <c r="F12" s="177" t="s">
        <v>246</v>
      </c>
    </row>
    <row r="13" customFormat="false" ht="31.5" hidden="false" customHeight="true" outlineLevel="0" collapsed="false">
      <c r="B13" s="146" t="s">
        <v>247</v>
      </c>
      <c r="C13" s="252" t="s">
        <v>237</v>
      </c>
      <c r="D13" s="178"/>
      <c r="E13" s="178" t="n">
        <f aca="false">ROUND(-D13*0.34,0)</f>
        <v>-0</v>
      </c>
      <c r="F13" s="177" t="s">
        <v>248</v>
      </c>
    </row>
    <row r="14" customFormat="false" ht="31.5" hidden="false" customHeight="true" outlineLevel="0" collapsed="false">
      <c r="B14" s="146"/>
      <c r="C14" s="252" t="s">
        <v>237</v>
      </c>
      <c r="D14" s="178"/>
      <c r="E14" s="178" t="n">
        <f aca="false">ROUND(-D14*0.34,0)</f>
        <v>-0</v>
      </c>
      <c r="F14" s="177"/>
    </row>
    <row r="15" customFormat="false" ht="31.5" hidden="false" customHeight="true" outlineLevel="0" collapsed="false">
      <c r="B15" s="146"/>
      <c r="C15" s="252" t="s">
        <v>237</v>
      </c>
      <c r="D15" s="178"/>
      <c r="E15" s="178" t="n">
        <f aca="false">ROUND(-D15*0.34,0)</f>
        <v>-0</v>
      </c>
      <c r="F15" s="177"/>
    </row>
    <row r="16" customFormat="false" ht="31.5" hidden="false" customHeight="true" outlineLevel="0" collapsed="false">
      <c r="B16" s="146"/>
      <c r="C16" s="252" t="s">
        <v>237</v>
      </c>
      <c r="D16" s="178"/>
      <c r="E16" s="178" t="n">
        <f aca="false">ROUND(-D16*0.34,0)</f>
        <v>-0</v>
      </c>
      <c r="F16" s="177"/>
    </row>
    <row r="17" customFormat="false" ht="31.5" hidden="false" customHeight="true" outlineLevel="0" collapsed="false">
      <c r="B17" s="180"/>
      <c r="C17" s="255" t="s">
        <v>237</v>
      </c>
      <c r="D17" s="181"/>
      <c r="E17" s="35" t="n">
        <f aca="false">ROUND(-D17*0.34,0)</f>
        <v>-0</v>
      </c>
      <c r="F17" s="182"/>
    </row>
    <row r="18" customFormat="false" ht="31.5" hidden="false" customHeight="true" outlineLevel="0" collapsed="false">
      <c r="B18" s="183" t="s">
        <v>131</v>
      </c>
      <c r="C18" s="256" t="s">
        <v>120</v>
      </c>
      <c r="D18" s="184" t="n">
        <f aca="false">SUM(D4:D17)</f>
        <v>-10464714</v>
      </c>
      <c r="E18" s="184" t="n">
        <f aca="false">SUM(E4:E17)</f>
        <v>3558003</v>
      </c>
      <c r="F18" s="18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53125" defaultRowHeight="18" zeroHeight="false" outlineLevelRow="0" outlineLevelCol="0"/>
  <cols>
    <col collapsed="false" customWidth="true" hidden="false" outlineLevel="0" max="3" min="2" style="20" width="27.4"/>
    <col collapsed="false" customWidth="true" hidden="false" outlineLevel="0" max="4" min="4" style="20" width="4.9"/>
    <col collapsed="false" customWidth="true" hidden="false" outlineLevel="0" max="6" min="5" style="20" width="27.4"/>
  </cols>
  <sheetData>
    <row r="2" customFormat="false" ht="18" hidden="false" customHeight="false" outlineLevel="0" collapsed="false">
      <c r="C2" s="47"/>
      <c r="F2" s="47" t="s">
        <v>59</v>
      </c>
    </row>
    <row r="3" customFormat="false" ht="21.75" hidden="false" customHeight="true" outlineLevel="0" collapsed="false">
      <c r="B3" s="61" t="s">
        <v>249</v>
      </c>
      <c r="C3" s="174" t="s">
        <v>250</v>
      </c>
      <c r="E3" s="61" t="s">
        <v>251</v>
      </c>
      <c r="F3" s="174" t="s">
        <v>250</v>
      </c>
    </row>
    <row r="4" customFormat="false" ht="31.5" hidden="false" customHeight="true" outlineLevel="0" collapsed="false">
      <c r="B4" s="249" t="s">
        <v>10</v>
      </c>
      <c r="C4" s="244" t="n">
        <f aca="false">'修正BS(借方)'!E6</f>
        <v>226057309</v>
      </c>
      <c r="E4" s="249" t="s">
        <v>252</v>
      </c>
      <c r="F4" s="244" t="n">
        <v>86156000</v>
      </c>
    </row>
    <row r="5" customFormat="false" ht="31.5" hidden="false" customHeight="true" outlineLevel="0" collapsed="false">
      <c r="B5" s="257" t="s">
        <v>253</v>
      </c>
      <c r="C5" s="258" t="n">
        <v>0</v>
      </c>
      <c r="E5" s="257" t="s">
        <v>254</v>
      </c>
      <c r="F5" s="258" t="n">
        <v>0</v>
      </c>
    </row>
    <row r="6" customFormat="false" ht="31.5" hidden="false" customHeight="true" outlineLevel="0" collapsed="false">
      <c r="B6" s="257" t="s">
        <v>255</v>
      </c>
      <c r="C6" s="258" t="n">
        <v>0</v>
      </c>
      <c r="E6" s="257" t="s">
        <v>256</v>
      </c>
      <c r="F6" s="258" t="n">
        <v>0</v>
      </c>
    </row>
    <row r="7" customFormat="false" ht="31.5" hidden="false" customHeight="true" outlineLevel="0" collapsed="false">
      <c r="B7" s="257" t="s">
        <v>31</v>
      </c>
      <c r="C7" s="258" t="n">
        <v>0</v>
      </c>
      <c r="E7" s="257" t="s">
        <v>257</v>
      </c>
      <c r="F7" s="258" t="n">
        <v>359666506</v>
      </c>
    </row>
    <row r="8" customFormat="false" ht="31.5" hidden="false" customHeight="true" outlineLevel="0" collapsed="false">
      <c r="B8" s="257" t="s">
        <v>51</v>
      </c>
      <c r="C8" s="258" t="n">
        <v>0</v>
      </c>
      <c r="E8" s="257" t="s">
        <v>258</v>
      </c>
      <c r="F8" s="258" t="n">
        <f aca="false">'修正BS(貸方) '!E11</f>
        <v>97300</v>
      </c>
    </row>
    <row r="9" customFormat="false" ht="31.5" hidden="false" customHeight="true" outlineLevel="0" collapsed="false">
      <c r="B9" s="257" t="s">
        <v>52</v>
      </c>
      <c r="C9" s="258" t="n">
        <v>0</v>
      </c>
      <c r="E9" s="257" t="s">
        <v>259</v>
      </c>
      <c r="F9" s="258" t="n">
        <v>0</v>
      </c>
    </row>
    <row r="10" customFormat="false" ht="31.5" hidden="false" customHeight="true" outlineLevel="0" collapsed="false">
      <c r="B10" s="259" t="s">
        <v>260</v>
      </c>
      <c r="C10" s="258" t="n">
        <v>0</v>
      </c>
      <c r="E10" s="257" t="s">
        <v>261</v>
      </c>
      <c r="F10" s="258" t="n">
        <v>0</v>
      </c>
    </row>
    <row r="11" customFormat="false" ht="31.5" hidden="false" customHeight="true" outlineLevel="0" collapsed="false">
      <c r="B11" s="257" t="s">
        <v>262</v>
      </c>
      <c r="C11" s="258" t="n">
        <v>0</v>
      </c>
      <c r="E11" s="257" t="s">
        <v>263</v>
      </c>
      <c r="F11" s="258" t="n">
        <v>0</v>
      </c>
    </row>
    <row r="12" customFormat="false" ht="31.5" hidden="false" customHeight="true" outlineLevel="0" collapsed="false">
      <c r="B12" s="257" t="s">
        <v>32</v>
      </c>
      <c r="C12" s="260" t="n">
        <f aca="false">'修正BS(借方)'!E18</f>
        <v>10878400</v>
      </c>
      <c r="E12" s="259" t="s">
        <v>264</v>
      </c>
      <c r="F12" s="260" t="n">
        <v>0</v>
      </c>
    </row>
    <row r="13" customFormat="false" ht="31.5" hidden="false" customHeight="true" outlineLevel="0" collapsed="false">
      <c r="B13" s="183" t="s">
        <v>131</v>
      </c>
      <c r="C13" s="261" t="n">
        <f aca="false">SUM(C4:C12)</f>
        <v>236935709</v>
      </c>
      <c r="E13" s="183" t="s">
        <v>131</v>
      </c>
      <c r="F13" s="261" t="n">
        <f aca="false">SUM(F4:F12)</f>
        <v>445919806</v>
      </c>
    </row>
    <row r="14" customFormat="false" ht="18" hidden="false" customHeight="true" outlineLevel="0" collapsed="false"/>
    <row r="15" customFormat="false" ht="31.5" hidden="false" customHeight="true" outlineLevel="0" collapsed="false">
      <c r="B15" s="262" t="s">
        <v>265</v>
      </c>
      <c r="C15" s="263" t="n">
        <f aca="false">C13-F13</f>
        <v>-208984097</v>
      </c>
      <c r="E15" s="262" t="s">
        <v>266</v>
      </c>
      <c r="F15" s="263" t="n">
        <f aca="false">F13-C13</f>
        <v>208984097</v>
      </c>
    </row>
    <row r="17" customFormat="false" ht="18" hidden="false" customHeight="false" outlineLevel="0" collapsed="false">
      <c r="C17" s="2"/>
      <c r="F17" s="2"/>
    </row>
    <row r="19" customFormat="false" ht="18" hidden="false" customHeight="false" outlineLevel="0" collapsed="false">
      <c r="B19" s="264" t="s">
        <v>267</v>
      </c>
    </row>
    <row r="20" customFormat="false" ht="18" hidden="false" customHeight="false" outlineLevel="0" collapsed="false">
      <c r="B20" s="264" t="s">
        <v>268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S67"/>
  <sheetViews>
    <sheetView showFormulas="false" showGridLines="false" showRowColHeaders="true" showZeros="true" rightToLeft="false" tabSelected="false" showOutlineSymbols="true" defaultGridColor="true" view="normal" topLeftCell="A1" colorId="64" zoomScale="89" zoomScaleNormal="89" zoomScalePageLayoutView="100" workbookViewId="0">
      <pane xSplit="0" ySplit="4" topLeftCell="A36" activePane="bottomLeft" state="frozen"/>
      <selection pane="topLeft" activeCell="A1" activeCellId="0" sqref="A1"/>
      <selection pane="bottomLeft" activeCell="Q5" activeCellId="0" sqref="Q5"/>
    </sheetView>
  </sheetViews>
  <sheetFormatPr defaultColWidth="8.53125" defaultRowHeight="18" zeroHeight="false" outlineLevelRow="0" outlineLevelCol="0"/>
  <cols>
    <col collapsed="false" customWidth="true" hidden="false" outlineLevel="0" max="2" min="2" style="46" width="28"/>
    <col collapsed="false" customWidth="true" hidden="false" outlineLevel="0" max="17" min="3" style="19" width="15"/>
    <col collapsed="false" customWidth="true" hidden="false" outlineLevel="0" max="18" min="18" style="20" width="16.1"/>
    <col collapsed="false" customWidth="true" hidden="false" outlineLevel="0" max="19" min="19" style="20" width="8.8"/>
  </cols>
  <sheetData>
    <row r="1" customFormat="false" ht="18" hidden="false" customHeight="false" outlineLevel="0" collapsed="false">
      <c r="B1" s="19"/>
      <c r="C1" s="2"/>
      <c r="D1" s="2"/>
      <c r="E1" s="2"/>
      <c r="F1" s="2"/>
      <c r="G1" s="2"/>
      <c r="H1" s="2"/>
      <c r="I1" s="2"/>
      <c r="J1" s="2"/>
      <c r="K1" s="2"/>
      <c r="L1" s="2"/>
      <c r="M1" s="2"/>
      <c r="N1" s="2"/>
      <c r="O1" s="2"/>
      <c r="P1" s="2"/>
      <c r="Q1" s="2"/>
    </row>
    <row r="2" customFormat="false" ht="18" hidden="false" customHeight="false" outlineLevel="0" collapsed="false">
      <c r="B2" s="2"/>
      <c r="C2" s="46"/>
      <c r="D2" s="2"/>
      <c r="E2" s="2"/>
      <c r="F2" s="46"/>
      <c r="G2" s="2"/>
      <c r="H2" s="2"/>
      <c r="I2" s="46"/>
      <c r="J2" s="2"/>
      <c r="K2" s="47" t="s">
        <v>59</v>
      </c>
      <c r="L2" s="46"/>
      <c r="M2" s="2"/>
      <c r="N2" s="2"/>
      <c r="O2" s="46"/>
      <c r="P2" s="2"/>
      <c r="Q2" s="2"/>
      <c r="S2" s="47"/>
    </row>
    <row r="3" customFormat="false" ht="20.25" hidden="false" customHeight="true" outlineLevel="0" collapsed="false">
      <c r="B3" s="8" t="s">
        <v>6</v>
      </c>
      <c r="C3" s="132" t="str">
        <f aca="false">'BS(借方)'!C4</f>
        <v>令和6年3月期</v>
      </c>
      <c r="D3" s="132"/>
      <c r="E3" s="132"/>
      <c r="F3" s="132" t="str">
        <f aca="false">'BS(借方)'!D4</f>
        <v>令和7年3月期</v>
      </c>
      <c r="G3" s="132"/>
      <c r="H3" s="132"/>
      <c r="I3" s="132" t="str">
        <f aca="false">'BS(借方)'!E4</f>
        <v>令和8年3月期</v>
      </c>
      <c r="J3" s="132"/>
      <c r="K3" s="132"/>
      <c r="L3" s="132" t="str">
        <f aca="false">'BS(借方)'!F4</f>
        <v>－</v>
      </c>
      <c r="M3" s="132"/>
      <c r="N3" s="132"/>
      <c r="O3" s="265" t="str">
        <f aca="false">'BS(借方)'!G4</f>
        <v>進行期
（試算表未受領）</v>
      </c>
      <c r="P3" s="265"/>
      <c r="Q3" s="265"/>
    </row>
    <row r="4" customFormat="false" ht="19.5" hidden="false" customHeight="true" outlineLevel="0" collapsed="false">
      <c r="B4" s="8"/>
      <c r="C4" s="109" t="s">
        <v>85</v>
      </c>
      <c r="D4" s="266" t="s">
        <v>174</v>
      </c>
      <c r="E4" s="267" t="s">
        <v>175</v>
      </c>
      <c r="F4" s="268" t="s">
        <v>85</v>
      </c>
      <c r="G4" s="266" t="s">
        <v>174</v>
      </c>
      <c r="H4" s="267" t="s">
        <v>175</v>
      </c>
      <c r="I4" s="109" t="s">
        <v>85</v>
      </c>
      <c r="J4" s="266" t="s">
        <v>174</v>
      </c>
      <c r="K4" s="267" t="s">
        <v>175</v>
      </c>
      <c r="L4" s="109" t="s">
        <v>85</v>
      </c>
      <c r="M4" s="266" t="s">
        <v>174</v>
      </c>
      <c r="N4" s="267" t="s">
        <v>175</v>
      </c>
      <c r="O4" s="112" t="s">
        <v>85</v>
      </c>
      <c r="P4" s="112" t="s">
        <v>174</v>
      </c>
      <c r="Q4" s="267" t="s">
        <v>175</v>
      </c>
    </row>
    <row r="5" customFormat="false" ht="22.5" hidden="false" customHeight="true" outlineLevel="0" collapsed="false">
      <c r="B5" s="86" t="s">
        <v>87</v>
      </c>
      <c r="C5" s="35" t="n">
        <f aca="false">PL!C5</f>
        <v>366805605</v>
      </c>
      <c r="D5" s="52"/>
      <c r="E5" s="18" t="n">
        <f aca="false">C5+D5</f>
        <v>366805605</v>
      </c>
      <c r="F5" s="35" t="n">
        <f aca="false">PL!E5</f>
        <v>344797561</v>
      </c>
      <c r="G5" s="52"/>
      <c r="H5" s="18" t="n">
        <f aca="false">F5+G5</f>
        <v>344797561</v>
      </c>
      <c r="I5" s="35" t="n">
        <f aca="false">PL!G5</f>
        <v>303702978</v>
      </c>
      <c r="J5" s="52"/>
      <c r="K5" s="18" t="n">
        <f aca="false">I5+J5</f>
        <v>303702978</v>
      </c>
      <c r="L5" s="35"/>
      <c r="M5" s="52"/>
      <c r="N5" s="18" t="n">
        <f aca="false">L5+M5</f>
        <v>0</v>
      </c>
      <c r="O5" s="35"/>
      <c r="P5" s="52"/>
      <c r="Q5" s="18" t="n">
        <f aca="false">O5+P5</f>
        <v>0</v>
      </c>
    </row>
    <row r="6" customFormat="false" ht="22.5" hidden="false" customHeight="true" outlineLevel="0" collapsed="false">
      <c r="B6" s="86" t="s">
        <v>88</v>
      </c>
      <c r="C6" s="35" t="n">
        <f aca="false">PL!C6</f>
        <v>16633646</v>
      </c>
      <c r="D6" s="52" t="n">
        <v>-16633646</v>
      </c>
      <c r="E6" s="18" t="n">
        <f aca="false">C6+D6</f>
        <v>0</v>
      </c>
      <c r="F6" s="35" t="n">
        <f aca="false">PL!E6</f>
        <v>16832410</v>
      </c>
      <c r="G6" s="52" t="n">
        <v>-16832410</v>
      </c>
      <c r="H6" s="18" t="n">
        <f aca="false">F6+G6</f>
        <v>0</v>
      </c>
      <c r="I6" s="35" t="n">
        <f aca="false">PL!G6</f>
        <v>1635396</v>
      </c>
      <c r="J6" s="52" t="n">
        <v>-1635396</v>
      </c>
      <c r="K6" s="18" t="n">
        <f aca="false">I6+J6</f>
        <v>0</v>
      </c>
      <c r="L6" s="35"/>
      <c r="M6" s="52"/>
      <c r="N6" s="18" t="n">
        <f aca="false">L6+M6</f>
        <v>0</v>
      </c>
      <c r="O6" s="35"/>
      <c r="P6" s="52"/>
      <c r="Q6" s="18" t="n">
        <f aca="false">O6+P6</f>
        <v>0</v>
      </c>
    </row>
    <row r="7" customFormat="false" ht="22.5" hidden="false" customHeight="true" outlineLevel="0" collapsed="false">
      <c r="B7" s="86" t="s">
        <v>89</v>
      </c>
      <c r="C7" s="35" t="n">
        <f aca="false">PL!C7</f>
        <v>0</v>
      </c>
      <c r="D7" s="52" t="n">
        <v>0</v>
      </c>
      <c r="E7" s="18" t="n">
        <f aca="false">C7+D7</f>
        <v>0</v>
      </c>
      <c r="F7" s="35" t="n">
        <f aca="false">PL!E7</f>
        <v>869200000</v>
      </c>
      <c r="G7" s="52" t="n">
        <v>-869200000</v>
      </c>
      <c r="H7" s="18" t="n">
        <f aca="false">F7+G7</f>
        <v>0</v>
      </c>
      <c r="I7" s="35" t="n">
        <f aca="false">PL!G7</f>
        <v>0</v>
      </c>
      <c r="J7" s="52" t="n">
        <v>0</v>
      </c>
      <c r="K7" s="18" t="n">
        <f aca="false">I7+J7</f>
        <v>0</v>
      </c>
      <c r="L7" s="35"/>
      <c r="M7" s="52"/>
      <c r="N7" s="18" t="n">
        <f aca="false">L7+M7</f>
        <v>0</v>
      </c>
      <c r="O7" s="35"/>
      <c r="P7" s="52"/>
      <c r="Q7" s="18" t="n">
        <f aca="false">O7+P7</f>
        <v>0</v>
      </c>
    </row>
    <row r="8" customFormat="false" ht="22.5" hidden="false" customHeight="true" outlineLevel="0" collapsed="false">
      <c r="B8" s="86" t="s">
        <v>90</v>
      </c>
      <c r="C8" s="37" t="n">
        <f aca="false">PL!C8</f>
        <v>0</v>
      </c>
      <c r="D8" s="54" t="n">
        <v>0</v>
      </c>
      <c r="E8" s="165" t="n">
        <f aca="false">C8+D8</f>
        <v>0</v>
      </c>
      <c r="F8" s="37" t="n">
        <f aca="false">PL!E8</f>
        <v>0</v>
      </c>
      <c r="G8" s="54" t="n">
        <v>0</v>
      </c>
      <c r="H8" s="165" t="n">
        <f aca="false">F8+G8</f>
        <v>0</v>
      </c>
      <c r="I8" s="37" t="n">
        <f aca="false">PL!G8</f>
        <v>14000000</v>
      </c>
      <c r="J8" s="54" t="n">
        <v>-14000000</v>
      </c>
      <c r="K8" s="165" t="n">
        <f aca="false">I8+J8</f>
        <v>0</v>
      </c>
      <c r="L8" s="37"/>
      <c r="M8" s="54"/>
      <c r="N8" s="165" t="n">
        <f aca="false">L8+M8</f>
        <v>0</v>
      </c>
      <c r="O8" s="37"/>
      <c r="P8" s="54"/>
      <c r="Q8" s="165" t="n">
        <f aca="false">O8+P8</f>
        <v>0</v>
      </c>
    </row>
    <row r="9" customFormat="false" ht="22.5" hidden="false" customHeight="true" outlineLevel="0" collapsed="false">
      <c r="B9" s="92" t="s">
        <v>91</v>
      </c>
      <c r="C9" s="93" t="n">
        <f aca="false">SUM(C5:C8)</f>
        <v>383439251</v>
      </c>
      <c r="D9" s="93" t="n">
        <f aca="false">SUM(D5:D8)</f>
        <v>-16633646</v>
      </c>
      <c r="E9" s="15" t="n">
        <f aca="false">C9+D9</f>
        <v>366805605</v>
      </c>
      <c r="F9" s="93" t="n">
        <f aca="false">SUM(F5:F8)</f>
        <v>1230829971</v>
      </c>
      <c r="G9" s="93" t="n">
        <f aca="false">SUM(G5:G8)</f>
        <v>-886032410</v>
      </c>
      <c r="H9" s="15" t="n">
        <f aca="false">F9+G9</f>
        <v>344797561</v>
      </c>
      <c r="I9" s="93" t="n">
        <f aca="false">SUM(I5:I8)</f>
        <v>319338374</v>
      </c>
      <c r="J9" s="93" t="n">
        <f aca="false">SUM(J5:J8)</f>
        <v>-15635396</v>
      </c>
      <c r="K9" s="15" t="n">
        <f aca="false">I9+J9</f>
        <v>303702978</v>
      </c>
      <c r="L9" s="93" t="n">
        <f aca="false">SUM(L5:L8)</f>
        <v>0</v>
      </c>
      <c r="M9" s="93" t="n">
        <f aca="false">SUM(M5:M8)</f>
        <v>0</v>
      </c>
      <c r="N9" s="15" t="n">
        <f aca="false">L9+M9</f>
        <v>0</v>
      </c>
      <c r="O9" s="93" t="n">
        <f aca="false">SUM(O5:O8)</f>
        <v>0</v>
      </c>
      <c r="P9" s="93" t="n">
        <f aca="false">SUM(P5:P8)</f>
        <v>0</v>
      </c>
      <c r="Q9" s="15" t="n">
        <f aca="false">O9+P9</f>
        <v>0</v>
      </c>
    </row>
    <row r="10" customFormat="false" ht="22.5" hidden="false" customHeight="true" outlineLevel="0" collapsed="false">
      <c r="B10" s="86" t="s">
        <v>92</v>
      </c>
      <c r="C10" s="35" t="n">
        <f aca="false">PL!C12</f>
        <v>7732842</v>
      </c>
      <c r="D10" s="52"/>
      <c r="E10" s="18" t="n">
        <f aca="false">C10+D10</f>
        <v>7732842</v>
      </c>
      <c r="F10" s="35" t="n">
        <f aca="false">PL!E12</f>
        <v>8732000</v>
      </c>
      <c r="G10" s="52"/>
      <c r="H10" s="18" t="n">
        <f aca="false">F10+G10</f>
        <v>8732000</v>
      </c>
      <c r="I10" s="35" t="n">
        <f aca="false">PL!G12</f>
        <v>8732000</v>
      </c>
      <c r="J10" s="52"/>
      <c r="K10" s="18" t="n">
        <f aca="false">I10+J10</f>
        <v>8732000</v>
      </c>
      <c r="L10" s="35"/>
      <c r="M10" s="52"/>
      <c r="N10" s="18" t="n">
        <f aca="false">L10+M10</f>
        <v>0</v>
      </c>
      <c r="O10" s="35"/>
      <c r="P10" s="52"/>
      <c r="Q10" s="18" t="n">
        <f aca="false">O10+P10</f>
        <v>0</v>
      </c>
    </row>
    <row r="11" customFormat="false" ht="22.5" hidden="false" customHeight="true" outlineLevel="0" collapsed="false">
      <c r="B11" s="86" t="s">
        <v>93</v>
      </c>
      <c r="C11" s="35" t="n">
        <f aca="false">PL!C13</f>
        <v>105841625</v>
      </c>
      <c r="D11" s="52"/>
      <c r="E11" s="18" t="n">
        <f aca="false">C11+D11</f>
        <v>105841625</v>
      </c>
      <c r="F11" s="35" t="n">
        <f aca="false">PL!E13</f>
        <v>100866136</v>
      </c>
      <c r="G11" s="52"/>
      <c r="H11" s="18" t="n">
        <f aca="false">F11+G11</f>
        <v>100866136</v>
      </c>
      <c r="I11" s="35" t="n">
        <f aca="false">PL!G13</f>
        <v>96006124</v>
      </c>
      <c r="J11" s="52"/>
      <c r="K11" s="18" t="n">
        <f aca="false">I11+J11</f>
        <v>96006124</v>
      </c>
      <c r="L11" s="35"/>
      <c r="M11" s="52"/>
      <c r="N11" s="18" t="n">
        <f aca="false">L11+M11</f>
        <v>0</v>
      </c>
      <c r="O11" s="35"/>
      <c r="P11" s="52"/>
      <c r="Q11" s="18" t="n">
        <f aca="false">O11+P11</f>
        <v>0</v>
      </c>
    </row>
    <row r="12" customFormat="false" ht="22.5" hidden="false" customHeight="true" outlineLevel="0" collapsed="false">
      <c r="B12" s="86" t="s">
        <v>94</v>
      </c>
      <c r="C12" s="35" t="n">
        <f aca="false">PL!C14</f>
        <v>0</v>
      </c>
      <c r="D12" s="52" t="n">
        <v>0</v>
      </c>
      <c r="E12" s="18" t="n">
        <f aca="false">C12+D12</f>
        <v>0</v>
      </c>
      <c r="F12" s="35" t="n">
        <f aca="false">PL!E14</f>
        <v>636056000</v>
      </c>
      <c r="G12" s="52" t="n">
        <v>-636056000</v>
      </c>
      <c r="H12" s="18" t="n">
        <f aca="false">F12+G12</f>
        <v>0</v>
      </c>
      <c r="I12" s="35" t="n">
        <f aca="false">PL!G14</f>
        <v>0</v>
      </c>
      <c r="J12" s="52" t="n">
        <v>0</v>
      </c>
      <c r="K12" s="18" t="n">
        <f aca="false">I12+J12</f>
        <v>0</v>
      </c>
      <c r="L12" s="35"/>
      <c r="M12" s="52"/>
      <c r="N12" s="18" t="n">
        <f aca="false">L12+M12</f>
        <v>0</v>
      </c>
      <c r="O12" s="35"/>
      <c r="P12" s="52"/>
      <c r="Q12" s="18" t="n">
        <f aca="false">O12+P12</f>
        <v>0</v>
      </c>
    </row>
    <row r="13" customFormat="false" ht="22.5" hidden="false" customHeight="true" outlineLevel="0" collapsed="false">
      <c r="B13" s="86" t="s">
        <v>95</v>
      </c>
      <c r="C13" s="35" t="n">
        <f aca="false">PL!C15</f>
        <v>-8732000</v>
      </c>
      <c r="D13" s="52"/>
      <c r="E13" s="18" t="n">
        <f aca="false">C13+D13</f>
        <v>-8732000</v>
      </c>
      <c r="F13" s="35" t="n">
        <f aca="false">PL!E15</f>
        <v>-8732000</v>
      </c>
      <c r="G13" s="52"/>
      <c r="H13" s="18" t="n">
        <f aca="false">F13+G13</f>
        <v>-8732000</v>
      </c>
      <c r="I13" s="35" t="n">
        <f aca="false">PL!G15</f>
        <v>-8532000</v>
      </c>
      <c r="J13" s="52"/>
      <c r="K13" s="18" t="n">
        <f aca="false">I13+J13</f>
        <v>-8532000</v>
      </c>
      <c r="L13" s="35"/>
      <c r="M13" s="52"/>
      <c r="N13" s="18" t="n">
        <f aca="false">L13+M13</f>
        <v>0</v>
      </c>
      <c r="O13" s="35"/>
      <c r="P13" s="52"/>
      <c r="Q13" s="18" t="n">
        <f aca="false">O13+P13</f>
        <v>0</v>
      </c>
    </row>
    <row r="14" customFormat="false" ht="22.5" hidden="false" customHeight="true" outlineLevel="0" collapsed="false">
      <c r="B14" s="96" t="s">
        <v>96</v>
      </c>
      <c r="C14" s="97" t="n">
        <f aca="false">SUM(C10:C13)</f>
        <v>104842467</v>
      </c>
      <c r="D14" s="97" t="n">
        <f aca="false">SUM(D10:D13)</f>
        <v>0</v>
      </c>
      <c r="E14" s="269" t="n">
        <f aca="false">C14+D14</f>
        <v>104842467</v>
      </c>
      <c r="F14" s="97" t="n">
        <f aca="false">SUM(F10:F13)</f>
        <v>736922136</v>
      </c>
      <c r="G14" s="97" t="n">
        <f aca="false">SUM(G10:G13)</f>
        <v>-636056000</v>
      </c>
      <c r="H14" s="269" t="n">
        <f aca="false">F14+G14</f>
        <v>100866136</v>
      </c>
      <c r="I14" s="97" t="n">
        <f aca="false">SUM(I10:I13)</f>
        <v>96206124</v>
      </c>
      <c r="J14" s="97" t="n">
        <f aca="false">SUM(J10:J13)</f>
        <v>0</v>
      </c>
      <c r="K14" s="269" t="n">
        <f aca="false">I14+J14</f>
        <v>96206124</v>
      </c>
      <c r="L14" s="97" t="n">
        <f aca="false">SUM(L10:L13)</f>
        <v>0</v>
      </c>
      <c r="M14" s="97" t="n">
        <f aca="false">SUM(M10:M13)</f>
        <v>0</v>
      </c>
      <c r="N14" s="269" t="n">
        <f aca="false">L14+M14</f>
        <v>0</v>
      </c>
      <c r="O14" s="97" t="n">
        <f aca="false">SUM(O10:O13)</f>
        <v>0</v>
      </c>
      <c r="P14" s="97" t="n">
        <f aca="false">SUM(P10:P13)</f>
        <v>0</v>
      </c>
      <c r="Q14" s="269" t="n">
        <f aca="false">O14+P14</f>
        <v>0</v>
      </c>
    </row>
    <row r="15" customFormat="false" ht="22.5" hidden="false" customHeight="true" outlineLevel="0" collapsed="false">
      <c r="B15" s="92" t="s">
        <v>97</v>
      </c>
      <c r="C15" s="93" t="n">
        <f aca="false">C9-C14</f>
        <v>278596784</v>
      </c>
      <c r="D15" s="93" t="n">
        <f aca="false">D9-D14</f>
        <v>-16633646</v>
      </c>
      <c r="E15" s="15" t="n">
        <f aca="false">C15+D15</f>
        <v>261963138</v>
      </c>
      <c r="F15" s="93" t="n">
        <f aca="false">F9-F14</f>
        <v>493907835</v>
      </c>
      <c r="G15" s="93" t="n">
        <f aca="false">G9-G14</f>
        <v>-249976410</v>
      </c>
      <c r="H15" s="15" t="n">
        <f aca="false">F15+G15</f>
        <v>243931425</v>
      </c>
      <c r="I15" s="93" t="n">
        <f aca="false">I9-I14</f>
        <v>223132250</v>
      </c>
      <c r="J15" s="93" t="n">
        <f aca="false">J9-J14</f>
        <v>-15635396</v>
      </c>
      <c r="K15" s="15" t="n">
        <f aca="false">I15+J15</f>
        <v>207496854</v>
      </c>
      <c r="L15" s="93" t="n">
        <f aca="false">L9-L14</f>
        <v>0</v>
      </c>
      <c r="M15" s="93" t="n">
        <f aca="false">M9-M14</f>
        <v>0</v>
      </c>
      <c r="N15" s="15" t="n">
        <f aca="false">L15+M15</f>
        <v>0</v>
      </c>
      <c r="O15" s="93" t="n">
        <f aca="false">O9-O14</f>
        <v>0</v>
      </c>
      <c r="P15" s="93" t="n">
        <f aca="false">P9-P14</f>
        <v>0</v>
      </c>
      <c r="Q15" s="15" t="n">
        <f aca="false">O15+P15</f>
        <v>0</v>
      </c>
    </row>
    <row r="16" customFormat="false" ht="22.5" hidden="false" customHeight="true" outlineLevel="0" collapsed="false">
      <c r="B16" s="96" t="s">
        <v>98</v>
      </c>
      <c r="C16" s="99" t="n">
        <f aca="false">PL!C18</f>
        <v>283551728</v>
      </c>
      <c r="D16" s="270" t="n">
        <f aca="false">修正SGA!D39</f>
        <v>-4347132</v>
      </c>
      <c r="E16" s="271" t="n">
        <f aca="false">C16+D16</f>
        <v>279204596</v>
      </c>
      <c r="F16" s="99" t="n">
        <f aca="false">PL!E18</f>
        <v>273060341</v>
      </c>
      <c r="G16" s="270" t="n">
        <f aca="false">修正SGA!G39</f>
        <v>-1928280</v>
      </c>
      <c r="H16" s="271" t="n">
        <f aca="false">F16+G16</f>
        <v>271132061</v>
      </c>
      <c r="I16" s="99" t="n">
        <f aca="false">PL!G18</f>
        <v>222261444</v>
      </c>
      <c r="J16" s="270" t="n">
        <f aca="false">修正SGA!J39</f>
        <v>-686448</v>
      </c>
      <c r="K16" s="271" t="n">
        <f aca="false">I16+J16</f>
        <v>221574996</v>
      </c>
      <c r="L16" s="99"/>
      <c r="M16" s="270"/>
      <c r="N16" s="271" t="n">
        <f aca="false">L16+M16</f>
        <v>0</v>
      </c>
      <c r="O16" s="99"/>
      <c r="P16" s="270"/>
      <c r="Q16" s="271" t="n">
        <f aca="false">O16+P16</f>
        <v>0</v>
      </c>
    </row>
    <row r="17" customFormat="false" ht="22.5" hidden="false" customHeight="true" outlineLevel="0" collapsed="false">
      <c r="B17" s="92" t="s">
        <v>99</v>
      </c>
      <c r="C17" s="93" t="n">
        <f aca="false">C15- C16</f>
        <v>-4954944</v>
      </c>
      <c r="D17" s="93" t="n">
        <f aca="false">D15- D16</f>
        <v>-12286514</v>
      </c>
      <c r="E17" s="15" t="n">
        <f aca="false">C17+D17</f>
        <v>-17241458</v>
      </c>
      <c r="F17" s="93" t="n">
        <f aca="false">F15- F16</f>
        <v>220847494</v>
      </c>
      <c r="G17" s="93" t="n">
        <f aca="false">G15- G16</f>
        <v>-248048130</v>
      </c>
      <c r="H17" s="15" t="n">
        <f aca="false">F17+G17</f>
        <v>-27200636</v>
      </c>
      <c r="I17" s="93" t="n">
        <f aca="false">I15- I16</f>
        <v>870806</v>
      </c>
      <c r="J17" s="93" t="n">
        <f aca="false">J15- J16</f>
        <v>-14948948</v>
      </c>
      <c r="K17" s="15" t="n">
        <f aca="false">I17+J17</f>
        <v>-14078142</v>
      </c>
      <c r="L17" s="93" t="n">
        <f aca="false">L15- L16</f>
        <v>0</v>
      </c>
      <c r="M17" s="93" t="n">
        <f aca="false">M15- M16</f>
        <v>0</v>
      </c>
      <c r="N17" s="15" t="n">
        <f aca="false">L17+M17</f>
        <v>0</v>
      </c>
      <c r="O17" s="93" t="n">
        <f aca="false">O15- O16</f>
        <v>0</v>
      </c>
      <c r="P17" s="93" t="n">
        <f aca="false">P15- P16</f>
        <v>0</v>
      </c>
      <c r="Q17" s="15" t="n">
        <f aca="false">O17+P17</f>
        <v>0</v>
      </c>
    </row>
    <row r="18" customFormat="false" ht="22.5" hidden="false" customHeight="true" outlineLevel="0" collapsed="false">
      <c r="B18" s="96" t="s">
        <v>100</v>
      </c>
      <c r="C18" s="99" t="n">
        <f aca="false">SUM(C19:C23)</f>
        <v>416337</v>
      </c>
      <c r="D18" s="99" t="n">
        <f aca="false">SUM(D19:D23)</f>
        <v>0</v>
      </c>
      <c r="E18" s="271" t="n">
        <f aca="false">C18+D18</f>
        <v>416337</v>
      </c>
      <c r="F18" s="99" t="n">
        <f aca="false">SUM(F19:F23)</f>
        <v>2887886</v>
      </c>
      <c r="G18" s="99" t="n">
        <f aca="false">SUM(G19:G23)</f>
        <v>0</v>
      </c>
      <c r="H18" s="271" t="n">
        <f aca="false">F18+G18</f>
        <v>2887886</v>
      </c>
      <c r="I18" s="99" t="n">
        <f aca="false">SUM(I19:I23)</f>
        <v>2924950</v>
      </c>
      <c r="J18" s="99" t="n">
        <f aca="false">SUM(J19:J23)</f>
        <v>0</v>
      </c>
      <c r="K18" s="271" t="n">
        <f aca="false">I18+J18</f>
        <v>2924950</v>
      </c>
      <c r="L18" s="99" t="n">
        <f aca="false">SUM(L19:L23)</f>
        <v>0</v>
      </c>
      <c r="M18" s="99" t="n">
        <f aca="false">SUM(M19:M23)</f>
        <v>0</v>
      </c>
      <c r="N18" s="271" t="n">
        <f aca="false">L18+M18</f>
        <v>0</v>
      </c>
      <c r="O18" s="99" t="n">
        <f aca="false">SUM(O19:O23)</f>
        <v>0</v>
      </c>
      <c r="P18" s="99" t="n">
        <f aca="false">SUM(P19:P23)</f>
        <v>0</v>
      </c>
      <c r="Q18" s="271" t="n">
        <f aca="false">O18+P18</f>
        <v>0</v>
      </c>
    </row>
    <row r="19" customFormat="false" ht="22.5" hidden="false" customHeight="true" outlineLevel="0" collapsed="false">
      <c r="B19" s="86" t="s">
        <v>101</v>
      </c>
      <c r="C19" s="35" t="n">
        <f aca="false">PL!C21</f>
        <v>1507</v>
      </c>
      <c r="D19" s="52"/>
      <c r="E19" s="18" t="n">
        <f aca="false">C19+D19</f>
        <v>1507</v>
      </c>
      <c r="F19" s="35" t="n">
        <f aca="false">PL!E21</f>
        <v>7617</v>
      </c>
      <c r="G19" s="52"/>
      <c r="H19" s="18" t="n">
        <f aca="false">F19+G19</f>
        <v>7617</v>
      </c>
      <c r="I19" s="35" t="n">
        <f aca="false">PL!G21</f>
        <v>618278</v>
      </c>
      <c r="J19" s="52"/>
      <c r="K19" s="18" t="n">
        <f aca="false">I19+J19</f>
        <v>618278</v>
      </c>
      <c r="L19" s="35"/>
      <c r="M19" s="52"/>
      <c r="N19" s="18" t="n">
        <f aca="false">L19+M19</f>
        <v>0</v>
      </c>
      <c r="O19" s="35"/>
      <c r="P19" s="52"/>
      <c r="Q19" s="18" t="n">
        <f aca="false">O19+P19</f>
        <v>0</v>
      </c>
    </row>
    <row r="20" customFormat="false" ht="22.5" hidden="false" customHeight="true" outlineLevel="0" collapsed="false">
      <c r="B20" s="86" t="s">
        <v>102</v>
      </c>
      <c r="C20" s="35" t="n">
        <f aca="false">PL!C22</f>
        <v>414830</v>
      </c>
      <c r="D20" s="52"/>
      <c r="E20" s="18" t="n">
        <f aca="false">C20+D20</f>
        <v>414830</v>
      </c>
      <c r="F20" s="35" t="n">
        <f aca="false">PL!E22</f>
        <v>2880269</v>
      </c>
      <c r="G20" s="52"/>
      <c r="H20" s="18" t="n">
        <f aca="false">F20+G20</f>
        <v>2880269</v>
      </c>
      <c r="I20" s="35" t="n">
        <f aca="false">PL!G22</f>
        <v>2306672</v>
      </c>
      <c r="J20" s="52"/>
      <c r="K20" s="18" t="n">
        <f aca="false">I20+J20</f>
        <v>2306672</v>
      </c>
      <c r="L20" s="35"/>
      <c r="M20" s="52"/>
      <c r="N20" s="18" t="n">
        <f aca="false">L20+M20</f>
        <v>0</v>
      </c>
      <c r="O20" s="35"/>
      <c r="P20" s="52"/>
      <c r="Q20" s="18" t="n">
        <f aca="false">O20+P20</f>
        <v>0</v>
      </c>
    </row>
    <row r="21" customFormat="false" ht="22.5" hidden="false" customHeight="true" outlineLevel="0" collapsed="false">
      <c r="B21" s="102"/>
      <c r="C21" s="35"/>
      <c r="D21" s="52"/>
      <c r="E21" s="18" t="n">
        <f aca="false">C21+D21</f>
        <v>0</v>
      </c>
      <c r="F21" s="35"/>
      <c r="G21" s="52"/>
      <c r="H21" s="18" t="n">
        <f aca="false">F21+G21</f>
        <v>0</v>
      </c>
      <c r="I21" s="35"/>
      <c r="J21" s="52"/>
      <c r="K21" s="18" t="n">
        <f aca="false">I21+J21</f>
        <v>0</v>
      </c>
      <c r="L21" s="35"/>
      <c r="M21" s="52"/>
      <c r="N21" s="18" t="n">
        <f aca="false">L21+M21</f>
        <v>0</v>
      </c>
      <c r="O21" s="35"/>
      <c r="P21" s="52"/>
      <c r="Q21" s="18" t="n">
        <f aca="false">O21+P21</f>
        <v>0</v>
      </c>
    </row>
    <row r="22" customFormat="false" ht="22.5" hidden="false" customHeight="true" outlineLevel="0" collapsed="false">
      <c r="B22" s="102"/>
      <c r="C22" s="35"/>
      <c r="D22" s="52"/>
      <c r="E22" s="18" t="n">
        <f aca="false">C22+D22</f>
        <v>0</v>
      </c>
      <c r="F22" s="35"/>
      <c r="G22" s="52"/>
      <c r="H22" s="18" t="n">
        <f aca="false">F22+G22</f>
        <v>0</v>
      </c>
      <c r="I22" s="35"/>
      <c r="J22" s="52"/>
      <c r="K22" s="18" t="n">
        <f aca="false">I22+J22</f>
        <v>0</v>
      </c>
      <c r="L22" s="35"/>
      <c r="M22" s="52"/>
      <c r="N22" s="18" t="n">
        <f aca="false">L22+M22</f>
        <v>0</v>
      </c>
      <c r="O22" s="35"/>
      <c r="P22" s="52"/>
      <c r="Q22" s="18" t="n">
        <f aca="false">O22+P22</f>
        <v>0</v>
      </c>
    </row>
    <row r="23" customFormat="false" ht="22.5" hidden="false" customHeight="true" outlineLevel="0" collapsed="false">
      <c r="B23" s="103"/>
      <c r="C23" s="37"/>
      <c r="D23" s="54"/>
      <c r="E23" s="165" t="n">
        <f aca="false">C23+D23</f>
        <v>0</v>
      </c>
      <c r="F23" s="37"/>
      <c r="G23" s="54"/>
      <c r="H23" s="165" t="n">
        <f aca="false">F23+G23</f>
        <v>0</v>
      </c>
      <c r="I23" s="37"/>
      <c r="J23" s="54"/>
      <c r="K23" s="165" t="n">
        <f aca="false">I23+J23</f>
        <v>0</v>
      </c>
      <c r="L23" s="37"/>
      <c r="M23" s="54"/>
      <c r="N23" s="165" t="n">
        <f aca="false">L23+M23</f>
        <v>0</v>
      </c>
      <c r="O23" s="37"/>
      <c r="P23" s="54"/>
      <c r="Q23" s="165" t="n">
        <f aca="false">O23+P23</f>
        <v>0</v>
      </c>
    </row>
    <row r="24" customFormat="false" ht="22.5" hidden="false" customHeight="true" outlineLevel="0" collapsed="false">
      <c r="B24" s="96" t="s">
        <v>103</v>
      </c>
      <c r="C24" s="99" t="n">
        <f aca="false">SUM(C25:C29)</f>
        <v>2751745</v>
      </c>
      <c r="D24" s="99" t="n">
        <f aca="false">SUM(D25:D29)</f>
        <v>0</v>
      </c>
      <c r="E24" s="271" t="n">
        <f aca="false">C24+D24</f>
        <v>2751745</v>
      </c>
      <c r="F24" s="99" t="n">
        <f aca="false">SUM(F25:F29)</f>
        <v>12167614</v>
      </c>
      <c r="G24" s="99" t="n">
        <f aca="false">SUM(G25:G29)</f>
        <v>0</v>
      </c>
      <c r="H24" s="271" t="n">
        <f aca="false">F24+G24</f>
        <v>12167614</v>
      </c>
      <c r="I24" s="99" t="n">
        <f aca="false">SUM(I25:I29)</f>
        <v>3215177</v>
      </c>
      <c r="J24" s="99" t="n">
        <f aca="false">SUM(J25:J29)</f>
        <v>0</v>
      </c>
      <c r="K24" s="271" t="n">
        <f aca="false">I24+J24</f>
        <v>3215177</v>
      </c>
      <c r="L24" s="99" t="n">
        <f aca="false">SUM(L25:L29)</f>
        <v>0</v>
      </c>
      <c r="M24" s="99" t="n">
        <f aca="false">SUM(M25:M29)</f>
        <v>0</v>
      </c>
      <c r="N24" s="271" t="n">
        <f aca="false">L24+M24</f>
        <v>0</v>
      </c>
      <c r="O24" s="99" t="n">
        <f aca="false">SUM(O25:O29)</f>
        <v>0</v>
      </c>
      <c r="P24" s="99" t="n">
        <f aca="false">SUM(P25:P29)</f>
        <v>0</v>
      </c>
      <c r="Q24" s="271" t="n">
        <f aca="false">O24+P24</f>
        <v>0</v>
      </c>
    </row>
    <row r="25" customFormat="false" ht="22.5" hidden="false" customHeight="true" outlineLevel="0" collapsed="false">
      <c r="B25" s="86" t="s">
        <v>104</v>
      </c>
      <c r="C25" s="35" t="n">
        <f aca="false">PL!C29</f>
        <v>2647993</v>
      </c>
      <c r="D25" s="52"/>
      <c r="E25" s="18" t="n">
        <f aca="false">C25+D25</f>
        <v>2647993</v>
      </c>
      <c r="F25" s="35" t="n">
        <f aca="false">PL!E29</f>
        <v>3319038</v>
      </c>
      <c r="G25" s="52"/>
      <c r="H25" s="18" t="n">
        <f aca="false">F25+G25</f>
        <v>3319038</v>
      </c>
      <c r="I25" s="35" t="n">
        <f aca="false">PL!G29</f>
        <v>3189615</v>
      </c>
      <c r="J25" s="52"/>
      <c r="K25" s="18" t="n">
        <f aca="false">I25+J25</f>
        <v>3189615</v>
      </c>
      <c r="L25" s="35"/>
      <c r="M25" s="52"/>
      <c r="N25" s="18" t="n">
        <f aca="false">L25+M25</f>
        <v>0</v>
      </c>
      <c r="O25" s="35"/>
      <c r="P25" s="52"/>
      <c r="Q25" s="18" t="n">
        <f aca="false">O25+P25</f>
        <v>0</v>
      </c>
    </row>
    <row r="26" customFormat="false" ht="22.5" hidden="false" customHeight="true" outlineLevel="0" collapsed="false">
      <c r="B26" s="86" t="s">
        <v>105</v>
      </c>
      <c r="C26" s="35" t="n">
        <f aca="false">PL!C30</f>
        <v>103752</v>
      </c>
      <c r="D26" s="52"/>
      <c r="E26" s="18" t="n">
        <f aca="false">C26+D26</f>
        <v>103752</v>
      </c>
      <c r="F26" s="35" t="n">
        <f aca="false">PL!E30</f>
        <v>8848576</v>
      </c>
      <c r="G26" s="52"/>
      <c r="H26" s="18" t="n">
        <f aca="false">F26+G26</f>
        <v>8848576</v>
      </c>
      <c r="I26" s="35" t="n">
        <f aca="false">PL!G30</f>
        <v>25562</v>
      </c>
      <c r="J26" s="52"/>
      <c r="K26" s="18" t="n">
        <f aca="false">I26+J26</f>
        <v>25562</v>
      </c>
      <c r="L26" s="35"/>
      <c r="M26" s="52"/>
      <c r="N26" s="18" t="n">
        <f aca="false">L26+M26</f>
        <v>0</v>
      </c>
      <c r="O26" s="35"/>
      <c r="P26" s="52"/>
      <c r="Q26" s="18" t="n">
        <f aca="false">O26+P26</f>
        <v>0</v>
      </c>
    </row>
    <row r="27" customFormat="false" ht="22.5" hidden="false" customHeight="true" outlineLevel="0" collapsed="false">
      <c r="B27" s="102"/>
      <c r="C27" s="35"/>
      <c r="D27" s="52"/>
      <c r="E27" s="18" t="n">
        <f aca="false">C27+D27</f>
        <v>0</v>
      </c>
      <c r="F27" s="35"/>
      <c r="G27" s="52"/>
      <c r="H27" s="18" t="n">
        <f aca="false">F27+G27</f>
        <v>0</v>
      </c>
      <c r="I27" s="35"/>
      <c r="J27" s="52"/>
      <c r="K27" s="18" t="n">
        <f aca="false">I27+J27</f>
        <v>0</v>
      </c>
      <c r="L27" s="35"/>
      <c r="M27" s="52"/>
      <c r="N27" s="18" t="n">
        <f aca="false">L27+M27</f>
        <v>0</v>
      </c>
      <c r="O27" s="35"/>
      <c r="P27" s="52"/>
      <c r="Q27" s="18" t="n">
        <f aca="false">O27+P27</f>
        <v>0</v>
      </c>
    </row>
    <row r="28" customFormat="false" ht="22.5" hidden="false" customHeight="true" outlineLevel="0" collapsed="false">
      <c r="B28" s="102"/>
      <c r="C28" s="35"/>
      <c r="D28" s="52"/>
      <c r="E28" s="18" t="n">
        <f aca="false">C28+D28</f>
        <v>0</v>
      </c>
      <c r="F28" s="35"/>
      <c r="G28" s="52"/>
      <c r="H28" s="18" t="n">
        <f aca="false">F28+G28</f>
        <v>0</v>
      </c>
      <c r="I28" s="35"/>
      <c r="J28" s="52"/>
      <c r="K28" s="18" t="n">
        <f aca="false">I28+J28</f>
        <v>0</v>
      </c>
      <c r="L28" s="35"/>
      <c r="M28" s="52"/>
      <c r="N28" s="18" t="n">
        <f aca="false">L28+M28</f>
        <v>0</v>
      </c>
      <c r="O28" s="35"/>
      <c r="P28" s="52"/>
      <c r="Q28" s="18" t="n">
        <f aca="false">O28+P28</f>
        <v>0</v>
      </c>
    </row>
    <row r="29" customFormat="false" ht="22.5" hidden="false" customHeight="true" outlineLevel="0" collapsed="false">
      <c r="B29" s="103"/>
      <c r="C29" s="37"/>
      <c r="D29" s="54"/>
      <c r="E29" s="165" t="n">
        <f aca="false">C29+D29</f>
        <v>0</v>
      </c>
      <c r="F29" s="37"/>
      <c r="G29" s="54"/>
      <c r="H29" s="165" t="n">
        <f aca="false">F29+G29</f>
        <v>0</v>
      </c>
      <c r="I29" s="37"/>
      <c r="J29" s="54"/>
      <c r="K29" s="165" t="n">
        <f aca="false">I29+J29</f>
        <v>0</v>
      </c>
      <c r="L29" s="37"/>
      <c r="M29" s="54"/>
      <c r="N29" s="165" t="n">
        <f aca="false">L29+M29</f>
        <v>0</v>
      </c>
      <c r="O29" s="37"/>
      <c r="P29" s="54"/>
      <c r="Q29" s="165" t="n">
        <f aca="false">O29+P29</f>
        <v>0</v>
      </c>
    </row>
    <row r="30" customFormat="false" ht="22.5" hidden="false" customHeight="true" outlineLevel="0" collapsed="false">
      <c r="B30" s="92" t="s">
        <v>106</v>
      </c>
      <c r="C30" s="93" t="n">
        <f aca="false">C17+C18-C24</f>
        <v>-7290352</v>
      </c>
      <c r="D30" s="93" t="n">
        <f aca="false">D17+D18-D24</f>
        <v>-12286514</v>
      </c>
      <c r="E30" s="15" t="n">
        <f aca="false">C30+D30</f>
        <v>-19576866</v>
      </c>
      <c r="F30" s="93" t="n">
        <f aca="false">F17+F18-F24</f>
        <v>211567766</v>
      </c>
      <c r="G30" s="93" t="n">
        <f aca="false">G17+G18-G24</f>
        <v>-248048130</v>
      </c>
      <c r="H30" s="15" t="n">
        <f aca="false">F30+G30</f>
        <v>-36480364</v>
      </c>
      <c r="I30" s="93" t="n">
        <f aca="false">I17+I18-I24</f>
        <v>580579</v>
      </c>
      <c r="J30" s="93" t="n">
        <f aca="false">J17+J18-J24</f>
        <v>-14948948</v>
      </c>
      <c r="K30" s="15" t="n">
        <f aca="false">I30+J30</f>
        <v>-14368369</v>
      </c>
      <c r="L30" s="93" t="n">
        <f aca="false">L17+L18-L24</f>
        <v>0</v>
      </c>
      <c r="M30" s="93" t="n">
        <f aca="false">M17+M18-M24</f>
        <v>0</v>
      </c>
      <c r="N30" s="15" t="n">
        <f aca="false">L30+M30</f>
        <v>0</v>
      </c>
      <c r="O30" s="93" t="n">
        <f aca="false">O17+O18-O24</f>
        <v>0</v>
      </c>
      <c r="P30" s="93" t="n">
        <f aca="false">P17+P18-P24</f>
        <v>0</v>
      </c>
      <c r="Q30" s="15" t="n">
        <f aca="false">O30+P30</f>
        <v>0</v>
      </c>
    </row>
    <row r="31" customFormat="false" ht="22.5" hidden="false" customHeight="true" outlineLevel="0" collapsed="false">
      <c r="B31" s="96" t="s">
        <v>107</v>
      </c>
      <c r="C31" s="97" t="n">
        <f aca="false">SUM(C32:C35)</f>
        <v>0</v>
      </c>
      <c r="D31" s="97" t="n">
        <f aca="false">SUM(D32:D35)</f>
        <v>0</v>
      </c>
      <c r="E31" s="269" t="n">
        <f aca="false">C31+D31</f>
        <v>0</v>
      </c>
      <c r="F31" s="97" t="n">
        <f aca="false">SUM(F32:F35)</f>
        <v>0</v>
      </c>
      <c r="G31" s="97" t="n">
        <f aca="false">SUM(G32:G35)</f>
        <v>0</v>
      </c>
      <c r="H31" s="269" t="n">
        <f aca="false">F31+G31</f>
        <v>0</v>
      </c>
      <c r="I31" s="97" t="n">
        <f aca="false">SUM(I32:I35)</f>
        <v>0</v>
      </c>
      <c r="J31" s="97" t="n">
        <f aca="false">SUM(J32:J35)</f>
        <v>0</v>
      </c>
      <c r="K31" s="269" t="n">
        <f aca="false">I31+J31</f>
        <v>0</v>
      </c>
      <c r="L31" s="97" t="n">
        <f aca="false">SUM(L32:L35)</f>
        <v>0</v>
      </c>
      <c r="M31" s="97" t="n">
        <f aca="false">SUM(M32:M35)</f>
        <v>0</v>
      </c>
      <c r="N31" s="269" t="n">
        <f aca="false">L31+M31</f>
        <v>0</v>
      </c>
      <c r="O31" s="97" t="n">
        <f aca="false">SUM(O32:O35)</f>
        <v>0</v>
      </c>
      <c r="P31" s="97" t="n">
        <f aca="false">SUM(P32:P35)</f>
        <v>0</v>
      </c>
      <c r="Q31" s="269" t="n">
        <f aca="false">O31+P31</f>
        <v>0</v>
      </c>
    </row>
    <row r="32" customFormat="false" ht="22.5" hidden="false" customHeight="true" outlineLevel="0" collapsed="false">
      <c r="B32" s="102" t="s">
        <v>108</v>
      </c>
      <c r="C32" s="35"/>
      <c r="D32" s="52"/>
      <c r="E32" s="18" t="n">
        <f aca="false">C32+D32</f>
        <v>0</v>
      </c>
      <c r="F32" s="35"/>
      <c r="G32" s="52"/>
      <c r="H32" s="18" t="n">
        <f aca="false">F32+G32</f>
        <v>0</v>
      </c>
      <c r="I32" s="35"/>
      <c r="J32" s="52"/>
      <c r="K32" s="18" t="n">
        <f aca="false">I32+J32</f>
        <v>0</v>
      </c>
      <c r="L32" s="35"/>
      <c r="M32" s="52"/>
      <c r="N32" s="18" t="n">
        <f aca="false">L32+M32</f>
        <v>0</v>
      </c>
      <c r="O32" s="35"/>
      <c r="P32" s="52"/>
      <c r="Q32" s="18" t="n">
        <f aca="false">O32+P32</f>
        <v>0</v>
      </c>
    </row>
    <row r="33" customFormat="false" ht="22.5" hidden="false" customHeight="true" outlineLevel="0" collapsed="false">
      <c r="B33" s="102" t="s">
        <v>109</v>
      </c>
      <c r="C33" s="35"/>
      <c r="D33" s="52"/>
      <c r="E33" s="18" t="n">
        <f aca="false">C33+D33</f>
        <v>0</v>
      </c>
      <c r="F33" s="35"/>
      <c r="G33" s="52"/>
      <c r="H33" s="18" t="n">
        <f aca="false">F33+G33</f>
        <v>0</v>
      </c>
      <c r="I33" s="35"/>
      <c r="J33" s="52"/>
      <c r="K33" s="18" t="n">
        <f aca="false">I33+J33</f>
        <v>0</v>
      </c>
      <c r="L33" s="35"/>
      <c r="M33" s="52"/>
      <c r="N33" s="18" t="n">
        <f aca="false">L33+M33</f>
        <v>0</v>
      </c>
      <c r="O33" s="35"/>
      <c r="P33" s="52"/>
      <c r="Q33" s="18" t="n">
        <f aca="false">O33+P33</f>
        <v>0</v>
      </c>
    </row>
    <row r="34" customFormat="false" ht="22.5" hidden="false" customHeight="true" outlineLevel="0" collapsed="false">
      <c r="B34" s="102"/>
      <c r="C34" s="35"/>
      <c r="D34" s="52"/>
      <c r="E34" s="18" t="n">
        <f aca="false">C34+D34</f>
        <v>0</v>
      </c>
      <c r="F34" s="35"/>
      <c r="G34" s="52"/>
      <c r="H34" s="18" t="n">
        <f aca="false">F34+G34</f>
        <v>0</v>
      </c>
      <c r="I34" s="35"/>
      <c r="J34" s="52"/>
      <c r="K34" s="18" t="n">
        <f aca="false">I34+J34</f>
        <v>0</v>
      </c>
      <c r="L34" s="35"/>
      <c r="M34" s="52"/>
      <c r="N34" s="18" t="n">
        <f aca="false">L34+M34</f>
        <v>0</v>
      </c>
      <c r="O34" s="35"/>
      <c r="P34" s="52"/>
      <c r="Q34" s="18" t="n">
        <f aca="false">O34+P34</f>
        <v>0</v>
      </c>
    </row>
    <row r="35" customFormat="false" ht="22.5" hidden="false" customHeight="true" outlineLevel="0" collapsed="false">
      <c r="B35" s="103"/>
      <c r="C35" s="37"/>
      <c r="D35" s="54"/>
      <c r="E35" s="165" t="n">
        <f aca="false">C35+D35</f>
        <v>0</v>
      </c>
      <c r="F35" s="37"/>
      <c r="G35" s="54"/>
      <c r="H35" s="165" t="n">
        <f aca="false">F35+G35</f>
        <v>0</v>
      </c>
      <c r="I35" s="37"/>
      <c r="J35" s="54"/>
      <c r="K35" s="165" t="n">
        <f aca="false">I35+J35</f>
        <v>0</v>
      </c>
      <c r="L35" s="37"/>
      <c r="M35" s="54"/>
      <c r="N35" s="165" t="n">
        <f aca="false">L35+M35</f>
        <v>0</v>
      </c>
      <c r="O35" s="37"/>
      <c r="P35" s="54"/>
      <c r="Q35" s="165" t="n">
        <f aca="false">O35+P35</f>
        <v>0</v>
      </c>
    </row>
    <row r="36" customFormat="false" ht="22.5" hidden="false" customHeight="true" outlineLevel="0" collapsed="false">
      <c r="B36" s="96" t="s">
        <v>110</v>
      </c>
      <c r="C36" s="97" t="n">
        <f aca="false">SUM(C37:C40)</f>
        <v>0</v>
      </c>
      <c r="D36" s="97" t="n">
        <f aca="false">SUM(D37:D40)</f>
        <v>0</v>
      </c>
      <c r="E36" s="271" t="n">
        <f aca="false">C36+D36</f>
        <v>0</v>
      </c>
      <c r="F36" s="97" t="n">
        <f aca="false">SUM(F37:F40)</f>
        <v>81258050</v>
      </c>
      <c r="G36" s="97" t="n">
        <f aca="false">SUM(G37:G40)</f>
        <v>0</v>
      </c>
      <c r="H36" s="271" t="n">
        <f aca="false">F36+G36</f>
        <v>81258050</v>
      </c>
      <c r="I36" s="97" t="n">
        <f aca="false">SUM(I37:I40)</f>
        <v>0</v>
      </c>
      <c r="J36" s="97" t="n">
        <f aca="false">SUM(J37:J40)</f>
        <v>0</v>
      </c>
      <c r="K36" s="271" t="n">
        <f aca="false">I36+J36</f>
        <v>0</v>
      </c>
      <c r="L36" s="97" t="n">
        <f aca="false">SUM(L37:L40)</f>
        <v>0</v>
      </c>
      <c r="M36" s="97" t="n">
        <f aca="false">SUM(M37:M40)</f>
        <v>0</v>
      </c>
      <c r="N36" s="271" t="n">
        <f aca="false">L36+M36</f>
        <v>0</v>
      </c>
      <c r="O36" s="97" t="n">
        <f aca="false">SUM(O37:O40)</f>
        <v>0</v>
      </c>
      <c r="P36" s="97" t="n">
        <f aca="false">SUM(P37:P40)</f>
        <v>0</v>
      </c>
      <c r="Q36" s="271" t="n">
        <f aca="false">O36+P36</f>
        <v>0</v>
      </c>
    </row>
    <row r="37" customFormat="false" ht="22.5" hidden="false" customHeight="true" outlineLevel="0" collapsed="false">
      <c r="B37" s="86" t="s">
        <v>111</v>
      </c>
      <c r="C37" s="35" t="n">
        <f aca="false">PL!C45</f>
        <v>0</v>
      </c>
      <c r="D37" s="52"/>
      <c r="E37" s="18" t="n">
        <f aca="false">C37+D37</f>
        <v>0</v>
      </c>
      <c r="F37" s="35" t="n">
        <f aca="false">PL!E45</f>
        <v>81258050</v>
      </c>
      <c r="G37" s="52"/>
      <c r="H37" s="18" t="n">
        <f aca="false">F37+G37</f>
        <v>81258050</v>
      </c>
      <c r="I37" s="35" t="n">
        <f aca="false">PL!G45</f>
        <v>0</v>
      </c>
      <c r="J37" s="52"/>
      <c r="K37" s="18" t="n">
        <f aca="false">I37+J37</f>
        <v>0</v>
      </c>
      <c r="L37" s="35"/>
      <c r="M37" s="52"/>
      <c r="N37" s="18" t="n">
        <f aca="false">L37+M37</f>
        <v>0</v>
      </c>
      <c r="O37" s="35"/>
      <c r="P37" s="52"/>
      <c r="Q37" s="18" t="n">
        <f aca="false">O37+P37</f>
        <v>0</v>
      </c>
    </row>
    <row r="38" customFormat="false" ht="22.5" hidden="false" customHeight="true" outlineLevel="0" collapsed="false">
      <c r="B38" s="102" t="s">
        <v>112</v>
      </c>
      <c r="C38" s="35"/>
      <c r="D38" s="52"/>
      <c r="E38" s="18" t="n">
        <f aca="false">C38+D38</f>
        <v>0</v>
      </c>
      <c r="F38" s="35"/>
      <c r="G38" s="52"/>
      <c r="H38" s="18" t="n">
        <f aca="false">F38+G38</f>
        <v>0</v>
      </c>
      <c r="I38" s="35"/>
      <c r="J38" s="52"/>
      <c r="K38" s="18" t="n">
        <f aca="false">I38+J38</f>
        <v>0</v>
      </c>
      <c r="L38" s="35"/>
      <c r="M38" s="52"/>
      <c r="N38" s="18" t="n">
        <f aca="false">L38+M38</f>
        <v>0</v>
      </c>
      <c r="O38" s="35"/>
      <c r="P38" s="52"/>
      <c r="Q38" s="18" t="n">
        <f aca="false">O38+P38</f>
        <v>0</v>
      </c>
    </row>
    <row r="39" customFormat="false" ht="22.5" hidden="false" customHeight="true" outlineLevel="0" collapsed="false">
      <c r="B39" s="102"/>
      <c r="C39" s="35"/>
      <c r="D39" s="52"/>
      <c r="E39" s="18" t="n">
        <f aca="false">C39+D39</f>
        <v>0</v>
      </c>
      <c r="F39" s="35"/>
      <c r="G39" s="52"/>
      <c r="H39" s="18" t="n">
        <f aca="false">F39+G39</f>
        <v>0</v>
      </c>
      <c r="I39" s="35"/>
      <c r="J39" s="52"/>
      <c r="K39" s="18" t="n">
        <f aca="false">I39+J39</f>
        <v>0</v>
      </c>
      <c r="L39" s="35"/>
      <c r="M39" s="52"/>
      <c r="N39" s="18" t="n">
        <f aca="false">L39+M39</f>
        <v>0</v>
      </c>
      <c r="O39" s="35"/>
      <c r="P39" s="52"/>
      <c r="Q39" s="18" t="n">
        <f aca="false">O39+P39</f>
        <v>0</v>
      </c>
    </row>
    <row r="40" customFormat="false" ht="22.5" hidden="false" customHeight="true" outlineLevel="0" collapsed="false">
      <c r="B40" s="103"/>
      <c r="C40" s="37"/>
      <c r="D40" s="54"/>
      <c r="E40" s="165" t="n">
        <f aca="false">C40+D40</f>
        <v>0</v>
      </c>
      <c r="F40" s="37"/>
      <c r="G40" s="54"/>
      <c r="H40" s="165" t="n">
        <f aca="false">F40+G40</f>
        <v>0</v>
      </c>
      <c r="I40" s="37"/>
      <c r="J40" s="54"/>
      <c r="K40" s="165" t="n">
        <f aca="false">I40+J40</f>
        <v>0</v>
      </c>
      <c r="L40" s="37"/>
      <c r="M40" s="54"/>
      <c r="N40" s="165" t="n">
        <f aca="false">L40+M40</f>
        <v>0</v>
      </c>
      <c r="O40" s="37"/>
      <c r="P40" s="54"/>
      <c r="Q40" s="165" t="n">
        <f aca="false">O40+P40</f>
        <v>0</v>
      </c>
    </row>
    <row r="41" customFormat="false" ht="22.5" hidden="false" customHeight="true" outlineLevel="0" collapsed="false">
      <c r="B41" s="92" t="s">
        <v>113</v>
      </c>
      <c r="C41" s="93" t="n">
        <f aca="false">C30+C31-C36</f>
        <v>-7290352</v>
      </c>
      <c r="D41" s="93" t="n">
        <f aca="false">D30+D31-D36</f>
        <v>-12286514</v>
      </c>
      <c r="E41" s="15" t="n">
        <f aca="false">C41+D41</f>
        <v>-19576866</v>
      </c>
      <c r="F41" s="93" t="n">
        <f aca="false">F30+F31-F36</f>
        <v>130309716</v>
      </c>
      <c r="G41" s="93" t="n">
        <f aca="false">G30+G31-G36</f>
        <v>-248048130</v>
      </c>
      <c r="H41" s="15" t="n">
        <f aca="false">F41+G41</f>
        <v>-117738414</v>
      </c>
      <c r="I41" s="93" t="n">
        <f aca="false">I30+I31-I36</f>
        <v>580579</v>
      </c>
      <c r="J41" s="93" t="n">
        <f aca="false">J30+J31-J36</f>
        <v>-14948948</v>
      </c>
      <c r="K41" s="15" t="n">
        <f aca="false">I41+J41</f>
        <v>-14368369</v>
      </c>
      <c r="L41" s="93" t="n">
        <f aca="false">L30+L31-L36</f>
        <v>0</v>
      </c>
      <c r="M41" s="93" t="n">
        <f aca="false">M30+M31-M36</f>
        <v>0</v>
      </c>
      <c r="N41" s="15" t="n">
        <f aca="false">L41+M41</f>
        <v>0</v>
      </c>
      <c r="O41" s="93" t="n">
        <f aca="false">O30+O31-O36</f>
        <v>0</v>
      </c>
      <c r="P41" s="93" t="n">
        <f aca="false">P30+P31-P36</f>
        <v>0</v>
      </c>
      <c r="Q41" s="15" t="n">
        <f aca="false">O41+P41</f>
        <v>0</v>
      </c>
    </row>
    <row r="42" customFormat="false" ht="22.5" hidden="false" customHeight="true" outlineLevel="0" collapsed="false">
      <c r="B42" s="96" t="s">
        <v>114</v>
      </c>
      <c r="C42" s="97" t="n">
        <f aca="false">SUM(C43:C44)</f>
        <v>194727</v>
      </c>
      <c r="D42" s="97" t="n">
        <f aca="false">SUM(D43:D44)</f>
        <v>0</v>
      </c>
      <c r="E42" s="269" t="n">
        <f aca="false">C42+D42</f>
        <v>194727</v>
      </c>
      <c r="F42" s="97" t="n">
        <f aca="false">SUM(F43:F44)</f>
        <v>21953358</v>
      </c>
      <c r="G42" s="97" t="n">
        <f aca="false">SUM(G43:G44)</f>
        <v>0</v>
      </c>
      <c r="H42" s="269" t="n">
        <f aca="false">F42+G42</f>
        <v>21953358</v>
      </c>
      <c r="I42" s="97" t="n">
        <f aca="false">SUM(I43:I44)</f>
        <v>48664083</v>
      </c>
      <c r="J42" s="97" t="n">
        <f aca="false">SUM(J43:J44)</f>
        <v>0</v>
      </c>
      <c r="K42" s="269" t="n">
        <f aca="false">I42+J42</f>
        <v>48664083</v>
      </c>
      <c r="L42" s="97" t="n">
        <f aca="false">SUM(L43:L44)</f>
        <v>0</v>
      </c>
      <c r="M42" s="97" t="n">
        <f aca="false">SUM(M43:M44)</f>
        <v>0</v>
      </c>
      <c r="N42" s="269" t="n">
        <f aca="false">L42+M42</f>
        <v>0</v>
      </c>
      <c r="O42" s="97" t="n">
        <f aca="false">SUM(O43:O44)</f>
        <v>0</v>
      </c>
      <c r="P42" s="97" t="n">
        <f aca="false">SUM(P43:P44)</f>
        <v>0</v>
      </c>
      <c r="Q42" s="269" t="n">
        <f aca="false">O42+P42</f>
        <v>0</v>
      </c>
    </row>
    <row r="43" customFormat="false" ht="22.5" hidden="false" customHeight="true" outlineLevel="0" collapsed="false">
      <c r="B43" s="86" t="s">
        <v>115</v>
      </c>
      <c r="C43" s="35" t="n">
        <f aca="false">PL!C53</f>
        <v>194727</v>
      </c>
      <c r="D43" s="52"/>
      <c r="E43" s="18" t="n">
        <f aca="false">C43+D43</f>
        <v>194727</v>
      </c>
      <c r="F43" s="35" t="n">
        <f aca="false">PL!E53</f>
        <v>21953358</v>
      </c>
      <c r="G43" s="52"/>
      <c r="H43" s="18" t="n">
        <f aca="false">F43+G43</f>
        <v>21953358</v>
      </c>
      <c r="I43" s="35" t="n">
        <f aca="false">PL!G53</f>
        <v>289183</v>
      </c>
      <c r="J43" s="52"/>
      <c r="K43" s="18" t="n">
        <f aca="false">I43+J43</f>
        <v>289183</v>
      </c>
      <c r="L43" s="35"/>
      <c r="M43" s="52"/>
      <c r="N43" s="18" t="n">
        <f aca="false">L43+M43</f>
        <v>0</v>
      </c>
      <c r="O43" s="35"/>
      <c r="P43" s="52"/>
      <c r="Q43" s="18" t="n">
        <f aca="false">O43+P43</f>
        <v>0</v>
      </c>
    </row>
    <row r="44" customFormat="false" ht="22.5" hidden="false" customHeight="true" outlineLevel="0" collapsed="false">
      <c r="B44" s="86" t="s">
        <v>116</v>
      </c>
      <c r="C44" s="37" t="n">
        <f aca="false">PL!C54</f>
        <v>0</v>
      </c>
      <c r="D44" s="54"/>
      <c r="E44" s="165" t="n">
        <f aca="false">C44+D44</f>
        <v>0</v>
      </c>
      <c r="F44" s="37" t="n">
        <f aca="false">PL!E54</f>
        <v>0</v>
      </c>
      <c r="G44" s="54"/>
      <c r="H44" s="165" t="n">
        <f aca="false">F44+G44</f>
        <v>0</v>
      </c>
      <c r="I44" s="37" t="n">
        <f aca="false">PL!G54</f>
        <v>48374900</v>
      </c>
      <c r="J44" s="54"/>
      <c r="K44" s="165" t="n">
        <f aca="false">I44+J44</f>
        <v>48374900</v>
      </c>
      <c r="L44" s="37"/>
      <c r="M44" s="54"/>
      <c r="N44" s="165" t="n">
        <f aca="false">L44+M44</f>
        <v>0</v>
      </c>
      <c r="O44" s="37"/>
      <c r="P44" s="54"/>
      <c r="Q44" s="165" t="n">
        <f aca="false">O44+P44</f>
        <v>0</v>
      </c>
    </row>
    <row r="45" customFormat="false" ht="22.5" hidden="false" customHeight="true" outlineLevel="0" collapsed="false">
      <c r="B45" s="92" t="s">
        <v>117</v>
      </c>
      <c r="C45" s="93" t="n">
        <f aca="false">C41-C42</f>
        <v>-7485079</v>
      </c>
      <c r="D45" s="93" t="n">
        <f aca="false">D41-D42</f>
        <v>-12286514</v>
      </c>
      <c r="E45" s="272" t="n">
        <f aca="false">C45+D45</f>
        <v>-19771593</v>
      </c>
      <c r="F45" s="93" t="n">
        <f aca="false">F41-F42</f>
        <v>108356358</v>
      </c>
      <c r="G45" s="93" t="n">
        <f aca="false">G41-G42</f>
        <v>-248048130</v>
      </c>
      <c r="H45" s="272" t="n">
        <f aca="false">F45+G45</f>
        <v>-139691772</v>
      </c>
      <c r="I45" s="93" t="n">
        <f aca="false">I41-I42</f>
        <v>-48083504</v>
      </c>
      <c r="J45" s="93" t="n">
        <f aca="false">J41-J42</f>
        <v>-14948948</v>
      </c>
      <c r="K45" s="272" t="n">
        <f aca="false">I45+J45</f>
        <v>-63032452</v>
      </c>
      <c r="L45" s="93" t="n">
        <f aca="false">L41-L42</f>
        <v>0</v>
      </c>
      <c r="M45" s="93" t="n">
        <f aca="false">M41-M42</f>
        <v>0</v>
      </c>
      <c r="N45" s="272" t="n">
        <f aca="false">L45+M45</f>
        <v>0</v>
      </c>
      <c r="O45" s="93" t="n">
        <f aca="false">O41-O42</f>
        <v>0</v>
      </c>
      <c r="P45" s="93" t="n">
        <f aca="false">P41-P42</f>
        <v>0</v>
      </c>
      <c r="Q45" s="272" t="n">
        <f aca="false">O45+P45</f>
        <v>0</v>
      </c>
    </row>
    <row r="46" customFormat="false" ht="18" hidden="false" customHeight="false" outlineLevel="0" collapsed="false">
      <c r="C46" s="131"/>
      <c r="D46" s="131"/>
      <c r="E46" s="131" t="n">
        <f aca="false">C46+D46</f>
        <v>0</v>
      </c>
      <c r="F46" s="131"/>
      <c r="G46" s="131"/>
      <c r="H46" s="131" t="n">
        <f aca="false">F46+G46</f>
        <v>0</v>
      </c>
      <c r="I46" s="131"/>
      <c r="J46" s="131"/>
      <c r="K46" s="131" t="n">
        <f aca="false">I46+J46</f>
        <v>0</v>
      </c>
      <c r="L46" s="131"/>
      <c r="M46" s="131"/>
      <c r="N46" s="131" t="n">
        <f aca="false">L46+M46</f>
        <v>0</v>
      </c>
      <c r="O46" s="131"/>
      <c r="P46" s="131"/>
      <c r="Q46" s="131" t="n">
        <f aca="false">O46+P46</f>
        <v>0</v>
      </c>
    </row>
    <row r="47" customFormat="false" ht="18" hidden="false" customHeight="false" outlineLevel="0" collapsed="false">
      <c r="C47" s="131"/>
      <c r="D47" s="131"/>
      <c r="E47" s="131" t="n">
        <f aca="false">C47+D47</f>
        <v>0</v>
      </c>
      <c r="F47" s="131"/>
      <c r="G47" s="131"/>
      <c r="H47" s="131" t="n">
        <f aca="false">F47+G47</f>
        <v>0</v>
      </c>
      <c r="I47" s="131"/>
      <c r="J47" s="131"/>
      <c r="K47" s="131" t="n">
        <f aca="false">I47+J47</f>
        <v>0</v>
      </c>
      <c r="L47" s="131"/>
      <c r="M47" s="131"/>
      <c r="N47" s="131" t="n">
        <f aca="false">L47+M47</f>
        <v>0</v>
      </c>
      <c r="O47" s="131"/>
      <c r="P47" s="131"/>
      <c r="Q47" s="131" t="n">
        <f aca="false">O47+P47</f>
        <v>0</v>
      </c>
    </row>
    <row r="48" customFormat="false" ht="18" hidden="false" customHeight="false" outlineLevel="0" collapsed="false">
      <c r="C48" s="131"/>
      <c r="D48" s="131"/>
      <c r="E48" s="131" t="n">
        <f aca="false">C48+D48</f>
        <v>0</v>
      </c>
      <c r="F48" s="131"/>
      <c r="G48" s="131"/>
      <c r="H48" s="131" t="n">
        <f aca="false">F48+G48</f>
        <v>0</v>
      </c>
      <c r="I48" s="131"/>
      <c r="J48" s="131"/>
      <c r="K48" s="131" t="n">
        <f aca="false">I48+J48</f>
        <v>0</v>
      </c>
      <c r="L48" s="131"/>
      <c r="M48" s="131"/>
      <c r="N48" s="131" t="n">
        <f aca="false">L48+M48</f>
        <v>0</v>
      </c>
      <c r="O48" s="131"/>
      <c r="P48" s="131"/>
      <c r="Q48" s="131" t="n">
        <f aca="false">O48+P48</f>
        <v>0</v>
      </c>
    </row>
    <row r="49" customFormat="false" ht="18" hidden="false" customHeight="false" outlineLevel="0" collapsed="false">
      <c r="C49" s="131"/>
      <c r="D49" s="131"/>
      <c r="E49" s="131" t="n">
        <f aca="false">C49+D49</f>
        <v>0</v>
      </c>
      <c r="F49" s="131"/>
      <c r="G49" s="131"/>
      <c r="H49" s="131" t="n">
        <f aca="false">F49+G49</f>
        <v>0</v>
      </c>
      <c r="I49" s="131"/>
      <c r="J49" s="131"/>
      <c r="K49" s="131" t="n">
        <f aca="false">I49+J49</f>
        <v>0</v>
      </c>
      <c r="L49" s="131"/>
      <c r="M49" s="131"/>
      <c r="N49" s="131" t="n">
        <f aca="false">L49+M49</f>
        <v>0</v>
      </c>
      <c r="O49" s="131"/>
      <c r="P49" s="131"/>
      <c r="Q49" s="131" t="n">
        <f aca="false">O49+P49</f>
        <v>0</v>
      </c>
    </row>
    <row r="50" customFormat="false" ht="18" hidden="false" customHeight="false" outlineLevel="0" collapsed="false">
      <c r="C50" s="131"/>
      <c r="D50" s="131"/>
      <c r="E50" s="131" t="n">
        <f aca="false">C50+D50</f>
        <v>0</v>
      </c>
      <c r="F50" s="131"/>
      <c r="G50" s="131"/>
      <c r="H50" s="131" t="n">
        <f aca="false">F50+G50</f>
        <v>0</v>
      </c>
      <c r="I50" s="131"/>
      <c r="J50" s="131"/>
      <c r="K50" s="131" t="n">
        <f aca="false">I50+J50</f>
        <v>0</v>
      </c>
      <c r="L50" s="131"/>
      <c r="M50" s="131"/>
      <c r="N50" s="131" t="n">
        <f aca="false">L50+M50</f>
        <v>0</v>
      </c>
      <c r="O50" s="131"/>
      <c r="P50" s="131"/>
      <c r="Q50" s="131" t="n">
        <f aca="false">O50+P50</f>
        <v>0</v>
      </c>
    </row>
    <row r="51" customFormat="false" ht="18" hidden="false" customHeight="false" outlineLevel="0" collapsed="false">
      <c r="C51" s="131"/>
      <c r="D51" s="131"/>
      <c r="E51" s="131" t="n">
        <f aca="false">C51+D51</f>
        <v>0</v>
      </c>
      <c r="F51" s="131"/>
      <c r="G51" s="131"/>
      <c r="H51" s="131" t="n">
        <f aca="false">F51+G51</f>
        <v>0</v>
      </c>
      <c r="I51" s="131"/>
      <c r="J51" s="131"/>
      <c r="K51" s="131" t="n">
        <f aca="false">I51+J51</f>
        <v>0</v>
      </c>
      <c r="L51" s="131"/>
      <c r="M51" s="131"/>
      <c r="N51" s="131" t="n">
        <f aca="false">L51+M51</f>
        <v>0</v>
      </c>
      <c r="O51" s="131"/>
      <c r="P51" s="131"/>
      <c r="Q51" s="131" t="n">
        <f aca="false">O51+P51</f>
        <v>0</v>
      </c>
    </row>
    <row r="52" customFormat="false" ht="18" hidden="false" customHeight="false" outlineLevel="0" collapsed="false">
      <c r="C52" s="131"/>
      <c r="D52" s="131"/>
      <c r="E52" s="131" t="n">
        <f aca="false">C52+D52</f>
        <v>0</v>
      </c>
      <c r="F52" s="131"/>
      <c r="G52" s="131"/>
      <c r="H52" s="131" t="n">
        <f aca="false">F52+G52</f>
        <v>0</v>
      </c>
      <c r="I52" s="131"/>
      <c r="J52" s="131"/>
      <c r="K52" s="131" t="n">
        <f aca="false">I52+J52</f>
        <v>0</v>
      </c>
      <c r="L52" s="131"/>
      <c r="M52" s="131"/>
      <c r="N52" s="131" t="n">
        <f aca="false">L52+M52</f>
        <v>0</v>
      </c>
      <c r="O52" s="131"/>
      <c r="P52" s="131"/>
      <c r="Q52" s="131" t="n">
        <f aca="false">O52+P52</f>
        <v>0</v>
      </c>
    </row>
    <row r="53" customFormat="false" ht="18" hidden="false" customHeight="false" outlineLevel="0" collapsed="false">
      <c r="C53" s="131"/>
      <c r="D53" s="131"/>
      <c r="E53" s="131" t="n">
        <f aca="false">C53+D53</f>
        <v>0</v>
      </c>
      <c r="F53" s="131"/>
      <c r="G53" s="131"/>
      <c r="H53" s="131" t="n">
        <f aca="false">F53+G53</f>
        <v>0</v>
      </c>
      <c r="I53" s="131"/>
      <c r="J53" s="131"/>
      <c r="K53" s="131" t="n">
        <f aca="false">I53+J53</f>
        <v>0</v>
      </c>
      <c r="L53" s="131"/>
      <c r="M53" s="131"/>
      <c r="N53" s="131" t="n">
        <f aca="false">L53+M53</f>
        <v>0</v>
      </c>
      <c r="O53" s="131"/>
      <c r="P53" s="131"/>
      <c r="Q53" s="131" t="n">
        <f aca="false">O53+P53</f>
        <v>0</v>
      </c>
    </row>
    <row r="54" customFormat="false" ht="18" hidden="false" customHeight="false" outlineLevel="0" collapsed="false">
      <c r="C54" s="131"/>
      <c r="D54" s="131"/>
      <c r="E54" s="131" t="n">
        <f aca="false">C54+D54</f>
        <v>0</v>
      </c>
      <c r="F54" s="131"/>
      <c r="G54" s="131"/>
      <c r="H54" s="131" t="n">
        <f aca="false">F54+G54</f>
        <v>0</v>
      </c>
      <c r="I54" s="131"/>
      <c r="J54" s="131"/>
      <c r="K54" s="131" t="n">
        <f aca="false">I54+J54</f>
        <v>0</v>
      </c>
      <c r="L54" s="131"/>
      <c r="M54" s="131"/>
      <c r="N54" s="131" t="n">
        <f aca="false">L54+M54</f>
        <v>0</v>
      </c>
      <c r="O54" s="131"/>
      <c r="P54" s="131"/>
      <c r="Q54" s="131" t="n">
        <f aca="false">O54+P54</f>
        <v>0</v>
      </c>
    </row>
    <row r="55" customFormat="false" ht="18" hidden="false" customHeight="false" outlineLevel="0" collapsed="false">
      <c r="C55" s="131"/>
      <c r="D55" s="131"/>
      <c r="E55" s="131" t="n">
        <f aca="false">C55+D55</f>
        <v>0</v>
      </c>
      <c r="F55" s="131"/>
      <c r="G55" s="131"/>
      <c r="H55" s="131" t="n">
        <f aca="false">F55+G55</f>
        <v>0</v>
      </c>
      <c r="I55" s="131"/>
      <c r="J55" s="131"/>
      <c r="K55" s="131" t="n">
        <f aca="false">I55+J55</f>
        <v>0</v>
      </c>
      <c r="L55" s="131"/>
      <c r="M55" s="131"/>
      <c r="N55" s="131" t="n">
        <f aca="false">L55+M55</f>
        <v>0</v>
      </c>
      <c r="O55" s="131"/>
      <c r="P55" s="131"/>
      <c r="Q55" s="131" t="n">
        <f aca="false">O55+P55</f>
        <v>0</v>
      </c>
    </row>
    <row r="56" customFormat="false" ht="18" hidden="false" customHeight="false" outlineLevel="0" collapsed="false">
      <c r="C56" s="131"/>
      <c r="D56" s="131"/>
      <c r="E56" s="131" t="n">
        <f aca="false">C56+D56</f>
        <v>0</v>
      </c>
      <c r="F56" s="131"/>
      <c r="G56" s="131"/>
      <c r="H56" s="131" t="n">
        <f aca="false">F56+G56</f>
        <v>0</v>
      </c>
      <c r="I56" s="131"/>
      <c r="J56" s="131"/>
      <c r="K56" s="131" t="n">
        <f aca="false">I56+J56</f>
        <v>0</v>
      </c>
      <c r="L56" s="131"/>
      <c r="M56" s="131"/>
      <c r="N56" s="131" t="n">
        <f aca="false">L56+M56</f>
        <v>0</v>
      </c>
      <c r="O56" s="131"/>
      <c r="P56" s="131"/>
      <c r="Q56" s="131" t="n">
        <f aca="false">O56+P56</f>
        <v>0</v>
      </c>
    </row>
    <row r="57" customFormat="false" ht="18" hidden="false" customHeight="false" outlineLevel="0" collapsed="false">
      <c r="C57" s="131"/>
      <c r="D57" s="131"/>
      <c r="E57" s="131" t="n">
        <f aca="false">C57+D57</f>
        <v>0</v>
      </c>
      <c r="F57" s="131"/>
      <c r="G57" s="131"/>
      <c r="H57" s="131" t="n">
        <f aca="false">F57+G57</f>
        <v>0</v>
      </c>
      <c r="I57" s="131"/>
      <c r="J57" s="131"/>
      <c r="K57" s="131" t="n">
        <f aca="false">I57+J57</f>
        <v>0</v>
      </c>
      <c r="L57" s="131"/>
      <c r="M57" s="131"/>
      <c r="N57" s="131" t="n">
        <f aca="false">L57+M57</f>
        <v>0</v>
      </c>
      <c r="O57" s="131"/>
      <c r="P57" s="131"/>
      <c r="Q57" s="131" t="n">
        <f aca="false">O57+P57</f>
        <v>0</v>
      </c>
    </row>
    <row r="58" customFormat="false" ht="18" hidden="false" customHeight="false" outlineLevel="0" collapsed="false">
      <c r="C58" s="131"/>
      <c r="D58" s="131"/>
      <c r="E58" s="131" t="n">
        <f aca="false">C58+D58</f>
        <v>0</v>
      </c>
      <c r="F58" s="131"/>
      <c r="G58" s="131"/>
      <c r="H58" s="131" t="n">
        <f aca="false">F58+G58</f>
        <v>0</v>
      </c>
      <c r="I58" s="131"/>
      <c r="J58" s="131"/>
      <c r="K58" s="131" t="n">
        <f aca="false">I58+J58</f>
        <v>0</v>
      </c>
      <c r="L58" s="131"/>
      <c r="M58" s="131"/>
      <c r="N58" s="131" t="n">
        <f aca="false">L58+M58</f>
        <v>0</v>
      </c>
      <c r="O58" s="131"/>
      <c r="P58" s="131"/>
      <c r="Q58" s="131" t="n">
        <f aca="false">O58+P58</f>
        <v>0</v>
      </c>
    </row>
    <row r="59" customFormat="false" ht="18" hidden="false" customHeight="false" outlineLevel="0" collapsed="false">
      <c r="C59" s="131"/>
      <c r="D59" s="131"/>
      <c r="E59" s="131" t="n">
        <f aca="false">C59+D59</f>
        <v>0</v>
      </c>
      <c r="F59" s="131"/>
      <c r="G59" s="131"/>
      <c r="H59" s="131" t="n">
        <f aca="false">F59+G59</f>
        <v>0</v>
      </c>
      <c r="I59" s="131"/>
      <c r="J59" s="131"/>
      <c r="K59" s="131" t="n">
        <f aca="false">I59+J59</f>
        <v>0</v>
      </c>
      <c r="L59" s="131"/>
      <c r="M59" s="131"/>
      <c r="N59" s="131" t="n">
        <f aca="false">L59+M59</f>
        <v>0</v>
      </c>
      <c r="O59" s="131"/>
      <c r="P59" s="131"/>
      <c r="Q59" s="131" t="n">
        <f aca="false">O59+P59</f>
        <v>0</v>
      </c>
    </row>
    <row r="60" customFormat="false" ht="18" hidden="false" customHeight="false" outlineLevel="0" collapsed="false">
      <c r="C60" s="131"/>
      <c r="D60" s="131"/>
      <c r="E60" s="131" t="n">
        <f aca="false">C60+D60</f>
        <v>0</v>
      </c>
      <c r="F60" s="131"/>
      <c r="G60" s="131"/>
      <c r="H60" s="131" t="n">
        <f aca="false">F60+G60</f>
        <v>0</v>
      </c>
      <c r="I60" s="131"/>
      <c r="J60" s="131"/>
      <c r="K60" s="131" t="n">
        <f aca="false">I60+J60</f>
        <v>0</v>
      </c>
      <c r="L60" s="131"/>
      <c r="M60" s="131"/>
      <c r="N60" s="131" t="n">
        <f aca="false">L60+M60</f>
        <v>0</v>
      </c>
      <c r="O60" s="131"/>
      <c r="P60" s="131"/>
      <c r="Q60" s="131" t="n">
        <f aca="false">O60+P60</f>
        <v>0</v>
      </c>
    </row>
    <row r="61" customFormat="false" ht="18" hidden="false" customHeight="false" outlineLevel="0" collapsed="false">
      <c r="C61" s="131"/>
      <c r="D61" s="131"/>
      <c r="E61" s="131" t="n">
        <f aca="false">C61+D61</f>
        <v>0</v>
      </c>
      <c r="F61" s="131"/>
      <c r="G61" s="131"/>
      <c r="H61" s="131" t="n">
        <f aca="false">F61+G61</f>
        <v>0</v>
      </c>
      <c r="I61" s="131"/>
      <c r="J61" s="131"/>
      <c r="K61" s="131" t="n">
        <f aca="false">I61+J61</f>
        <v>0</v>
      </c>
      <c r="L61" s="131"/>
      <c r="M61" s="131"/>
      <c r="N61" s="131" t="n">
        <f aca="false">L61+M61</f>
        <v>0</v>
      </c>
      <c r="O61" s="131"/>
      <c r="P61" s="131"/>
      <c r="Q61" s="131" t="n">
        <f aca="false">O61+P61</f>
        <v>0</v>
      </c>
    </row>
    <row r="62" customFormat="false" ht="18" hidden="false" customHeight="false" outlineLevel="0" collapsed="false">
      <c r="C62" s="131"/>
      <c r="D62" s="131"/>
      <c r="E62" s="131" t="n">
        <f aca="false">C62+D62</f>
        <v>0</v>
      </c>
      <c r="F62" s="131"/>
      <c r="G62" s="131"/>
      <c r="H62" s="131" t="n">
        <f aca="false">F62+G62</f>
        <v>0</v>
      </c>
      <c r="I62" s="131"/>
      <c r="J62" s="131"/>
      <c r="K62" s="131" t="n">
        <f aca="false">I62+J62</f>
        <v>0</v>
      </c>
      <c r="L62" s="131"/>
      <c r="M62" s="131"/>
      <c r="N62" s="131" t="n">
        <f aca="false">L62+M62</f>
        <v>0</v>
      </c>
      <c r="O62" s="131"/>
      <c r="P62" s="131"/>
      <c r="Q62" s="131" t="n">
        <f aca="false">O62+P62</f>
        <v>0</v>
      </c>
    </row>
    <row r="63" customFormat="false" ht="18" hidden="false" customHeight="false" outlineLevel="0" collapsed="false">
      <c r="C63" s="131"/>
      <c r="D63" s="131"/>
      <c r="E63" s="131" t="n">
        <f aca="false">C63+D63</f>
        <v>0</v>
      </c>
      <c r="F63" s="131"/>
      <c r="G63" s="131"/>
      <c r="H63" s="131" t="n">
        <f aca="false">F63+G63</f>
        <v>0</v>
      </c>
      <c r="I63" s="131"/>
      <c r="J63" s="131"/>
      <c r="K63" s="131" t="n">
        <f aca="false">I63+J63</f>
        <v>0</v>
      </c>
      <c r="L63" s="131"/>
      <c r="M63" s="131"/>
      <c r="N63" s="131" t="n">
        <f aca="false">L63+M63</f>
        <v>0</v>
      </c>
      <c r="O63" s="131"/>
      <c r="P63" s="131"/>
      <c r="Q63" s="131" t="n">
        <f aca="false">O63+P63</f>
        <v>0</v>
      </c>
    </row>
    <row r="64" customFormat="false" ht="18" hidden="false" customHeight="false" outlineLevel="0" collapsed="false">
      <c r="C64" s="131"/>
      <c r="D64" s="131"/>
      <c r="E64" s="131" t="n">
        <f aca="false">C64+D64</f>
        <v>0</v>
      </c>
      <c r="F64" s="131"/>
      <c r="G64" s="131"/>
      <c r="H64" s="131" t="n">
        <f aca="false">F64+G64</f>
        <v>0</v>
      </c>
      <c r="I64" s="131"/>
      <c r="J64" s="131"/>
      <c r="K64" s="131" t="n">
        <f aca="false">I64+J64</f>
        <v>0</v>
      </c>
      <c r="L64" s="131"/>
      <c r="M64" s="131"/>
      <c r="N64" s="131" t="n">
        <f aca="false">L64+M64</f>
        <v>0</v>
      </c>
      <c r="O64" s="131"/>
      <c r="P64" s="131"/>
      <c r="Q64" s="131" t="n">
        <f aca="false">O64+P64</f>
        <v>0</v>
      </c>
    </row>
    <row r="65" customFormat="false" ht="18" hidden="false" customHeight="false" outlineLevel="0" collapsed="false">
      <c r="C65" s="131"/>
      <c r="D65" s="131"/>
      <c r="E65" s="131" t="n">
        <f aca="false">C65+D65</f>
        <v>0</v>
      </c>
      <c r="F65" s="131"/>
      <c r="G65" s="131"/>
      <c r="H65" s="131" t="n">
        <f aca="false">F65+G65</f>
        <v>0</v>
      </c>
      <c r="I65" s="131"/>
      <c r="J65" s="131"/>
      <c r="K65" s="131" t="n">
        <f aca="false">I65+J65</f>
        <v>0</v>
      </c>
      <c r="L65" s="131"/>
      <c r="M65" s="131"/>
      <c r="N65" s="131" t="n">
        <f aca="false">L65+M65</f>
        <v>0</v>
      </c>
      <c r="O65" s="131"/>
      <c r="P65" s="131"/>
      <c r="Q65" s="131" t="n">
        <f aca="false">O65+P65</f>
        <v>0</v>
      </c>
    </row>
    <row r="66" customFormat="false" ht="18" hidden="false" customHeight="false" outlineLevel="0" collapsed="false">
      <c r="E66" s="131" t="n">
        <f aca="false">C66+D66</f>
        <v>0</v>
      </c>
      <c r="H66" s="131" t="n">
        <f aca="false">F66+G66</f>
        <v>0</v>
      </c>
      <c r="K66" s="131" t="n">
        <f aca="false">I66+J66</f>
        <v>0</v>
      </c>
      <c r="N66" s="131" t="n">
        <f aca="false">L66+M66</f>
        <v>0</v>
      </c>
      <c r="Q66" s="131" t="n">
        <f aca="false">O66+P66</f>
        <v>0</v>
      </c>
    </row>
    <row r="67" customFormat="false" ht="18" hidden="false" customHeight="false" outlineLevel="0" collapsed="false">
      <c r="E67" s="131" t="n">
        <f aca="false">C67+D67</f>
        <v>0</v>
      </c>
      <c r="H67" s="131" t="n">
        <f aca="false">F67+G67</f>
        <v>0</v>
      </c>
      <c r="K67" s="131" t="n">
        <f aca="false">I67+J67</f>
        <v>0</v>
      </c>
      <c r="N67" s="131" t="n">
        <f aca="false">L67+M67</f>
        <v>0</v>
      </c>
      <c r="Q67" s="131" t="n">
        <f aca="false">O67+P67</f>
        <v>0</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39"/>
  <sheetViews>
    <sheetView showFormulas="false" showGridLines="false" showRowColHeaders="true" showZeros="true" rightToLeft="false" tabSelected="false" showOutlineSymbols="true" defaultGridColor="true" view="normal" topLeftCell="F1" colorId="64" zoomScale="100" zoomScaleNormal="100" zoomScalePageLayoutView="100" workbookViewId="0">
      <pane xSplit="0" ySplit="4" topLeftCell="A5" activePane="bottomLeft" state="frozen"/>
      <selection pane="topLeft" activeCell="F1" activeCellId="0" sqref="F1"/>
      <selection pane="bottomLeft" activeCell="Q5" activeCellId="0" sqref="Q5"/>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 hidden="false" customHeight="false" outlineLevel="0" collapsed="false">
      <c r="B2" s="2"/>
      <c r="C2" s="46"/>
      <c r="F2" s="46"/>
      <c r="I2" s="46"/>
      <c r="K2" s="47" t="s">
        <v>59</v>
      </c>
      <c r="L2" s="46"/>
      <c r="O2" s="46"/>
    </row>
    <row r="3" customFormat="false" ht="20.25" hidden="false" customHeight="true" outlineLevel="0" collapsed="false">
      <c r="B3" s="132" t="s">
        <v>6</v>
      </c>
      <c r="C3" s="132" t="str">
        <f aca="false">'BS(借方)'!C4</f>
        <v>令和6年3月期</v>
      </c>
      <c r="D3" s="132"/>
      <c r="E3" s="132"/>
      <c r="F3" s="132" t="str">
        <f aca="false">'BS(借方)'!D4</f>
        <v>令和7年3月期</v>
      </c>
      <c r="G3" s="132"/>
      <c r="H3" s="132"/>
      <c r="I3" s="132" t="str">
        <f aca="false">'BS(借方)'!E4</f>
        <v>令和8年3月期</v>
      </c>
      <c r="J3" s="132"/>
      <c r="K3" s="132"/>
      <c r="L3" s="132" t="str">
        <f aca="false">'BS(借方)'!F4</f>
        <v>－</v>
      </c>
      <c r="M3" s="132"/>
      <c r="N3" s="132"/>
      <c r="O3" s="265" t="str">
        <f aca="false">'BS(借方)'!G4</f>
        <v>進行期
（試算表未受領）</v>
      </c>
      <c r="P3" s="265"/>
      <c r="Q3" s="265"/>
    </row>
    <row r="4" customFormat="false" ht="19.5" hidden="false" customHeight="true" outlineLevel="0" collapsed="false">
      <c r="B4" s="132"/>
      <c r="C4" s="109" t="s">
        <v>85</v>
      </c>
      <c r="D4" s="266" t="s">
        <v>174</v>
      </c>
      <c r="E4" s="267" t="s">
        <v>175</v>
      </c>
      <c r="F4" s="109" t="s">
        <v>85</v>
      </c>
      <c r="G4" s="266" t="s">
        <v>174</v>
      </c>
      <c r="H4" s="267" t="s">
        <v>175</v>
      </c>
      <c r="I4" s="109" t="s">
        <v>85</v>
      </c>
      <c r="J4" s="266" t="s">
        <v>174</v>
      </c>
      <c r="K4" s="267" t="s">
        <v>175</v>
      </c>
      <c r="L4" s="109" t="s">
        <v>85</v>
      </c>
      <c r="M4" s="266" t="s">
        <v>174</v>
      </c>
      <c r="N4" s="267" t="s">
        <v>175</v>
      </c>
      <c r="O4" s="112" t="s">
        <v>85</v>
      </c>
      <c r="P4" s="273" t="s">
        <v>174</v>
      </c>
      <c r="Q4" s="267" t="s">
        <v>175</v>
      </c>
    </row>
    <row r="5" customFormat="false" ht="22.5" hidden="false" customHeight="true" outlineLevel="0" collapsed="false">
      <c r="B5" s="274" t="s">
        <v>135</v>
      </c>
      <c r="C5" s="35" t="n">
        <f aca="false">SGA!C6</f>
        <v>1920000</v>
      </c>
      <c r="D5" s="17"/>
      <c r="E5" s="18" t="n">
        <f aca="false">C5+D5</f>
        <v>1920000</v>
      </c>
      <c r="F5" s="35" t="n">
        <f aca="false">SGA!E6</f>
        <v>1920000</v>
      </c>
      <c r="G5" s="17"/>
      <c r="H5" s="18" t="n">
        <f aca="false">F5+G5</f>
        <v>1920000</v>
      </c>
      <c r="I5" s="35" t="n">
        <f aca="false">SGA!G6</f>
        <v>1920000</v>
      </c>
      <c r="J5" s="17"/>
      <c r="K5" s="18" t="n">
        <f aca="false">I5+J5</f>
        <v>1920000</v>
      </c>
      <c r="L5" s="35"/>
      <c r="M5" s="17"/>
      <c r="N5" s="18" t="n">
        <f aca="false">L5+M5</f>
        <v>0</v>
      </c>
      <c r="O5" s="35"/>
      <c r="P5" s="17"/>
      <c r="Q5" s="18" t="n">
        <f aca="false">O5+P5</f>
        <v>0</v>
      </c>
    </row>
    <row r="6" customFormat="false" ht="22.5" hidden="false" customHeight="true" outlineLevel="0" collapsed="false">
      <c r="B6" s="274" t="s">
        <v>136</v>
      </c>
      <c r="C6" s="52" t="n">
        <f aca="false">SGA!C7</f>
        <v>137394789</v>
      </c>
      <c r="D6" s="17"/>
      <c r="E6" s="18" t="n">
        <f aca="false">C6+D6</f>
        <v>137394789</v>
      </c>
      <c r="F6" s="52" t="n">
        <f aca="false">SGA!E7</f>
        <v>111145074</v>
      </c>
      <c r="G6" s="17"/>
      <c r="H6" s="18" t="n">
        <f aca="false">F6+G6</f>
        <v>111145074</v>
      </c>
      <c r="I6" s="52" t="n">
        <f aca="false">SGA!G7</f>
        <v>113155654</v>
      </c>
      <c r="J6" s="17"/>
      <c r="K6" s="18" t="n">
        <f aca="false">I6+J6</f>
        <v>113155654</v>
      </c>
      <c r="L6" s="52"/>
      <c r="M6" s="17"/>
      <c r="N6" s="18" t="n">
        <f aca="false">L6+M6</f>
        <v>0</v>
      </c>
      <c r="O6" s="52"/>
      <c r="P6" s="17"/>
      <c r="Q6" s="18" t="n">
        <f aca="false">O6+P6</f>
        <v>0</v>
      </c>
    </row>
    <row r="7" customFormat="false" ht="22.5" hidden="false" customHeight="true" outlineLevel="0" collapsed="false">
      <c r="B7" s="274" t="s">
        <v>137</v>
      </c>
      <c r="C7" s="52" t="n">
        <f aca="false">SGA!C8</f>
        <v>21065176</v>
      </c>
      <c r="D7" s="17"/>
      <c r="E7" s="18" t="n">
        <f aca="false">C7+D7</f>
        <v>21065176</v>
      </c>
      <c r="F7" s="52" t="n">
        <f aca="false">SGA!E8</f>
        <v>14045855</v>
      </c>
      <c r="G7" s="17"/>
      <c r="H7" s="18" t="n">
        <f aca="false">F7+G7</f>
        <v>14045855</v>
      </c>
      <c r="I7" s="52" t="n">
        <f aca="false">SGA!G8</f>
        <v>18258884</v>
      </c>
      <c r="J7" s="17"/>
      <c r="K7" s="18" t="n">
        <f aca="false">I7+J7</f>
        <v>18258884</v>
      </c>
      <c r="L7" s="52"/>
      <c r="M7" s="17"/>
      <c r="N7" s="18" t="n">
        <f aca="false">L7+M7</f>
        <v>0</v>
      </c>
      <c r="O7" s="52"/>
      <c r="P7" s="17"/>
      <c r="Q7" s="18" t="n">
        <f aca="false">O7+P7</f>
        <v>0</v>
      </c>
    </row>
    <row r="8" customFormat="false" ht="22.5" hidden="false" customHeight="true" outlineLevel="0" collapsed="false">
      <c r="B8" s="274" t="s">
        <v>138</v>
      </c>
      <c r="C8" s="52" t="n">
        <f aca="false">SGA!C9</f>
        <v>893478</v>
      </c>
      <c r="D8" s="17"/>
      <c r="E8" s="18" t="n">
        <f aca="false">C8+D8</f>
        <v>893478</v>
      </c>
      <c r="F8" s="52" t="n">
        <f aca="false">SGA!E9</f>
        <v>813145</v>
      </c>
      <c r="G8" s="17"/>
      <c r="H8" s="18" t="n">
        <f aca="false">F8+G8</f>
        <v>813145</v>
      </c>
      <c r="I8" s="52" t="n">
        <f aca="false">SGA!G9</f>
        <v>654125</v>
      </c>
      <c r="J8" s="17"/>
      <c r="K8" s="18" t="n">
        <f aca="false">I8+J8</f>
        <v>654125</v>
      </c>
      <c r="L8" s="52"/>
      <c r="M8" s="17"/>
      <c r="N8" s="18" t="n">
        <f aca="false">L8+M8</f>
        <v>0</v>
      </c>
      <c r="O8" s="52"/>
      <c r="P8" s="17"/>
      <c r="Q8" s="18" t="n">
        <f aca="false">O8+P8</f>
        <v>0</v>
      </c>
    </row>
    <row r="9" customFormat="false" ht="22.5" hidden="false" customHeight="true" outlineLevel="0" collapsed="false">
      <c r="B9" s="274" t="s">
        <v>139</v>
      </c>
      <c r="C9" s="52" t="n">
        <f aca="false">SGA!C10</f>
        <v>4594828</v>
      </c>
      <c r="D9" s="17"/>
      <c r="E9" s="18" t="n">
        <f aca="false">C9+D9</f>
        <v>4594828</v>
      </c>
      <c r="F9" s="52" t="n">
        <f aca="false">SGA!E10</f>
        <v>14219250</v>
      </c>
      <c r="G9" s="17"/>
      <c r="H9" s="18" t="n">
        <f aca="false">F9+G9</f>
        <v>14219250</v>
      </c>
      <c r="I9" s="52" t="n">
        <f aca="false">SGA!G10</f>
        <v>11895803</v>
      </c>
      <c r="J9" s="17"/>
      <c r="K9" s="18" t="n">
        <f aca="false">I9+J9</f>
        <v>11895803</v>
      </c>
      <c r="L9" s="52"/>
      <c r="M9" s="17"/>
      <c r="N9" s="18" t="n">
        <f aca="false">L9+M9</f>
        <v>0</v>
      </c>
      <c r="O9" s="52"/>
      <c r="P9" s="17"/>
      <c r="Q9" s="18" t="n">
        <f aca="false">O9+P9</f>
        <v>0</v>
      </c>
    </row>
    <row r="10" customFormat="false" ht="22.5" hidden="false" customHeight="true" outlineLevel="0" collapsed="false">
      <c r="B10" s="274" t="s">
        <v>140</v>
      </c>
      <c r="C10" s="52" t="n">
        <f aca="false">SGA!C11</f>
        <v>14896364</v>
      </c>
      <c r="D10" s="17"/>
      <c r="E10" s="18" t="n">
        <f aca="false">C10+D10</f>
        <v>14896364</v>
      </c>
      <c r="F10" s="52" t="n">
        <f aca="false">SGA!E11</f>
        <v>17605421</v>
      </c>
      <c r="G10" s="17"/>
      <c r="H10" s="18" t="n">
        <f aca="false">F10+G10</f>
        <v>17605421</v>
      </c>
      <c r="I10" s="52" t="n">
        <f aca="false">SGA!G11</f>
        <v>21688139</v>
      </c>
      <c r="J10" s="17"/>
      <c r="K10" s="18" t="n">
        <f aca="false">I10+J10</f>
        <v>21688139</v>
      </c>
      <c r="L10" s="52"/>
      <c r="M10" s="17"/>
      <c r="N10" s="18" t="n">
        <f aca="false">L10+M10</f>
        <v>0</v>
      </c>
      <c r="O10" s="52"/>
      <c r="P10" s="17"/>
      <c r="Q10" s="18" t="n">
        <f aca="false">O10+P10</f>
        <v>0</v>
      </c>
    </row>
    <row r="11" customFormat="false" ht="22.5" hidden="false" customHeight="true" outlineLevel="0" collapsed="false">
      <c r="B11" s="274" t="s">
        <v>141</v>
      </c>
      <c r="C11" s="52" t="n">
        <f aca="false">SGA!C12</f>
        <v>4820065</v>
      </c>
      <c r="D11" s="17"/>
      <c r="E11" s="18" t="n">
        <f aca="false">C11+D11</f>
        <v>4820065</v>
      </c>
      <c r="F11" s="52" t="n">
        <f aca="false">SGA!E12</f>
        <v>12667849</v>
      </c>
      <c r="G11" s="17"/>
      <c r="H11" s="18" t="n">
        <f aca="false">F11+G11</f>
        <v>12667849</v>
      </c>
      <c r="I11" s="52" t="n">
        <f aca="false">SGA!G12</f>
        <v>349720</v>
      </c>
      <c r="J11" s="17"/>
      <c r="K11" s="18" t="n">
        <f aca="false">I11+J11</f>
        <v>349720</v>
      </c>
      <c r="L11" s="52"/>
      <c r="M11" s="17"/>
      <c r="N11" s="18" t="n">
        <f aca="false">L11+M11</f>
        <v>0</v>
      </c>
      <c r="O11" s="52"/>
      <c r="P11" s="17"/>
      <c r="Q11" s="18" t="n">
        <f aca="false">O11+P11</f>
        <v>0</v>
      </c>
    </row>
    <row r="12" customFormat="false" ht="22.5" hidden="false" customHeight="true" outlineLevel="0" collapsed="false">
      <c r="B12" s="274" t="s">
        <v>142</v>
      </c>
      <c r="C12" s="52" t="n">
        <f aca="false">SGA!C13</f>
        <v>0</v>
      </c>
      <c r="D12" s="17"/>
      <c r="E12" s="18" t="n">
        <f aca="false">C12+D12</f>
        <v>0</v>
      </c>
      <c r="F12" s="52" t="n">
        <f aca="false">SGA!E13</f>
        <v>0</v>
      </c>
      <c r="G12" s="17"/>
      <c r="H12" s="18" t="n">
        <f aca="false">F12+G12</f>
        <v>0</v>
      </c>
      <c r="I12" s="52" t="n">
        <f aca="false">SGA!G13</f>
        <v>0</v>
      </c>
      <c r="J12" s="17"/>
      <c r="K12" s="18" t="n">
        <f aca="false">I12+J12</f>
        <v>0</v>
      </c>
      <c r="L12" s="52"/>
      <c r="M12" s="17"/>
      <c r="N12" s="18" t="n">
        <f aca="false">L12+M12</f>
        <v>0</v>
      </c>
      <c r="O12" s="52"/>
      <c r="P12" s="17"/>
      <c r="Q12" s="18" t="n">
        <f aca="false">O12+P12</f>
        <v>0</v>
      </c>
    </row>
    <row r="13" customFormat="false" ht="22.5" hidden="false" customHeight="true" outlineLevel="0" collapsed="false">
      <c r="B13" s="274" t="s">
        <v>143</v>
      </c>
      <c r="C13" s="52" t="n">
        <f aca="false">SGA!C14</f>
        <v>8665567</v>
      </c>
      <c r="D13" s="17"/>
      <c r="E13" s="18" t="n">
        <f aca="false">C13+D13</f>
        <v>8665567</v>
      </c>
      <c r="F13" s="52" t="n">
        <f aca="false">SGA!E14</f>
        <v>3622074</v>
      </c>
      <c r="G13" s="17"/>
      <c r="H13" s="18" t="n">
        <f aca="false">F13+G13</f>
        <v>3622074</v>
      </c>
      <c r="I13" s="52" t="n">
        <f aca="false">SGA!G14</f>
        <v>3114486</v>
      </c>
      <c r="J13" s="17"/>
      <c r="K13" s="18" t="n">
        <f aca="false">I13+J13</f>
        <v>3114486</v>
      </c>
      <c r="L13" s="52"/>
      <c r="M13" s="17"/>
      <c r="N13" s="18" t="n">
        <f aca="false">L13+M13</f>
        <v>0</v>
      </c>
      <c r="O13" s="52"/>
      <c r="P13" s="17"/>
      <c r="Q13" s="18" t="n">
        <f aca="false">O13+P13</f>
        <v>0</v>
      </c>
    </row>
    <row r="14" customFormat="false" ht="22.5" hidden="false" customHeight="true" outlineLevel="0" collapsed="false">
      <c r="B14" s="274" t="s">
        <v>144</v>
      </c>
      <c r="C14" s="52" t="n">
        <f aca="false">SGA!C15</f>
        <v>12094761</v>
      </c>
      <c r="D14" s="17"/>
      <c r="E14" s="18" t="n">
        <f aca="false">C14+D14</f>
        <v>12094761</v>
      </c>
      <c r="F14" s="52" t="n">
        <f aca="false">SGA!E15</f>
        <v>7886267</v>
      </c>
      <c r="G14" s="17"/>
      <c r="H14" s="18" t="n">
        <f aca="false">F14+G14</f>
        <v>7886267</v>
      </c>
      <c r="I14" s="52" t="n">
        <f aca="false">SGA!G15</f>
        <v>8256277</v>
      </c>
      <c r="J14" s="17"/>
      <c r="K14" s="18" t="n">
        <f aca="false">I14+J14</f>
        <v>8256277</v>
      </c>
      <c r="L14" s="52"/>
      <c r="M14" s="17"/>
      <c r="N14" s="18" t="n">
        <f aca="false">L14+M14</f>
        <v>0</v>
      </c>
      <c r="O14" s="52"/>
      <c r="P14" s="17"/>
      <c r="Q14" s="18" t="n">
        <f aca="false">O14+P14</f>
        <v>0</v>
      </c>
    </row>
    <row r="15" customFormat="false" ht="22.5" hidden="false" customHeight="true" outlineLevel="0" collapsed="false">
      <c r="B15" s="274" t="s">
        <v>145</v>
      </c>
      <c r="C15" s="52" t="n">
        <f aca="false">SGA!C16</f>
        <v>4459042</v>
      </c>
      <c r="D15" s="17"/>
      <c r="E15" s="18" t="n">
        <f aca="false">C15+D15</f>
        <v>4459042</v>
      </c>
      <c r="F15" s="52" t="n">
        <f aca="false">SGA!E16</f>
        <v>13621116</v>
      </c>
      <c r="G15" s="17"/>
      <c r="H15" s="18" t="n">
        <f aca="false">F15+G15</f>
        <v>13621116</v>
      </c>
      <c r="I15" s="52" t="n">
        <f aca="false">SGA!G16</f>
        <v>6127921</v>
      </c>
      <c r="J15" s="17"/>
      <c r="K15" s="18" t="n">
        <f aca="false">I15+J15</f>
        <v>6127921</v>
      </c>
      <c r="L15" s="52"/>
      <c r="M15" s="17"/>
      <c r="N15" s="18" t="n">
        <f aca="false">L15+M15</f>
        <v>0</v>
      </c>
      <c r="O15" s="52"/>
      <c r="P15" s="17"/>
      <c r="Q15" s="18" t="n">
        <f aca="false">O15+P15</f>
        <v>0</v>
      </c>
    </row>
    <row r="16" customFormat="false" ht="22.5" hidden="false" customHeight="true" outlineLevel="0" collapsed="false">
      <c r="B16" s="274" t="s">
        <v>146</v>
      </c>
      <c r="C16" s="52" t="n">
        <f aca="false">SGA!C17</f>
        <v>26496901</v>
      </c>
      <c r="D16" s="17"/>
      <c r="E16" s="18" t="n">
        <f aca="false">C16+D16</f>
        <v>26496901</v>
      </c>
      <c r="F16" s="52" t="n">
        <f aca="false">SGA!E17</f>
        <v>25381508</v>
      </c>
      <c r="G16" s="17"/>
      <c r="H16" s="18" t="n">
        <f aca="false">F16+G16</f>
        <v>25381508</v>
      </c>
      <c r="I16" s="52" t="n">
        <f aca="false">SGA!G17</f>
        <v>13893115</v>
      </c>
      <c r="J16" s="17"/>
      <c r="K16" s="18" t="n">
        <f aca="false">I16+J16</f>
        <v>13893115</v>
      </c>
      <c r="L16" s="52"/>
      <c r="M16" s="17"/>
      <c r="N16" s="18" t="n">
        <f aca="false">L16+M16</f>
        <v>0</v>
      </c>
      <c r="O16" s="52"/>
      <c r="P16" s="17"/>
      <c r="Q16" s="18" t="n">
        <f aca="false">O16+P16</f>
        <v>0</v>
      </c>
    </row>
    <row r="17" customFormat="false" ht="22.5" hidden="false" customHeight="true" outlineLevel="0" collapsed="false">
      <c r="B17" s="274" t="s">
        <v>147</v>
      </c>
      <c r="C17" s="52" t="n">
        <f aca="false">SGA!C18</f>
        <v>6754902</v>
      </c>
      <c r="D17" s="17"/>
      <c r="E17" s="18" t="n">
        <f aca="false">C17+D17</f>
        <v>6754902</v>
      </c>
      <c r="F17" s="52" t="n">
        <f aca="false">SGA!E18</f>
        <v>9642116</v>
      </c>
      <c r="G17" s="17"/>
      <c r="H17" s="18" t="n">
        <f aca="false">F17+G17</f>
        <v>9642116</v>
      </c>
      <c r="I17" s="52" t="n">
        <f aca="false">SGA!G18</f>
        <v>4553800</v>
      </c>
      <c r="J17" s="17"/>
      <c r="K17" s="18" t="n">
        <f aca="false">I17+J17</f>
        <v>4553800</v>
      </c>
      <c r="L17" s="52"/>
      <c r="M17" s="17"/>
      <c r="N17" s="18" t="n">
        <f aca="false">L17+M17</f>
        <v>0</v>
      </c>
      <c r="O17" s="52"/>
      <c r="P17" s="17"/>
      <c r="Q17" s="18" t="n">
        <f aca="false">O17+P17</f>
        <v>0</v>
      </c>
    </row>
    <row r="18" customFormat="false" ht="22.5" hidden="false" customHeight="true" outlineLevel="0" collapsed="false">
      <c r="B18" s="274" t="s">
        <v>148</v>
      </c>
      <c r="C18" s="52" t="n">
        <f aca="false">SGA!C19</f>
        <v>3417904</v>
      </c>
      <c r="D18" s="17"/>
      <c r="E18" s="18" t="n">
        <f aca="false">C18+D18</f>
        <v>3417904</v>
      </c>
      <c r="F18" s="52" t="n">
        <f aca="false">SGA!E19</f>
        <v>3153229</v>
      </c>
      <c r="G18" s="17"/>
      <c r="H18" s="18" t="n">
        <f aca="false">F18+G18</f>
        <v>3153229</v>
      </c>
      <c r="I18" s="52" t="n">
        <f aca="false">SGA!G19</f>
        <v>0</v>
      </c>
      <c r="J18" s="17"/>
      <c r="K18" s="18" t="n">
        <f aca="false">I18+J18</f>
        <v>0</v>
      </c>
      <c r="L18" s="52"/>
      <c r="M18" s="17"/>
      <c r="N18" s="18" t="n">
        <f aca="false">L18+M18</f>
        <v>0</v>
      </c>
      <c r="O18" s="52"/>
      <c r="P18" s="17"/>
      <c r="Q18" s="18" t="n">
        <f aca="false">O18+P18</f>
        <v>0</v>
      </c>
    </row>
    <row r="19" customFormat="false" ht="22.5" hidden="false" customHeight="true" outlineLevel="0" collapsed="false">
      <c r="B19" s="274" t="s">
        <v>149</v>
      </c>
      <c r="C19" s="52" t="n">
        <f aca="false">SGA!C20</f>
        <v>94180</v>
      </c>
      <c r="D19" s="17"/>
      <c r="E19" s="18" t="n">
        <f aca="false">C19+D19</f>
        <v>94180</v>
      </c>
      <c r="F19" s="52" t="n">
        <f aca="false">SGA!E20</f>
        <v>219320</v>
      </c>
      <c r="G19" s="17"/>
      <c r="H19" s="18" t="n">
        <f aca="false">F19+G19</f>
        <v>219320</v>
      </c>
      <c r="I19" s="52" t="n">
        <f aca="false">SGA!G20</f>
        <v>664014</v>
      </c>
      <c r="J19" s="17"/>
      <c r="K19" s="18" t="n">
        <f aca="false">I19+J19</f>
        <v>664014</v>
      </c>
      <c r="L19" s="52"/>
      <c r="M19" s="17"/>
      <c r="N19" s="18" t="n">
        <f aca="false">L19+M19</f>
        <v>0</v>
      </c>
      <c r="O19" s="52"/>
      <c r="P19" s="17"/>
      <c r="Q19" s="18" t="n">
        <f aca="false">O19+P19</f>
        <v>0</v>
      </c>
    </row>
    <row r="20" customFormat="false" ht="22.5" hidden="false" customHeight="true" outlineLevel="0" collapsed="false">
      <c r="B20" s="274" t="s">
        <v>150</v>
      </c>
      <c r="C20" s="52" t="n">
        <f aca="false">SGA!C21</f>
        <v>1009720</v>
      </c>
      <c r="D20" s="17"/>
      <c r="E20" s="18" t="n">
        <f aca="false">C20+D20</f>
        <v>1009720</v>
      </c>
      <c r="F20" s="52" t="n">
        <f aca="false">SGA!E21</f>
        <v>953882</v>
      </c>
      <c r="G20" s="17"/>
      <c r="H20" s="18" t="n">
        <f aca="false">F20+G20</f>
        <v>953882</v>
      </c>
      <c r="I20" s="52" t="n">
        <f aca="false">SGA!G21</f>
        <v>836193</v>
      </c>
      <c r="J20" s="17"/>
      <c r="K20" s="18" t="n">
        <f aca="false">I20+J20</f>
        <v>836193</v>
      </c>
      <c r="L20" s="52"/>
      <c r="M20" s="17"/>
      <c r="N20" s="18" t="n">
        <f aca="false">L20+M20</f>
        <v>0</v>
      </c>
      <c r="O20" s="52"/>
      <c r="P20" s="17"/>
      <c r="Q20" s="18" t="n">
        <f aca="false">O20+P20</f>
        <v>0</v>
      </c>
    </row>
    <row r="21" customFormat="false" ht="22.5" hidden="false" customHeight="true" outlineLevel="0" collapsed="false">
      <c r="B21" s="274" t="s">
        <v>151</v>
      </c>
      <c r="C21" s="52" t="n">
        <f aca="false">SGA!C22</f>
        <v>28000</v>
      </c>
      <c r="D21" s="17"/>
      <c r="E21" s="18" t="n">
        <f aca="false">C21+D21</f>
        <v>28000</v>
      </c>
      <c r="F21" s="52" t="n">
        <f aca="false">SGA!E22</f>
        <v>60000</v>
      </c>
      <c r="G21" s="17"/>
      <c r="H21" s="18" t="n">
        <f aca="false">F21+G21</f>
        <v>60000</v>
      </c>
      <c r="I21" s="52" t="n">
        <f aca="false">SGA!G22</f>
        <v>60000</v>
      </c>
      <c r="J21" s="17"/>
      <c r="K21" s="18" t="n">
        <f aca="false">I21+J21</f>
        <v>60000</v>
      </c>
      <c r="L21" s="52"/>
      <c r="M21" s="17"/>
      <c r="N21" s="18" t="n">
        <f aca="false">L21+M21</f>
        <v>0</v>
      </c>
      <c r="O21" s="52"/>
      <c r="P21" s="17"/>
      <c r="Q21" s="18" t="n">
        <f aca="false">O21+P21</f>
        <v>0</v>
      </c>
    </row>
    <row r="22" customFormat="false" ht="22.5" hidden="false" customHeight="true" outlineLevel="0" collapsed="false">
      <c r="B22" s="274" t="s">
        <v>152</v>
      </c>
      <c r="C22" s="52" t="n">
        <f aca="false">SGA!C23</f>
        <v>966665</v>
      </c>
      <c r="D22" s="17"/>
      <c r="E22" s="18" t="n">
        <f aca="false">C22+D22</f>
        <v>966665</v>
      </c>
      <c r="F22" s="52" t="n">
        <f aca="false">SGA!E23</f>
        <v>159400</v>
      </c>
      <c r="G22" s="17"/>
      <c r="H22" s="18" t="n">
        <f aca="false">F22+G22</f>
        <v>159400</v>
      </c>
      <c r="I22" s="52" t="n">
        <f aca="false">SGA!G23</f>
        <v>653731</v>
      </c>
      <c r="J22" s="17"/>
      <c r="K22" s="18" t="n">
        <f aca="false">I22+J22</f>
        <v>653731</v>
      </c>
      <c r="L22" s="52"/>
      <c r="M22" s="17"/>
      <c r="N22" s="18" t="n">
        <f aca="false">L22+M22</f>
        <v>0</v>
      </c>
      <c r="O22" s="52"/>
      <c r="P22" s="17"/>
      <c r="Q22" s="18" t="n">
        <f aca="false">O22+P22</f>
        <v>0</v>
      </c>
    </row>
    <row r="23" customFormat="false" ht="22.5" hidden="false" customHeight="true" outlineLevel="0" collapsed="false">
      <c r="B23" s="274" t="s">
        <v>153</v>
      </c>
      <c r="C23" s="52" t="n">
        <f aca="false">SGA!C24</f>
        <v>0</v>
      </c>
      <c r="D23" s="17"/>
      <c r="E23" s="18" t="n">
        <f aca="false">C23+D23</f>
        <v>0</v>
      </c>
      <c r="F23" s="52" t="n">
        <f aca="false">SGA!E24</f>
        <v>0</v>
      </c>
      <c r="G23" s="17"/>
      <c r="H23" s="18" t="n">
        <f aca="false">F23+G23</f>
        <v>0</v>
      </c>
      <c r="I23" s="52" t="n">
        <f aca="false">SGA!G24</f>
        <v>0</v>
      </c>
      <c r="J23" s="17"/>
      <c r="K23" s="18" t="n">
        <f aca="false">I23+J23</f>
        <v>0</v>
      </c>
      <c r="L23" s="52"/>
      <c r="M23" s="17"/>
      <c r="N23" s="18" t="n">
        <f aca="false">L23+M23</f>
        <v>0</v>
      </c>
      <c r="O23" s="52"/>
      <c r="P23" s="17"/>
      <c r="Q23" s="18" t="n">
        <f aca="false">O23+P23</f>
        <v>0</v>
      </c>
    </row>
    <row r="24" customFormat="false" ht="22.5" hidden="false" customHeight="true" outlineLevel="0" collapsed="false">
      <c r="B24" s="274" t="s">
        <v>154</v>
      </c>
      <c r="C24" s="52" t="n">
        <f aca="false">SGA!C25</f>
        <v>3456</v>
      </c>
      <c r="D24" s="17"/>
      <c r="E24" s="18" t="n">
        <f aca="false">C24+D24</f>
        <v>3456</v>
      </c>
      <c r="F24" s="52" t="n">
        <f aca="false">SGA!E25</f>
        <v>0</v>
      </c>
      <c r="G24" s="17"/>
      <c r="H24" s="18" t="n">
        <f aca="false">F24+G24</f>
        <v>0</v>
      </c>
      <c r="I24" s="52" t="n">
        <f aca="false">SGA!G25</f>
        <v>0</v>
      </c>
      <c r="J24" s="17"/>
      <c r="K24" s="18" t="n">
        <f aca="false">I24+J24</f>
        <v>0</v>
      </c>
      <c r="L24" s="52"/>
      <c r="M24" s="17"/>
      <c r="N24" s="18" t="n">
        <f aca="false">L24+M24</f>
        <v>0</v>
      </c>
      <c r="O24" s="52"/>
      <c r="P24" s="17"/>
      <c r="Q24" s="18" t="n">
        <f aca="false">O24+P24</f>
        <v>0</v>
      </c>
    </row>
    <row r="25" customFormat="false" ht="22.5" hidden="false" customHeight="true" outlineLevel="0" collapsed="false">
      <c r="B25" s="274" t="s">
        <v>155</v>
      </c>
      <c r="C25" s="52" t="n">
        <f aca="false">SGA!C26</f>
        <v>1181195</v>
      </c>
      <c r="D25" s="17"/>
      <c r="E25" s="18" t="n">
        <f aca="false">C25+D25</f>
        <v>1181195</v>
      </c>
      <c r="F25" s="52" t="n">
        <f aca="false">SGA!E26</f>
        <v>7140452</v>
      </c>
      <c r="G25" s="17"/>
      <c r="H25" s="18" t="n">
        <f aca="false">F25+G25</f>
        <v>7140452</v>
      </c>
      <c r="I25" s="52" t="n">
        <f aca="false">SGA!G26</f>
        <v>1368052</v>
      </c>
      <c r="J25" s="17"/>
      <c r="K25" s="18" t="n">
        <f aca="false">I25+J25</f>
        <v>1368052</v>
      </c>
      <c r="L25" s="52"/>
      <c r="M25" s="17"/>
      <c r="N25" s="18" t="n">
        <f aca="false">L25+M25</f>
        <v>0</v>
      </c>
      <c r="O25" s="52"/>
      <c r="P25" s="17"/>
      <c r="Q25" s="18" t="n">
        <f aca="false">O25+P25</f>
        <v>0</v>
      </c>
    </row>
    <row r="26" customFormat="false" ht="22.5" hidden="false" customHeight="true" outlineLevel="0" collapsed="false">
      <c r="B26" s="274" t="s">
        <v>156</v>
      </c>
      <c r="C26" s="52" t="n">
        <f aca="false">SGA!C27</f>
        <v>291880</v>
      </c>
      <c r="D26" s="17"/>
      <c r="E26" s="18" t="n">
        <f aca="false">C26+D26</f>
        <v>291880</v>
      </c>
      <c r="F26" s="52" t="n">
        <f aca="false">SGA!E27</f>
        <v>380301</v>
      </c>
      <c r="G26" s="17"/>
      <c r="H26" s="18" t="n">
        <f aca="false">F26+G26</f>
        <v>380301</v>
      </c>
      <c r="I26" s="52" t="n">
        <f aca="false">SGA!G27</f>
        <v>235205</v>
      </c>
      <c r="J26" s="17"/>
      <c r="K26" s="18" t="n">
        <f aca="false">I26+J26</f>
        <v>235205</v>
      </c>
      <c r="L26" s="52"/>
      <c r="M26" s="17"/>
      <c r="N26" s="18" t="n">
        <f aca="false">L26+M26</f>
        <v>0</v>
      </c>
      <c r="O26" s="52"/>
      <c r="P26" s="17"/>
      <c r="Q26" s="18" t="n">
        <f aca="false">O26+P26</f>
        <v>0</v>
      </c>
    </row>
    <row r="27" customFormat="false" ht="22.5" hidden="false" customHeight="true" outlineLevel="0" collapsed="false">
      <c r="B27" s="274" t="s">
        <v>157</v>
      </c>
      <c r="C27" s="52" t="n">
        <f aca="false">SGA!C28</f>
        <v>6144296</v>
      </c>
      <c r="D27" s="17"/>
      <c r="E27" s="18" t="n">
        <f aca="false">C27+D27</f>
        <v>6144296</v>
      </c>
      <c r="F27" s="52" t="n">
        <f aca="false">SGA!E28</f>
        <v>3207403</v>
      </c>
      <c r="G27" s="17"/>
      <c r="H27" s="18" t="n">
        <f aca="false">F27+G27</f>
        <v>3207403</v>
      </c>
      <c r="I27" s="52" t="n">
        <f aca="false">SGA!G28</f>
        <v>2296521</v>
      </c>
      <c r="J27" s="17"/>
      <c r="K27" s="18" t="n">
        <f aca="false">I27+J27</f>
        <v>2296521</v>
      </c>
      <c r="L27" s="52"/>
      <c r="M27" s="17"/>
      <c r="N27" s="18" t="n">
        <f aca="false">L27+M27</f>
        <v>0</v>
      </c>
      <c r="O27" s="52"/>
      <c r="P27" s="17"/>
      <c r="Q27" s="18" t="n">
        <f aca="false">O27+P27</f>
        <v>0</v>
      </c>
    </row>
    <row r="28" customFormat="false" ht="22.5" hidden="false" customHeight="true" outlineLevel="0" collapsed="false">
      <c r="B28" s="274" t="s">
        <v>158</v>
      </c>
      <c r="C28" s="52" t="n">
        <f aca="false">SGA!C29</f>
        <v>649000</v>
      </c>
      <c r="D28" s="17"/>
      <c r="E28" s="18" t="n">
        <f aca="false">C28+D28</f>
        <v>649000</v>
      </c>
      <c r="F28" s="52" t="n">
        <f aca="false">SGA!E29</f>
        <v>292026</v>
      </c>
      <c r="G28" s="17"/>
      <c r="H28" s="18" t="n">
        <f aca="false">F28+G28</f>
        <v>292026</v>
      </c>
      <c r="I28" s="52" t="n">
        <f aca="false">SGA!G29</f>
        <v>58411</v>
      </c>
      <c r="J28" s="17"/>
      <c r="K28" s="18" t="n">
        <f aca="false">I28+J28</f>
        <v>58411</v>
      </c>
      <c r="L28" s="52"/>
      <c r="M28" s="17"/>
      <c r="N28" s="18" t="n">
        <f aca="false">L28+M28</f>
        <v>0</v>
      </c>
      <c r="O28" s="52"/>
      <c r="P28" s="17"/>
      <c r="Q28" s="18" t="n">
        <f aca="false">O28+P28</f>
        <v>0</v>
      </c>
    </row>
    <row r="29" customFormat="false" ht="22.5" hidden="false" customHeight="true" outlineLevel="0" collapsed="false">
      <c r="B29" s="274" t="s">
        <v>159</v>
      </c>
      <c r="C29" s="52" t="n">
        <f aca="false">SGA!C30</f>
        <v>3050293</v>
      </c>
      <c r="D29" s="17"/>
      <c r="E29" s="18" t="n">
        <f aca="false">C29+D29</f>
        <v>3050293</v>
      </c>
      <c r="F29" s="52" t="n">
        <f aca="false">SGA!E30</f>
        <v>5275153</v>
      </c>
      <c r="G29" s="17"/>
      <c r="H29" s="18" t="n">
        <f aca="false">F29+G29</f>
        <v>5275153</v>
      </c>
      <c r="I29" s="52" t="n">
        <f aca="false">SGA!G30</f>
        <v>27249</v>
      </c>
      <c r="J29" s="17"/>
      <c r="K29" s="18" t="n">
        <f aca="false">I29+J29</f>
        <v>27249</v>
      </c>
      <c r="L29" s="52"/>
      <c r="M29" s="17"/>
      <c r="N29" s="18" t="n">
        <f aca="false">L29+M29</f>
        <v>0</v>
      </c>
      <c r="O29" s="52"/>
      <c r="P29" s="17"/>
      <c r="Q29" s="18" t="n">
        <f aca="false">O29+P29</f>
        <v>0</v>
      </c>
    </row>
    <row r="30" customFormat="false" ht="22.5" hidden="false" customHeight="true" outlineLevel="0" collapsed="false">
      <c r="B30" s="274" t="s">
        <v>160</v>
      </c>
      <c r="C30" s="52" t="n">
        <f aca="false">SGA!C31</f>
        <v>4469601</v>
      </c>
      <c r="D30" s="17"/>
      <c r="E30" s="18" t="n">
        <f aca="false">C30+D30</f>
        <v>4469601</v>
      </c>
      <c r="F30" s="52" t="n">
        <f aca="false">SGA!E31</f>
        <v>6976250</v>
      </c>
      <c r="G30" s="17"/>
      <c r="H30" s="18" t="n">
        <f aca="false">F30+G30</f>
        <v>6976250</v>
      </c>
      <c r="I30" s="52" t="n">
        <f aca="false">SGA!G31</f>
        <v>1295640</v>
      </c>
      <c r="J30" s="17"/>
      <c r="K30" s="18" t="n">
        <f aca="false">I30+J30</f>
        <v>1295640</v>
      </c>
      <c r="L30" s="52"/>
      <c r="M30" s="17"/>
      <c r="N30" s="18" t="n">
        <f aca="false">L30+M30</f>
        <v>0</v>
      </c>
      <c r="O30" s="52"/>
      <c r="P30" s="17"/>
      <c r="Q30" s="18" t="n">
        <f aca="false">O30+P30</f>
        <v>0</v>
      </c>
    </row>
    <row r="31" customFormat="false" ht="22.5" hidden="false" customHeight="true" outlineLevel="0" collapsed="false">
      <c r="B31" s="274" t="s">
        <v>161</v>
      </c>
      <c r="C31" s="52" t="n">
        <f aca="false">SGA!C32</f>
        <v>45273</v>
      </c>
      <c r="D31" s="17"/>
      <c r="E31" s="18" t="n">
        <f aca="false">C31+D31</f>
        <v>45273</v>
      </c>
      <c r="F31" s="52" t="n">
        <f aca="false">SGA!E32</f>
        <v>0</v>
      </c>
      <c r="G31" s="17"/>
      <c r="H31" s="18" t="n">
        <f aca="false">F31+G31</f>
        <v>0</v>
      </c>
      <c r="I31" s="52" t="n">
        <f aca="false">SGA!G32</f>
        <v>0</v>
      </c>
      <c r="J31" s="17"/>
      <c r="K31" s="18" t="n">
        <f aca="false">I31+J31</f>
        <v>0</v>
      </c>
      <c r="L31" s="52"/>
      <c r="M31" s="17"/>
      <c r="N31" s="18" t="n">
        <f aca="false">L31+M31</f>
        <v>0</v>
      </c>
      <c r="O31" s="52"/>
      <c r="P31" s="17"/>
      <c r="Q31" s="18" t="n">
        <f aca="false">O31+P31</f>
        <v>0</v>
      </c>
    </row>
    <row r="32" customFormat="false" ht="22.5" hidden="false" customHeight="true" outlineLevel="0" collapsed="false">
      <c r="B32" s="274" t="s">
        <v>162</v>
      </c>
      <c r="C32" s="52" t="n">
        <f aca="false">SGA!C33</f>
        <v>4347132</v>
      </c>
      <c r="D32" s="17" t="n">
        <v>-4347132</v>
      </c>
      <c r="E32" s="18" t="n">
        <f aca="false">C32+D32</f>
        <v>0</v>
      </c>
      <c r="F32" s="52" t="n">
        <f aca="false">SGA!E33</f>
        <v>1928280</v>
      </c>
      <c r="G32" s="17" t="n">
        <v>-1928280</v>
      </c>
      <c r="H32" s="18" t="n">
        <f aca="false">F32+G32</f>
        <v>0</v>
      </c>
      <c r="I32" s="52" t="n">
        <f aca="false">SGA!G33</f>
        <v>686448</v>
      </c>
      <c r="J32" s="17" t="n">
        <v>-686448</v>
      </c>
      <c r="K32" s="18" t="n">
        <f aca="false">I32+J32</f>
        <v>0</v>
      </c>
      <c r="L32" s="52"/>
      <c r="M32" s="17"/>
      <c r="N32" s="18" t="n">
        <f aca="false">L32+M32</f>
        <v>0</v>
      </c>
      <c r="O32" s="52"/>
      <c r="P32" s="17"/>
      <c r="Q32" s="18" t="n">
        <f aca="false">O32+P32</f>
        <v>0</v>
      </c>
    </row>
    <row r="33" customFormat="false" ht="22.5" hidden="false" customHeight="true" outlineLevel="0" collapsed="false">
      <c r="B33" s="274" t="s">
        <v>163</v>
      </c>
      <c r="C33" s="52" t="n">
        <f aca="false">SGA!C34</f>
        <v>13797260</v>
      </c>
      <c r="D33" s="17"/>
      <c r="E33" s="18" t="n">
        <f aca="false">C33+D33</f>
        <v>13797260</v>
      </c>
      <c r="F33" s="52" t="n">
        <f aca="false">SGA!E34</f>
        <v>10744470</v>
      </c>
      <c r="G33" s="17"/>
      <c r="H33" s="18" t="n">
        <f aca="false">F33+G33</f>
        <v>10744470</v>
      </c>
      <c r="I33" s="52" t="n">
        <f aca="false">SGA!G34</f>
        <v>10212056</v>
      </c>
      <c r="J33" s="17"/>
      <c r="K33" s="18" t="n">
        <f aca="false">I33+J33</f>
        <v>10212056</v>
      </c>
      <c r="L33" s="52"/>
      <c r="M33" s="17"/>
      <c r="N33" s="18" t="n">
        <f aca="false">L33+M33</f>
        <v>0</v>
      </c>
      <c r="O33" s="52"/>
      <c r="P33" s="17"/>
      <c r="Q33" s="18" t="n">
        <f aca="false">O33+P33</f>
        <v>0</v>
      </c>
    </row>
    <row r="34" customFormat="false" ht="22.5" hidden="false" customHeight="true" outlineLevel="0" collapsed="false">
      <c r="B34" s="274" t="s">
        <v>164</v>
      </c>
      <c r="C34" s="52" t="n">
        <f aca="false">SGA!C35</f>
        <v>0</v>
      </c>
      <c r="D34" s="17"/>
      <c r="E34" s="18" t="n">
        <f aca="false">C34+D34</f>
        <v>0</v>
      </c>
      <c r="F34" s="52" t="n">
        <f aca="false">SGA!E35</f>
        <v>500</v>
      </c>
      <c r="G34" s="17"/>
      <c r="H34" s="18" t="n">
        <f aca="false">F34+G34</f>
        <v>500</v>
      </c>
      <c r="I34" s="52" t="n">
        <f aca="false">SGA!G35</f>
        <v>0</v>
      </c>
      <c r="J34" s="17"/>
      <c r="K34" s="18" t="n">
        <f aca="false">I34+J34</f>
        <v>0</v>
      </c>
      <c r="L34" s="52"/>
      <c r="M34" s="17"/>
      <c r="N34" s="18" t="n">
        <f aca="false">L34+M34</f>
        <v>0</v>
      </c>
      <c r="O34" s="52"/>
      <c r="P34" s="17"/>
      <c r="Q34" s="18" t="n">
        <f aca="false">O34+P34</f>
        <v>0</v>
      </c>
    </row>
    <row r="35" customFormat="false" ht="22.5" hidden="false" customHeight="true" outlineLevel="0" collapsed="false">
      <c r="B35" s="120"/>
      <c r="C35" s="52"/>
      <c r="D35" s="17"/>
      <c r="E35" s="18" t="n">
        <f aca="false">C35+D35</f>
        <v>0</v>
      </c>
      <c r="F35" s="52"/>
      <c r="G35" s="17"/>
      <c r="H35" s="18" t="n">
        <f aca="false">F35+G35</f>
        <v>0</v>
      </c>
      <c r="I35" s="52"/>
      <c r="J35" s="17"/>
      <c r="K35" s="18" t="n">
        <f aca="false">I35+J35</f>
        <v>0</v>
      </c>
      <c r="L35" s="52"/>
      <c r="M35" s="17"/>
      <c r="N35" s="18" t="n">
        <f aca="false">L35+M35</f>
        <v>0</v>
      </c>
      <c r="O35" s="52"/>
      <c r="P35" s="17"/>
      <c r="Q35" s="18" t="n">
        <f aca="false">O35+P35</f>
        <v>0</v>
      </c>
    </row>
    <row r="36" customFormat="false" ht="22.5" hidden="false" customHeight="true" outlineLevel="0" collapsed="false">
      <c r="B36" s="120"/>
      <c r="C36" s="52"/>
      <c r="D36" s="17"/>
      <c r="E36" s="18" t="n">
        <f aca="false">C36+D36</f>
        <v>0</v>
      </c>
      <c r="F36" s="52"/>
      <c r="G36" s="17"/>
      <c r="H36" s="18" t="n">
        <f aca="false">F36+G36</f>
        <v>0</v>
      </c>
      <c r="I36" s="52"/>
      <c r="J36" s="17"/>
      <c r="K36" s="18" t="n">
        <f aca="false">I36+J36</f>
        <v>0</v>
      </c>
      <c r="L36" s="52"/>
      <c r="M36" s="17"/>
      <c r="N36" s="18" t="n">
        <f aca="false">L36+M36</f>
        <v>0</v>
      </c>
      <c r="O36" s="52"/>
      <c r="P36" s="17"/>
      <c r="Q36" s="18" t="n">
        <f aca="false">O36+P36</f>
        <v>0</v>
      </c>
    </row>
    <row r="37" customFormat="false" ht="22.5" hidden="false" customHeight="true" outlineLevel="0" collapsed="false">
      <c r="B37" s="120"/>
      <c r="C37" s="52"/>
      <c r="D37" s="17"/>
      <c r="E37" s="18" t="n">
        <f aca="false">C37+D37</f>
        <v>0</v>
      </c>
      <c r="F37" s="52"/>
      <c r="G37" s="17"/>
      <c r="H37" s="18" t="n">
        <f aca="false">F37+G37</f>
        <v>0</v>
      </c>
      <c r="I37" s="52"/>
      <c r="J37" s="17"/>
      <c r="K37" s="18" t="n">
        <f aca="false">I37+J37</f>
        <v>0</v>
      </c>
      <c r="L37" s="52"/>
      <c r="M37" s="17"/>
      <c r="N37" s="18" t="n">
        <f aca="false">L37+M37</f>
        <v>0</v>
      </c>
      <c r="O37" s="52"/>
      <c r="P37" s="17"/>
      <c r="Q37" s="18" t="n">
        <f aca="false">O37+P37</f>
        <v>0</v>
      </c>
    </row>
    <row r="38" customFormat="false" ht="22.5" hidden="false" customHeight="true" outlineLevel="0" collapsed="false">
      <c r="B38" s="120"/>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134" t="s">
        <v>165</v>
      </c>
      <c r="C39" s="93" t="n">
        <f aca="false">SUM(C5:C38)</f>
        <v>283551728</v>
      </c>
      <c r="D39" s="93" t="n">
        <f aca="false">SUM(D5:D38)</f>
        <v>-4347132</v>
      </c>
      <c r="E39" s="275" t="n">
        <f aca="false">C39+D39</f>
        <v>279204596</v>
      </c>
      <c r="F39" s="93" t="n">
        <f aca="false">SUM(F5:F38)</f>
        <v>273060341</v>
      </c>
      <c r="G39" s="93" t="n">
        <f aca="false">SUM(G5:G38)</f>
        <v>-1928280</v>
      </c>
      <c r="H39" s="275" t="n">
        <f aca="false">F39+G39</f>
        <v>271132061</v>
      </c>
      <c r="I39" s="93" t="n">
        <f aca="false">SUM(I5:I38)</f>
        <v>222261444</v>
      </c>
      <c r="J39" s="93" t="n">
        <f aca="false">SUM(J5:J38)</f>
        <v>-686448</v>
      </c>
      <c r="K39" s="275" t="n">
        <f aca="false">I39+J39</f>
        <v>221574996</v>
      </c>
      <c r="L39" s="93" t="n">
        <f aca="false">SUM(L5:L38)</f>
        <v>0</v>
      </c>
      <c r="M39" s="93" t="n">
        <f aca="false">SUM(M5:M38)</f>
        <v>0</v>
      </c>
      <c r="N39" s="275" t="n">
        <f aca="false">L39+M39</f>
        <v>0</v>
      </c>
      <c r="O39" s="93" t="n">
        <f aca="false">SUM(O5:O38)</f>
        <v>0</v>
      </c>
      <c r="P39" s="93" t="n">
        <f aca="false">SUM(P5:P38)</f>
        <v>0</v>
      </c>
      <c r="Q39" s="275" t="n">
        <f aca="false">O39+P39</f>
        <v>0</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44"/>
  <sheetViews>
    <sheetView showFormulas="false" showGridLines="false" showRowColHeaders="true" showZeros="true" rightToLeft="false" tabSelected="false" showOutlineSymbols="true" defaultGridColor="true" view="normal" topLeftCell="A2" colorId="64" zoomScale="63" zoomScaleNormal="63" zoomScalePageLayoutView="100" workbookViewId="0">
      <pane xSplit="0" ySplit="3" topLeftCell="A5" activePane="bottomLeft" state="frozen"/>
      <selection pane="topLeft" activeCell="A2" activeCellId="0" sqref="A2"/>
      <selection pane="bottomLeft" activeCell="O17" activeCellId="0" sqref="O17"/>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 hidden="false" customHeight="false" outlineLevel="0" collapsed="false">
      <c r="B2" s="2"/>
      <c r="C2" s="46"/>
      <c r="F2" s="46"/>
      <c r="I2" s="46"/>
      <c r="K2" s="47" t="s">
        <v>59</v>
      </c>
      <c r="L2" s="46"/>
      <c r="O2" s="46"/>
    </row>
    <row r="3" customFormat="false" ht="20.25" hidden="false" customHeight="true" outlineLevel="0" collapsed="false">
      <c r="B3" s="108" t="s">
        <v>6</v>
      </c>
      <c r="C3" s="132" t="str">
        <f aca="false">'BS(借方)'!C4</f>
        <v>令和6年3月期</v>
      </c>
      <c r="D3" s="132"/>
      <c r="E3" s="132"/>
      <c r="F3" s="132" t="str">
        <f aca="false">'BS(借方)'!D4</f>
        <v>令和7年3月期</v>
      </c>
      <c r="G3" s="132"/>
      <c r="H3" s="132"/>
      <c r="I3" s="132" t="str">
        <f aca="false">'BS(借方)'!E4</f>
        <v>令和8年3月期</v>
      </c>
      <c r="J3" s="132"/>
      <c r="K3" s="132"/>
      <c r="L3" s="132" t="str">
        <f aca="false">'BS(借方)'!F4</f>
        <v>－</v>
      </c>
      <c r="M3" s="132"/>
      <c r="N3" s="132"/>
      <c r="O3" s="265" t="str">
        <f aca="false">'BS(借方)'!G4</f>
        <v>進行期
（試算表未受領）</v>
      </c>
      <c r="P3" s="265"/>
      <c r="Q3" s="265"/>
    </row>
    <row r="4" customFormat="false" ht="19.5" hidden="false" customHeight="true" outlineLevel="0" collapsed="false">
      <c r="B4" s="108"/>
      <c r="C4" s="109" t="s">
        <v>85</v>
      </c>
      <c r="D4" s="266" t="s">
        <v>174</v>
      </c>
      <c r="E4" s="267" t="s">
        <v>175</v>
      </c>
      <c r="F4" s="109" t="s">
        <v>85</v>
      </c>
      <c r="G4" s="266" t="s">
        <v>174</v>
      </c>
      <c r="H4" s="267" t="s">
        <v>175</v>
      </c>
      <c r="I4" s="109" t="s">
        <v>85</v>
      </c>
      <c r="J4" s="266" t="s">
        <v>174</v>
      </c>
      <c r="K4" s="267" t="s">
        <v>175</v>
      </c>
      <c r="L4" s="109" t="s">
        <v>85</v>
      </c>
      <c r="M4" s="266" t="s">
        <v>174</v>
      </c>
      <c r="N4" s="267" t="s">
        <v>175</v>
      </c>
      <c r="O4" s="112" t="s">
        <v>85</v>
      </c>
      <c r="P4" s="273" t="s">
        <v>174</v>
      </c>
      <c r="Q4" s="267" t="s">
        <v>175</v>
      </c>
    </row>
    <row r="5" customFormat="false" ht="22.5" hidden="false" customHeight="true" outlineLevel="0" collapsed="false">
      <c r="B5" s="119" t="s">
        <v>121</v>
      </c>
      <c r="C5" s="35"/>
      <c r="D5" s="17"/>
      <c r="E5" s="18" t="n">
        <f aca="false">C5+D5</f>
        <v>0</v>
      </c>
      <c r="F5" s="35"/>
      <c r="G5" s="17"/>
      <c r="H5" s="18" t="n">
        <f aca="false">F5+G5</f>
        <v>0</v>
      </c>
      <c r="I5" s="35"/>
      <c r="J5" s="17"/>
      <c r="K5" s="18" t="n">
        <f aca="false">I5+J5</f>
        <v>0</v>
      </c>
      <c r="L5" s="35"/>
      <c r="M5" s="17"/>
      <c r="N5" s="18" t="n">
        <f aca="false">L5+M5</f>
        <v>0</v>
      </c>
      <c r="O5" s="35"/>
      <c r="P5" s="17"/>
      <c r="Q5" s="18" t="n">
        <f aca="false">O5+P5</f>
        <v>0</v>
      </c>
    </row>
    <row r="6" customFormat="false" ht="22.5" hidden="false" customHeight="true" outlineLevel="0" collapsed="false">
      <c r="B6" s="120" t="s">
        <v>122</v>
      </c>
      <c r="C6" s="52"/>
      <c r="D6" s="17"/>
      <c r="E6" s="18" t="n">
        <f aca="false">C6+D6</f>
        <v>0</v>
      </c>
      <c r="F6" s="52"/>
      <c r="G6" s="17"/>
      <c r="H6" s="18" t="n">
        <f aca="false">F6+G6</f>
        <v>0</v>
      </c>
      <c r="I6" s="52"/>
      <c r="J6" s="17"/>
      <c r="K6" s="18" t="n">
        <f aca="false">I6+J6</f>
        <v>0</v>
      </c>
      <c r="L6" s="52"/>
      <c r="M6" s="17"/>
      <c r="N6" s="18" t="n">
        <f aca="false">L6+M6</f>
        <v>0</v>
      </c>
      <c r="O6" s="52"/>
      <c r="P6" s="17"/>
      <c r="Q6" s="18" t="n">
        <f aca="false">O6+P6</f>
        <v>0</v>
      </c>
    </row>
    <row r="7" customFormat="false" ht="22.5" hidden="false" customHeight="true" outlineLevel="0" collapsed="false">
      <c r="B7" s="120" t="s">
        <v>123</v>
      </c>
      <c r="C7" s="52"/>
      <c r="D7" s="17"/>
      <c r="E7" s="18" t="n">
        <f aca="false">C7+D7</f>
        <v>0</v>
      </c>
      <c r="F7" s="52"/>
      <c r="G7" s="17"/>
      <c r="H7" s="18" t="n">
        <f aca="false">F7+G7</f>
        <v>0</v>
      </c>
      <c r="I7" s="52"/>
      <c r="J7" s="17"/>
      <c r="K7" s="18" t="n">
        <f aca="false">I7+J7</f>
        <v>0</v>
      </c>
      <c r="L7" s="52"/>
      <c r="M7" s="17"/>
      <c r="N7" s="18" t="n">
        <f aca="false">L7+M7</f>
        <v>0</v>
      </c>
      <c r="O7" s="52"/>
      <c r="P7" s="17"/>
      <c r="Q7" s="18" t="n">
        <f aca="false">O7+P7</f>
        <v>0</v>
      </c>
    </row>
    <row r="8" customFormat="false" ht="22.5" hidden="false" customHeight="true" outlineLevel="0" collapsed="false">
      <c r="B8" s="120" t="s">
        <v>124</v>
      </c>
      <c r="C8" s="52"/>
      <c r="D8" s="17"/>
      <c r="E8" s="18" t="n">
        <f aca="false">C8+D8</f>
        <v>0</v>
      </c>
      <c r="F8" s="52"/>
      <c r="G8" s="17"/>
      <c r="H8" s="18" t="n">
        <f aca="false">F8+G8</f>
        <v>0</v>
      </c>
      <c r="I8" s="52"/>
      <c r="J8" s="17"/>
      <c r="K8" s="18" t="n">
        <f aca="false">I8+J8</f>
        <v>0</v>
      </c>
      <c r="L8" s="52"/>
      <c r="M8" s="17"/>
      <c r="N8" s="18" t="n">
        <f aca="false">L8+M8</f>
        <v>0</v>
      </c>
      <c r="O8" s="52"/>
      <c r="P8" s="17"/>
      <c r="Q8" s="18" t="n">
        <f aca="false">O8+P8</f>
        <v>0</v>
      </c>
    </row>
    <row r="9" customFormat="false" ht="22.5" hidden="false" customHeight="true" outlineLevel="0" collapsed="false">
      <c r="B9" s="120"/>
      <c r="C9" s="52"/>
      <c r="D9" s="17"/>
      <c r="E9" s="18" t="n">
        <f aca="false">C9+D9</f>
        <v>0</v>
      </c>
      <c r="F9" s="52"/>
      <c r="G9" s="17"/>
      <c r="H9" s="18" t="n">
        <f aca="false">F9+G9</f>
        <v>0</v>
      </c>
      <c r="I9" s="52"/>
      <c r="J9" s="17"/>
      <c r="K9" s="18" t="n">
        <f aca="false">I9+J9</f>
        <v>0</v>
      </c>
      <c r="L9" s="52"/>
      <c r="M9" s="17"/>
      <c r="N9" s="18" t="n">
        <f aca="false">L9+M9</f>
        <v>0</v>
      </c>
      <c r="O9" s="52"/>
      <c r="P9" s="17"/>
      <c r="Q9" s="18" t="n">
        <f aca="false">O9+P9</f>
        <v>0</v>
      </c>
    </row>
    <row r="10" customFormat="false" ht="22.5" hidden="false" customHeight="true" outlineLevel="0" collapsed="false">
      <c r="B10" s="90"/>
      <c r="C10" s="37"/>
      <c r="D10" s="55"/>
      <c r="E10" s="18" t="n">
        <f aca="false">C10+D10</f>
        <v>0</v>
      </c>
      <c r="F10" s="37"/>
      <c r="G10" s="55"/>
      <c r="H10" s="18" t="n">
        <f aca="false">F10+G10</f>
        <v>0</v>
      </c>
      <c r="I10" s="37"/>
      <c r="J10" s="55"/>
      <c r="K10" s="18" t="n">
        <f aca="false">I10+J10</f>
        <v>0</v>
      </c>
      <c r="L10" s="37"/>
      <c r="M10" s="55"/>
      <c r="N10" s="18" t="n">
        <f aca="false">L10+M10</f>
        <v>0</v>
      </c>
      <c r="O10" s="37"/>
      <c r="P10" s="55"/>
      <c r="Q10" s="18" t="n">
        <f aca="false">O10+P10</f>
        <v>0</v>
      </c>
    </row>
    <row r="11" customFormat="false" ht="22.5" hidden="false" customHeight="true" outlineLevel="0" collapsed="false">
      <c r="B11" s="121" t="s">
        <v>125</v>
      </c>
      <c r="C11" s="93" t="n">
        <f aca="false">SUM(C5:C10)</f>
        <v>0</v>
      </c>
      <c r="D11" s="93" t="n">
        <f aca="false">SUM(D5:D10)</f>
        <v>0</v>
      </c>
      <c r="E11" s="147" t="n">
        <f aca="false">C11+D11</f>
        <v>0</v>
      </c>
      <c r="F11" s="93" t="n">
        <f aca="false">SUM(F5:F10)</f>
        <v>0</v>
      </c>
      <c r="G11" s="93" t="n">
        <f aca="false">SUM(G5:G10)</f>
        <v>0</v>
      </c>
      <c r="H11" s="147" t="n">
        <f aca="false">F11+G11</f>
        <v>0</v>
      </c>
      <c r="I11" s="93" t="n">
        <f aca="false">SUM(I5:I10)</f>
        <v>0</v>
      </c>
      <c r="J11" s="93" t="n">
        <f aca="false">SUM(J5:J10)</f>
        <v>0</v>
      </c>
      <c r="K11" s="147" t="n">
        <f aca="false">I11+J11</f>
        <v>0</v>
      </c>
      <c r="L11" s="93" t="n">
        <f aca="false">SUM(L5:L10)</f>
        <v>0</v>
      </c>
      <c r="M11" s="93" t="n">
        <f aca="false">SUM(M5:M10)</f>
        <v>0</v>
      </c>
      <c r="N11" s="147" t="n">
        <f aca="false">L11+M11</f>
        <v>0</v>
      </c>
      <c r="O11" s="93" t="n">
        <f aca="false">SUM(O5:O10)</f>
        <v>0</v>
      </c>
      <c r="P11" s="93" t="n">
        <f aca="false">SUM(P5:P10)</f>
        <v>0</v>
      </c>
      <c r="Q11" s="147" t="n">
        <f aca="false">O11+P11</f>
        <v>0</v>
      </c>
    </row>
    <row r="12" customFormat="false" ht="22.5" hidden="false" customHeight="true" outlineLevel="0" collapsed="false">
      <c r="B12" s="119"/>
      <c r="C12" s="35"/>
      <c r="D12" s="17"/>
      <c r="E12" s="18" t="n">
        <f aca="false">C12+D12</f>
        <v>0</v>
      </c>
      <c r="F12" s="35"/>
      <c r="G12" s="17"/>
      <c r="H12" s="18" t="n">
        <f aca="false">F12+G12</f>
        <v>0</v>
      </c>
      <c r="I12" s="35"/>
      <c r="J12" s="17"/>
      <c r="K12" s="18" t="n">
        <f aca="false">I12+J12</f>
        <v>0</v>
      </c>
      <c r="L12" s="35"/>
      <c r="M12" s="17"/>
      <c r="N12" s="18" t="n">
        <f aca="false">L12+M12</f>
        <v>0</v>
      </c>
      <c r="O12" s="35"/>
      <c r="P12" s="17"/>
      <c r="Q12" s="18" t="n">
        <f aca="false">O12+P12</f>
        <v>0</v>
      </c>
    </row>
    <row r="13" customFormat="false" ht="22.5" hidden="false" customHeight="true" outlineLevel="0" collapsed="false">
      <c r="B13" s="120"/>
      <c r="C13" s="52"/>
      <c r="D13" s="17"/>
      <c r="E13" s="18" t="n">
        <f aca="false">C13+D13</f>
        <v>0</v>
      </c>
      <c r="F13" s="52"/>
      <c r="G13" s="17"/>
      <c r="H13" s="18" t="n">
        <f aca="false">F13+G13</f>
        <v>0</v>
      </c>
      <c r="I13" s="52"/>
      <c r="J13" s="17"/>
      <c r="K13" s="18" t="n">
        <f aca="false">I13+J13</f>
        <v>0</v>
      </c>
      <c r="L13" s="52"/>
      <c r="M13" s="17"/>
      <c r="N13" s="18" t="n">
        <f aca="false">L13+M13</f>
        <v>0</v>
      </c>
      <c r="O13" s="52"/>
      <c r="P13" s="17"/>
      <c r="Q13" s="18" t="n">
        <f aca="false">O13+P13</f>
        <v>0</v>
      </c>
    </row>
    <row r="14" customFormat="false" ht="22.5" hidden="false" customHeight="true" outlineLevel="0" collapsed="false">
      <c r="B14" s="120"/>
      <c r="C14" s="52"/>
      <c r="D14" s="17"/>
      <c r="E14" s="18" t="n">
        <f aca="false">C14+D14</f>
        <v>0</v>
      </c>
      <c r="F14" s="52"/>
      <c r="G14" s="17"/>
      <c r="H14" s="18" t="n">
        <f aca="false">F14+G14</f>
        <v>0</v>
      </c>
      <c r="I14" s="52"/>
      <c r="J14" s="17"/>
      <c r="K14" s="18" t="n">
        <f aca="false">I14+J14</f>
        <v>0</v>
      </c>
      <c r="L14" s="52"/>
      <c r="M14" s="17"/>
      <c r="N14" s="18" t="n">
        <f aca="false">L14+M14</f>
        <v>0</v>
      </c>
      <c r="O14" s="52"/>
      <c r="P14" s="17"/>
      <c r="Q14" s="18" t="n">
        <f aca="false">O14+P14</f>
        <v>0</v>
      </c>
    </row>
    <row r="15" customFormat="false" ht="22.5" hidden="false" customHeight="true" outlineLevel="0" collapsed="false">
      <c r="B15" s="120"/>
      <c r="C15" s="52"/>
      <c r="D15" s="17"/>
      <c r="E15" s="18" t="n">
        <f aca="false">C15+D15</f>
        <v>0</v>
      </c>
      <c r="F15" s="52"/>
      <c r="G15" s="17"/>
      <c r="H15" s="18" t="n">
        <f aca="false">F15+G15</f>
        <v>0</v>
      </c>
      <c r="I15" s="52"/>
      <c r="J15" s="17"/>
      <c r="K15" s="18" t="n">
        <f aca="false">I15+J15</f>
        <v>0</v>
      </c>
      <c r="L15" s="52"/>
      <c r="M15" s="17"/>
      <c r="N15" s="18" t="n">
        <f aca="false">L15+M15</f>
        <v>0</v>
      </c>
      <c r="O15" s="52"/>
      <c r="P15" s="17"/>
      <c r="Q15" s="18" t="n">
        <f aca="false">O15+P15</f>
        <v>0</v>
      </c>
    </row>
    <row r="16" customFormat="false" ht="22.5" hidden="false" customHeight="true" outlineLevel="0" collapsed="false">
      <c r="B16" s="120"/>
      <c r="C16" s="52"/>
      <c r="D16" s="17"/>
      <c r="E16" s="18" t="n">
        <f aca="false">C16+D16</f>
        <v>0</v>
      </c>
      <c r="F16" s="52"/>
      <c r="G16" s="17"/>
      <c r="H16" s="18" t="n">
        <f aca="false">F16+G16</f>
        <v>0</v>
      </c>
      <c r="I16" s="52"/>
      <c r="J16" s="17"/>
      <c r="K16" s="18" t="n">
        <f aca="false">I16+J16</f>
        <v>0</v>
      </c>
      <c r="L16" s="52"/>
      <c r="M16" s="17"/>
      <c r="N16" s="18" t="n">
        <f aca="false">L16+M16</f>
        <v>0</v>
      </c>
      <c r="O16" s="52"/>
      <c r="P16" s="17"/>
      <c r="Q16" s="18" t="n">
        <f aca="false">O16+P16</f>
        <v>0</v>
      </c>
    </row>
    <row r="17" customFormat="false" ht="22.5" hidden="false" customHeight="true" outlineLevel="0" collapsed="false">
      <c r="B17" s="90"/>
      <c r="C17" s="37"/>
      <c r="D17" s="55"/>
      <c r="E17" s="18" t="n">
        <f aca="false">C17+D17</f>
        <v>0</v>
      </c>
      <c r="F17" s="37"/>
      <c r="G17" s="55"/>
      <c r="H17" s="18" t="n">
        <f aca="false">F17+G17</f>
        <v>0</v>
      </c>
      <c r="I17" s="37"/>
      <c r="J17" s="55"/>
      <c r="K17" s="18" t="n">
        <f aca="false">I17+J17</f>
        <v>0</v>
      </c>
      <c r="L17" s="37"/>
      <c r="M17" s="55"/>
      <c r="N17" s="18" t="n">
        <f aca="false">L17+M17</f>
        <v>0</v>
      </c>
      <c r="O17" s="37"/>
      <c r="P17" s="55"/>
      <c r="Q17" s="18" t="n">
        <f aca="false">O17+P17</f>
        <v>0</v>
      </c>
    </row>
    <row r="18" customFormat="false" ht="22.5" hidden="false" customHeight="true" outlineLevel="0" collapsed="false">
      <c r="B18" s="121" t="s">
        <v>126</v>
      </c>
      <c r="C18" s="93" t="n">
        <f aca="false">SUM(C12:C17)</f>
        <v>0</v>
      </c>
      <c r="D18" s="93" t="n">
        <f aca="false">SUM(D12:D17)</f>
        <v>0</v>
      </c>
      <c r="E18" s="147" t="n">
        <f aca="false">C18+D18</f>
        <v>0</v>
      </c>
      <c r="F18" s="93" t="n">
        <f aca="false">SUM(F12:F17)</f>
        <v>0</v>
      </c>
      <c r="G18" s="93" t="n">
        <f aca="false">SUM(G12:G17)</f>
        <v>0</v>
      </c>
      <c r="H18" s="147" t="n">
        <f aca="false">F18+G18</f>
        <v>0</v>
      </c>
      <c r="I18" s="93" t="n">
        <f aca="false">SUM(I12:I17)</f>
        <v>0</v>
      </c>
      <c r="J18" s="93" t="n">
        <f aca="false">SUM(J12:J17)</f>
        <v>0</v>
      </c>
      <c r="K18" s="147" t="n">
        <f aca="false">I18+J18</f>
        <v>0</v>
      </c>
      <c r="L18" s="93" t="n">
        <f aca="false">SUM(L12:L17)</f>
        <v>0</v>
      </c>
      <c r="M18" s="93" t="n">
        <f aca="false">SUM(M12:M17)</f>
        <v>0</v>
      </c>
      <c r="N18" s="147" t="n">
        <f aca="false">L18+M18</f>
        <v>0</v>
      </c>
      <c r="O18" s="93" t="n">
        <f aca="false">SUM(O12:O17)</f>
        <v>0</v>
      </c>
      <c r="P18" s="93" t="n">
        <f aca="false">SUM(P12:P17)</f>
        <v>0</v>
      </c>
      <c r="Q18" s="147" t="n">
        <f aca="false">O18+P18</f>
        <v>0</v>
      </c>
    </row>
    <row r="19" customFormat="false" ht="22.5" hidden="false" customHeight="true" outlineLevel="0" collapsed="false">
      <c r="B19" s="119"/>
      <c r="C19" s="35"/>
      <c r="D19" s="17"/>
      <c r="E19" s="18" t="n">
        <f aca="false">C19+D19</f>
        <v>0</v>
      </c>
      <c r="F19" s="35"/>
      <c r="G19" s="17"/>
      <c r="H19" s="18" t="n">
        <f aca="false">F19+G19</f>
        <v>0</v>
      </c>
      <c r="I19" s="35"/>
      <c r="J19" s="17"/>
      <c r="K19" s="18" t="n">
        <f aca="false">I19+J19</f>
        <v>0</v>
      </c>
      <c r="L19" s="35"/>
      <c r="M19" s="17"/>
      <c r="N19" s="18" t="n">
        <f aca="false">L19+M19</f>
        <v>0</v>
      </c>
      <c r="O19" s="35"/>
      <c r="P19" s="17"/>
      <c r="Q19" s="18" t="n">
        <f aca="false">O19+P19</f>
        <v>0</v>
      </c>
    </row>
    <row r="20" customFormat="false" ht="22.5" hidden="false" customHeight="true" outlineLevel="0" collapsed="false">
      <c r="B20" s="120"/>
      <c r="C20" s="52"/>
      <c r="D20" s="17"/>
      <c r="E20" s="18" t="n">
        <f aca="false">C20+D20</f>
        <v>0</v>
      </c>
      <c r="F20" s="52"/>
      <c r="G20" s="17"/>
      <c r="H20" s="18" t="n">
        <f aca="false">F20+G20</f>
        <v>0</v>
      </c>
      <c r="I20" s="52"/>
      <c r="J20" s="17"/>
      <c r="K20" s="18" t="n">
        <f aca="false">I20+J20</f>
        <v>0</v>
      </c>
      <c r="L20" s="52"/>
      <c r="M20" s="17"/>
      <c r="N20" s="18" t="n">
        <f aca="false">L20+M20</f>
        <v>0</v>
      </c>
      <c r="O20" s="52"/>
      <c r="P20" s="17"/>
      <c r="Q20" s="18" t="n">
        <f aca="false">O20+P20</f>
        <v>0</v>
      </c>
    </row>
    <row r="21" customFormat="false" ht="22.5" hidden="false" customHeight="true" outlineLevel="0" collapsed="false">
      <c r="B21" s="120"/>
      <c r="C21" s="52"/>
      <c r="D21" s="17"/>
      <c r="E21" s="18" t="n">
        <f aca="false">C21+D21</f>
        <v>0</v>
      </c>
      <c r="F21" s="52"/>
      <c r="G21" s="17"/>
      <c r="H21" s="18" t="n">
        <f aca="false">F21+G21</f>
        <v>0</v>
      </c>
      <c r="I21" s="52"/>
      <c r="J21" s="17"/>
      <c r="K21" s="18" t="n">
        <f aca="false">I21+J21</f>
        <v>0</v>
      </c>
      <c r="L21" s="52"/>
      <c r="M21" s="17"/>
      <c r="N21" s="18" t="n">
        <f aca="false">L21+M21</f>
        <v>0</v>
      </c>
      <c r="O21" s="52"/>
      <c r="P21" s="17"/>
      <c r="Q21" s="18" t="n">
        <f aca="false">O21+P21</f>
        <v>0</v>
      </c>
    </row>
    <row r="22" customFormat="false" ht="22.5" hidden="false" customHeight="true" outlineLevel="0" collapsed="false">
      <c r="B22" s="120"/>
      <c r="C22" s="52"/>
      <c r="D22" s="17"/>
      <c r="E22" s="18" t="n">
        <f aca="false">C22+D22</f>
        <v>0</v>
      </c>
      <c r="F22" s="52"/>
      <c r="G22" s="17"/>
      <c r="H22" s="18" t="n">
        <f aca="false">F22+G22</f>
        <v>0</v>
      </c>
      <c r="I22" s="52"/>
      <c r="J22" s="17"/>
      <c r="K22" s="18" t="n">
        <f aca="false">I22+J22</f>
        <v>0</v>
      </c>
      <c r="L22" s="52"/>
      <c r="M22" s="17"/>
      <c r="N22" s="18" t="n">
        <f aca="false">L22+M22</f>
        <v>0</v>
      </c>
      <c r="O22" s="52"/>
      <c r="P22" s="17"/>
      <c r="Q22" s="18" t="n">
        <f aca="false">O22+P22</f>
        <v>0</v>
      </c>
    </row>
    <row r="23" customFormat="false" ht="22.5" hidden="false" customHeight="true" outlineLevel="0" collapsed="false">
      <c r="B23" s="120"/>
      <c r="C23" s="52"/>
      <c r="D23" s="17"/>
      <c r="E23" s="18" t="n">
        <f aca="false">C23+D23</f>
        <v>0</v>
      </c>
      <c r="F23" s="52"/>
      <c r="G23" s="17"/>
      <c r="H23" s="18" t="n">
        <f aca="false">F23+G23</f>
        <v>0</v>
      </c>
      <c r="I23" s="52"/>
      <c r="J23" s="17"/>
      <c r="K23" s="18" t="n">
        <f aca="false">I23+J23</f>
        <v>0</v>
      </c>
      <c r="L23" s="52"/>
      <c r="M23" s="17"/>
      <c r="N23" s="18" t="n">
        <f aca="false">L23+M23</f>
        <v>0</v>
      </c>
      <c r="O23" s="52"/>
      <c r="P23" s="17"/>
      <c r="Q23" s="18" t="n">
        <f aca="false">O23+P23</f>
        <v>0</v>
      </c>
    </row>
    <row r="24" customFormat="false" ht="22.5" hidden="false" customHeight="true" outlineLevel="0" collapsed="false">
      <c r="B24" s="90"/>
      <c r="C24" s="37"/>
      <c r="D24" s="55"/>
      <c r="E24" s="18" t="n">
        <f aca="false">C24+D24</f>
        <v>0</v>
      </c>
      <c r="F24" s="37"/>
      <c r="G24" s="55"/>
      <c r="H24" s="18" t="n">
        <f aca="false">F24+G24</f>
        <v>0</v>
      </c>
      <c r="I24" s="37"/>
      <c r="J24" s="55"/>
      <c r="K24" s="18" t="n">
        <f aca="false">I24+J24</f>
        <v>0</v>
      </c>
      <c r="L24" s="37"/>
      <c r="M24" s="55"/>
      <c r="N24" s="18" t="n">
        <f aca="false">L24+M24</f>
        <v>0</v>
      </c>
      <c r="O24" s="37"/>
      <c r="P24" s="55"/>
      <c r="Q24" s="18" t="n">
        <f aca="false">O24+P24</f>
        <v>0</v>
      </c>
    </row>
    <row r="25" customFormat="false" ht="22.5" hidden="false" customHeight="true" outlineLevel="0" collapsed="false">
      <c r="B25" s="121" t="s">
        <v>127</v>
      </c>
      <c r="C25" s="93" t="n">
        <f aca="false">SUM(C19:C24)</f>
        <v>0</v>
      </c>
      <c r="D25" s="93" t="n">
        <f aca="false">SUM(D19:D24)</f>
        <v>0</v>
      </c>
      <c r="E25" s="147" t="n">
        <f aca="false">C25+D25</f>
        <v>0</v>
      </c>
      <c r="F25" s="93" t="n">
        <f aca="false">SUM(F19:F24)</f>
        <v>0</v>
      </c>
      <c r="G25" s="93" t="n">
        <f aca="false">SUM(G19:G24)</f>
        <v>0</v>
      </c>
      <c r="H25" s="147" t="n">
        <f aca="false">F25+G25</f>
        <v>0</v>
      </c>
      <c r="I25" s="93" t="n">
        <f aca="false">SUM(I19:I24)</f>
        <v>0</v>
      </c>
      <c r="J25" s="93" t="n">
        <f aca="false">SUM(J19:J24)</f>
        <v>0</v>
      </c>
      <c r="K25" s="147" t="n">
        <f aca="false">I25+J25</f>
        <v>0</v>
      </c>
      <c r="L25" s="93" t="n">
        <f aca="false">SUM(L19:L24)</f>
        <v>0</v>
      </c>
      <c r="M25" s="93" t="n">
        <f aca="false">SUM(M19:M24)</f>
        <v>0</v>
      </c>
      <c r="N25" s="147" t="n">
        <f aca="false">L25+M25</f>
        <v>0</v>
      </c>
      <c r="O25" s="93" t="n">
        <f aca="false">SUM(O19:O24)</f>
        <v>0</v>
      </c>
      <c r="P25" s="93" t="n">
        <f aca="false">SUM(P19:P24)</f>
        <v>0</v>
      </c>
      <c r="Q25" s="147" t="n">
        <f aca="false">O25+P25</f>
        <v>0</v>
      </c>
    </row>
    <row r="26" customFormat="false" ht="22.5" hidden="false" customHeight="true" outlineLevel="0" collapsed="false">
      <c r="B26" s="119"/>
      <c r="C26" s="35"/>
      <c r="D26" s="17"/>
      <c r="E26" s="18" t="n">
        <f aca="false">C26+D26</f>
        <v>0</v>
      </c>
      <c r="F26" s="35"/>
      <c r="G26" s="17"/>
      <c r="H26" s="18" t="n">
        <f aca="false">F26+G26</f>
        <v>0</v>
      </c>
      <c r="I26" s="35"/>
      <c r="J26" s="17"/>
      <c r="K26" s="18" t="n">
        <f aca="false">I26+J26</f>
        <v>0</v>
      </c>
      <c r="L26" s="35"/>
      <c r="M26" s="17"/>
      <c r="N26" s="18" t="n">
        <f aca="false">L26+M26</f>
        <v>0</v>
      </c>
      <c r="O26" s="35"/>
      <c r="P26" s="17"/>
      <c r="Q26" s="18" t="n">
        <f aca="false">O26+P26</f>
        <v>0</v>
      </c>
    </row>
    <row r="27" customFormat="false" ht="22.5" hidden="false" customHeight="true" outlineLevel="0" collapsed="false">
      <c r="B27" s="120"/>
      <c r="C27" s="52"/>
      <c r="D27" s="17"/>
      <c r="E27" s="18" t="n">
        <f aca="false">C27+D27</f>
        <v>0</v>
      </c>
      <c r="F27" s="52"/>
      <c r="G27" s="17"/>
      <c r="H27" s="18" t="n">
        <f aca="false">F27+G27</f>
        <v>0</v>
      </c>
      <c r="I27" s="52"/>
      <c r="J27" s="17"/>
      <c r="K27" s="18" t="n">
        <f aca="false">I27+J27</f>
        <v>0</v>
      </c>
      <c r="L27" s="52"/>
      <c r="M27" s="17"/>
      <c r="N27" s="18" t="n">
        <f aca="false">L27+M27</f>
        <v>0</v>
      </c>
      <c r="O27" s="52"/>
      <c r="P27" s="17"/>
      <c r="Q27" s="18" t="n">
        <f aca="false">O27+P27</f>
        <v>0</v>
      </c>
    </row>
    <row r="28" customFormat="false" ht="22.5" hidden="false" customHeight="true" outlineLevel="0" collapsed="false">
      <c r="B28" s="120"/>
      <c r="C28" s="52"/>
      <c r="D28" s="17"/>
      <c r="E28" s="18" t="n">
        <f aca="false">C28+D28</f>
        <v>0</v>
      </c>
      <c r="F28" s="52"/>
      <c r="G28" s="17"/>
      <c r="H28" s="18" t="n">
        <f aca="false">F28+G28</f>
        <v>0</v>
      </c>
      <c r="I28" s="52"/>
      <c r="J28" s="17"/>
      <c r="K28" s="18" t="n">
        <f aca="false">I28+J28</f>
        <v>0</v>
      </c>
      <c r="L28" s="52"/>
      <c r="M28" s="17"/>
      <c r="N28" s="18" t="n">
        <f aca="false">L28+M28</f>
        <v>0</v>
      </c>
      <c r="O28" s="52"/>
      <c r="P28" s="17"/>
      <c r="Q28" s="18" t="n">
        <f aca="false">O28+P28</f>
        <v>0</v>
      </c>
    </row>
    <row r="29" customFormat="false" ht="22.5" hidden="false" customHeight="true" outlineLevel="0" collapsed="false">
      <c r="B29" s="120"/>
      <c r="C29" s="52"/>
      <c r="D29" s="17"/>
      <c r="E29" s="18" t="n">
        <f aca="false">C29+D29</f>
        <v>0</v>
      </c>
      <c r="F29" s="52"/>
      <c r="G29" s="17"/>
      <c r="H29" s="18" t="n">
        <f aca="false">F29+G29</f>
        <v>0</v>
      </c>
      <c r="I29" s="52"/>
      <c r="J29" s="17"/>
      <c r="K29" s="18" t="n">
        <f aca="false">I29+J29</f>
        <v>0</v>
      </c>
      <c r="L29" s="52"/>
      <c r="M29" s="17"/>
      <c r="N29" s="18" t="n">
        <f aca="false">L29+M29</f>
        <v>0</v>
      </c>
      <c r="O29" s="52"/>
      <c r="P29" s="17"/>
      <c r="Q29" s="18" t="n">
        <f aca="false">O29+P29</f>
        <v>0</v>
      </c>
    </row>
    <row r="30" customFormat="false" ht="22.5" hidden="false" customHeight="true" outlineLevel="0" collapsed="false">
      <c r="B30" s="120"/>
      <c r="C30" s="52"/>
      <c r="D30" s="17"/>
      <c r="E30" s="18" t="n">
        <f aca="false">C30+D30</f>
        <v>0</v>
      </c>
      <c r="F30" s="52"/>
      <c r="G30" s="17"/>
      <c r="H30" s="18" t="n">
        <f aca="false">F30+G30</f>
        <v>0</v>
      </c>
      <c r="I30" s="52"/>
      <c r="J30" s="17"/>
      <c r="K30" s="18" t="n">
        <f aca="false">I30+J30</f>
        <v>0</v>
      </c>
      <c r="L30" s="52"/>
      <c r="M30" s="17"/>
      <c r="N30" s="18" t="n">
        <f aca="false">L30+M30</f>
        <v>0</v>
      </c>
      <c r="O30" s="52"/>
      <c r="P30" s="17"/>
      <c r="Q30" s="18" t="n">
        <f aca="false">O30+P30</f>
        <v>0</v>
      </c>
    </row>
    <row r="31" customFormat="false" ht="22.5" hidden="false" customHeight="true" outlineLevel="0" collapsed="false">
      <c r="B31" s="120"/>
      <c r="C31" s="52"/>
      <c r="D31" s="17"/>
      <c r="E31" s="18" t="n">
        <f aca="false">C31+D31</f>
        <v>0</v>
      </c>
      <c r="F31" s="52"/>
      <c r="G31" s="17"/>
      <c r="H31" s="18" t="n">
        <f aca="false">F31+G31</f>
        <v>0</v>
      </c>
      <c r="I31" s="52"/>
      <c r="J31" s="17"/>
      <c r="K31" s="18" t="n">
        <f aca="false">I31+J31</f>
        <v>0</v>
      </c>
      <c r="L31" s="52"/>
      <c r="M31" s="17"/>
      <c r="N31" s="18" t="n">
        <f aca="false">L31+M31</f>
        <v>0</v>
      </c>
      <c r="O31" s="52"/>
      <c r="P31" s="17"/>
      <c r="Q31" s="18" t="n">
        <f aca="false">O31+P31</f>
        <v>0</v>
      </c>
    </row>
    <row r="32" customFormat="false" ht="22.5" hidden="false" customHeight="true" outlineLevel="0" collapsed="false">
      <c r="B32" s="120"/>
      <c r="C32" s="52"/>
      <c r="D32" s="17"/>
      <c r="E32" s="18" t="n">
        <f aca="false">C32+D32</f>
        <v>0</v>
      </c>
      <c r="F32" s="52"/>
      <c r="G32" s="17"/>
      <c r="H32" s="18" t="n">
        <f aca="false">F32+G32</f>
        <v>0</v>
      </c>
      <c r="I32" s="52"/>
      <c r="J32" s="17"/>
      <c r="K32" s="18" t="n">
        <f aca="false">I32+J32</f>
        <v>0</v>
      </c>
      <c r="L32" s="52"/>
      <c r="M32" s="17"/>
      <c r="N32" s="18" t="n">
        <f aca="false">L32+M32</f>
        <v>0</v>
      </c>
      <c r="O32" s="52"/>
      <c r="P32" s="17"/>
      <c r="Q32" s="18" t="n">
        <f aca="false">O32+P32</f>
        <v>0</v>
      </c>
    </row>
    <row r="33" customFormat="false" ht="22.5" hidden="false" customHeight="true" outlineLevel="0" collapsed="false">
      <c r="B33" s="120"/>
      <c r="C33" s="52"/>
      <c r="D33" s="17"/>
      <c r="E33" s="18" t="n">
        <f aca="false">C33+D33</f>
        <v>0</v>
      </c>
      <c r="F33" s="52"/>
      <c r="G33" s="17"/>
      <c r="H33" s="18" t="n">
        <f aca="false">F33+G33</f>
        <v>0</v>
      </c>
      <c r="I33" s="52"/>
      <c r="J33" s="17"/>
      <c r="K33" s="18" t="n">
        <f aca="false">I33+J33</f>
        <v>0</v>
      </c>
      <c r="L33" s="52"/>
      <c r="M33" s="17"/>
      <c r="N33" s="18" t="n">
        <f aca="false">L33+M33</f>
        <v>0</v>
      </c>
      <c r="O33" s="52"/>
      <c r="P33" s="17"/>
      <c r="Q33" s="18" t="n">
        <f aca="false">O33+P33</f>
        <v>0</v>
      </c>
    </row>
    <row r="34" customFormat="false" ht="22.5" hidden="false" customHeight="true" outlineLevel="0" collapsed="false">
      <c r="B34" s="120"/>
      <c r="C34" s="52"/>
      <c r="D34" s="17"/>
      <c r="E34" s="18" t="n">
        <f aca="false">C34+D34</f>
        <v>0</v>
      </c>
      <c r="F34" s="52"/>
      <c r="G34" s="17"/>
      <c r="H34" s="18" t="n">
        <f aca="false">F34+G34</f>
        <v>0</v>
      </c>
      <c r="I34" s="52"/>
      <c r="J34" s="17"/>
      <c r="K34" s="18" t="n">
        <f aca="false">I34+J34</f>
        <v>0</v>
      </c>
      <c r="L34" s="52"/>
      <c r="M34" s="17"/>
      <c r="N34" s="18" t="n">
        <f aca="false">L34+M34</f>
        <v>0</v>
      </c>
      <c r="O34" s="52"/>
      <c r="P34" s="17"/>
      <c r="Q34" s="18" t="n">
        <f aca="false">O34+P34</f>
        <v>0</v>
      </c>
    </row>
    <row r="35" customFormat="false" ht="22.5" hidden="false" customHeight="true" outlineLevel="0" collapsed="false">
      <c r="B35" s="90"/>
      <c r="C35" s="37"/>
      <c r="D35" s="55"/>
      <c r="E35" s="18" t="n">
        <f aca="false">C35+D35</f>
        <v>0</v>
      </c>
      <c r="F35" s="37"/>
      <c r="G35" s="55"/>
      <c r="H35" s="18" t="n">
        <f aca="false">F35+G35</f>
        <v>0</v>
      </c>
      <c r="I35" s="37"/>
      <c r="J35" s="55"/>
      <c r="K35" s="18" t="n">
        <f aca="false">I35+J35</f>
        <v>0</v>
      </c>
      <c r="L35" s="37"/>
      <c r="M35" s="55"/>
      <c r="N35" s="18" t="n">
        <f aca="false">L35+M35</f>
        <v>0</v>
      </c>
      <c r="O35" s="37"/>
      <c r="P35" s="55"/>
      <c r="Q35" s="18" t="n">
        <f aca="false">O35+P35</f>
        <v>0</v>
      </c>
    </row>
    <row r="36" customFormat="false" ht="22.5" hidden="false" customHeight="true" outlineLevel="0" collapsed="false">
      <c r="B36" s="121" t="s">
        <v>128</v>
      </c>
      <c r="C36" s="93" t="n">
        <f aca="false">SUM(C26:C35)</f>
        <v>0</v>
      </c>
      <c r="D36" s="93" t="n">
        <f aca="false">SUM(D26:D35)</f>
        <v>0</v>
      </c>
      <c r="E36" s="276" t="n">
        <f aca="false">C36+D36</f>
        <v>0</v>
      </c>
      <c r="F36" s="93" t="n">
        <f aca="false">SUM(F26:F35)</f>
        <v>0</v>
      </c>
      <c r="G36" s="93" t="n">
        <f aca="false">SUM(G26:G35)</f>
        <v>0</v>
      </c>
      <c r="H36" s="276" t="n">
        <f aca="false">F36+G36</f>
        <v>0</v>
      </c>
      <c r="I36" s="93" t="n">
        <f aca="false">SUM(I26:I35)</f>
        <v>0</v>
      </c>
      <c r="J36" s="93" t="n">
        <f aca="false">SUM(J26:J35)</f>
        <v>0</v>
      </c>
      <c r="K36" s="276" t="n">
        <f aca="false">I36+J36</f>
        <v>0</v>
      </c>
      <c r="L36" s="93" t="n">
        <f aca="false">SUM(L26:L35)</f>
        <v>0</v>
      </c>
      <c r="M36" s="93" t="n">
        <f aca="false">SUM(M26:M35)</f>
        <v>0</v>
      </c>
      <c r="N36" s="276" t="n">
        <f aca="false">L36+M36</f>
        <v>0</v>
      </c>
      <c r="O36" s="93" t="n">
        <f aca="false">SUM(O26:O35)</f>
        <v>0</v>
      </c>
      <c r="P36" s="93" t="n">
        <f aca="false">SUM(P26:P35)</f>
        <v>0</v>
      </c>
      <c r="Q36" s="276" t="n">
        <f aca="false">O36+P36</f>
        <v>0</v>
      </c>
    </row>
    <row r="37" customFormat="false" ht="22.5" hidden="false" customHeight="true" outlineLevel="0" collapsed="false">
      <c r="B37" s="123" t="s">
        <v>129</v>
      </c>
      <c r="C37" s="93" t="n">
        <f aca="false">C11+C18+C25+C36</f>
        <v>0</v>
      </c>
      <c r="D37" s="93" t="n">
        <f aca="false">D11+D18+D25+D36</f>
        <v>0</v>
      </c>
      <c r="E37" s="147" t="n">
        <f aca="false">C37+D37</f>
        <v>0</v>
      </c>
      <c r="F37" s="93" t="n">
        <f aca="false">F11+F18+F25+F36</f>
        <v>0</v>
      </c>
      <c r="G37" s="93" t="n">
        <f aca="false">G11+G18+G25+G36</f>
        <v>0</v>
      </c>
      <c r="H37" s="147" t="n">
        <f aca="false">F37+G37</f>
        <v>0</v>
      </c>
      <c r="I37" s="93" t="n">
        <f aca="false">I11+I18+I25+I36</f>
        <v>0</v>
      </c>
      <c r="J37" s="93" t="n">
        <f aca="false">J11+J18+J25+J36</f>
        <v>0</v>
      </c>
      <c r="K37" s="147" t="n">
        <f aca="false">I37+J37</f>
        <v>0</v>
      </c>
      <c r="L37" s="93" t="n">
        <f aca="false">L11+L18+L25+L36</f>
        <v>0</v>
      </c>
      <c r="M37" s="93" t="n">
        <f aca="false">M11+M18+M25+M36</f>
        <v>0</v>
      </c>
      <c r="N37" s="147" t="n">
        <f aca="false">L37+M37</f>
        <v>0</v>
      </c>
      <c r="O37" s="93" t="n">
        <f aca="false">O11+O18+O25+O36</f>
        <v>0</v>
      </c>
      <c r="P37" s="93" t="n">
        <f aca="false">P11+P18+P25+P36</f>
        <v>0</v>
      </c>
      <c r="Q37" s="147" t="n">
        <f aca="false">O37+P37</f>
        <v>0</v>
      </c>
    </row>
    <row r="38" customFormat="false" ht="22.5" hidden="false" customHeight="true" outlineLevel="0" collapsed="false">
      <c r="B38" s="124" t="s">
        <v>130</v>
      </c>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92" t="s">
        <v>131</v>
      </c>
      <c r="C39" s="93" t="n">
        <f aca="false">SUM(C37:C38)</f>
        <v>0</v>
      </c>
      <c r="D39" s="93" t="n">
        <f aca="false">SUM(D37:D38)</f>
        <v>0</v>
      </c>
      <c r="E39" s="147" t="n">
        <f aca="false">C39+D39</f>
        <v>0</v>
      </c>
      <c r="F39" s="93" t="n">
        <f aca="false">SUM(F37:F38)</f>
        <v>0</v>
      </c>
      <c r="G39" s="93" t="n">
        <f aca="false">SUM(G37:G38)</f>
        <v>0</v>
      </c>
      <c r="H39" s="147" t="n">
        <f aca="false">F39+G39</f>
        <v>0</v>
      </c>
      <c r="I39" s="93" t="n">
        <f aca="false">SUM(I37:I38)</f>
        <v>0</v>
      </c>
      <c r="J39" s="93" t="n">
        <f aca="false">SUM(J37:J38)</f>
        <v>0</v>
      </c>
      <c r="K39" s="147" t="n">
        <f aca="false">I39+J39</f>
        <v>0</v>
      </c>
      <c r="L39" s="93" t="n">
        <f aca="false">SUM(L37:L38)</f>
        <v>0</v>
      </c>
      <c r="M39" s="93" t="n">
        <f aca="false">SUM(M37:M38)</f>
        <v>0</v>
      </c>
      <c r="N39" s="147" t="n">
        <f aca="false">L39+M39</f>
        <v>0</v>
      </c>
      <c r="O39" s="93" t="n">
        <f aca="false">SUM(O37:O38)</f>
        <v>0</v>
      </c>
      <c r="P39" s="93" t="n">
        <f aca="false">SUM(P37:P38)</f>
        <v>0</v>
      </c>
      <c r="Q39" s="147" t="n">
        <f aca="false">O39+P39</f>
        <v>0</v>
      </c>
    </row>
    <row r="40" customFormat="false" ht="22.5" hidden="false" customHeight="true" outlineLevel="0" collapsed="false">
      <c r="B40" s="125" t="s">
        <v>132</v>
      </c>
      <c r="C40" s="128"/>
      <c r="D40" s="277"/>
      <c r="E40" s="278" t="n">
        <f aca="false">C40+D40</f>
        <v>0</v>
      </c>
      <c r="F40" s="128"/>
      <c r="G40" s="277"/>
      <c r="H40" s="278" t="n">
        <f aca="false">F40+G40</f>
        <v>0</v>
      </c>
      <c r="I40" s="128"/>
      <c r="J40" s="277"/>
      <c r="K40" s="278" t="n">
        <f aca="false">I40+J40</f>
        <v>0</v>
      </c>
      <c r="L40" s="128"/>
      <c r="M40" s="277"/>
      <c r="N40" s="278" t="n">
        <f aca="false">L40+M40</f>
        <v>0</v>
      </c>
      <c r="O40" s="128"/>
      <c r="P40" s="277"/>
      <c r="Q40" s="278" t="n">
        <f aca="false">O40+P40</f>
        <v>0</v>
      </c>
    </row>
    <row r="41" customFormat="false" ht="22.5" hidden="false" customHeight="true" outlineLevel="0" collapsed="false">
      <c r="B41" s="92" t="s">
        <v>133</v>
      </c>
      <c r="C41" s="93" t="n">
        <f aca="false">C39-C40</f>
        <v>0</v>
      </c>
      <c r="D41" s="93" t="n">
        <f aca="false">D39-D40</f>
        <v>0</v>
      </c>
      <c r="E41" s="275" t="n">
        <f aca="false">C41+D41</f>
        <v>0</v>
      </c>
      <c r="F41" s="93" t="n">
        <f aca="false">F39-F40</f>
        <v>0</v>
      </c>
      <c r="G41" s="93" t="n">
        <f aca="false">G39-G40</f>
        <v>0</v>
      </c>
      <c r="H41" s="275" t="n">
        <f aca="false">F41+G41</f>
        <v>0</v>
      </c>
      <c r="I41" s="93" t="n">
        <f aca="false">I39-I40</f>
        <v>0</v>
      </c>
      <c r="J41" s="93" t="n">
        <f aca="false">J39-J40</f>
        <v>0</v>
      </c>
      <c r="K41" s="275" t="n">
        <f aca="false">I41+J41</f>
        <v>0</v>
      </c>
      <c r="L41" s="93" t="n">
        <f aca="false">L39-L40</f>
        <v>0</v>
      </c>
      <c r="M41" s="93" t="n">
        <f aca="false">M39-M40</f>
        <v>0</v>
      </c>
      <c r="N41" s="275" t="n">
        <f aca="false">L41+M41</f>
        <v>0</v>
      </c>
      <c r="O41" s="93" t="n">
        <f aca="false">O39-O40</f>
        <v>0</v>
      </c>
      <c r="P41" s="93" t="n">
        <f aca="false">P39-P40</f>
        <v>0</v>
      </c>
      <c r="Q41" s="275" t="n">
        <f aca="false">O41+P41</f>
        <v>0</v>
      </c>
    </row>
    <row r="42" customFormat="false" ht="18" hidden="false" customHeight="false" outlineLevel="0" collapsed="false">
      <c r="C42" s="43"/>
      <c r="D42" s="43"/>
      <c r="E42" s="43"/>
      <c r="F42" s="43"/>
      <c r="G42" s="43"/>
      <c r="H42" s="43"/>
      <c r="I42" s="43"/>
      <c r="J42" s="43"/>
      <c r="K42" s="43"/>
      <c r="L42" s="43"/>
      <c r="M42" s="43"/>
      <c r="N42" s="43"/>
      <c r="O42" s="43"/>
      <c r="P42" s="43"/>
      <c r="Q42" s="43"/>
    </row>
    <row r="43" customFormat="false" ht="18" hidden="false" customHeight="false" outlineLevel="0" collapsed="false">
      <c r="C43" s="43"/>
      <c r="D43" s="43"/>
      <c r="E43" s="43"/>
      <c r="F43" s="43"/>
      <c r="G43" s="43"/>
      <c r="H43" s="43"/>
      <c r="I43" s="43"/>
      <c r="J43" s="43"/>
      <c r="K43" s="43"/>
      <c r="L43" s="43"/>
      <c r="M43" s="43"/>
      <c r="N43" s="43"/>
      <c r="O43" s="43"/>
      <c r="P43" s="43"/>
      <c r="Q43" s="43"/>
    </row>
    <row r="44" customFormat="false" ht="18" hidden="false" customHeight="false" outlineLevel="0" collapsed="false">
      <c r="C44" s="43"/>
      <c r="D44" s="43"/>
      <c r="E44" s="43"/>
      <c r="F44" s="43"/>
      <c r="G44" s="43"/>
      <c r="H44" s="43"/>
      <c r="I44" s="43"/>
      <c r="J44" s="43"/>
      <c r="K44" s="43"/>
      <c r="L44" s="43"/>
      <c r="M44" s="43"/>
      <c r="N44" s="43"/>
      <c r="O44" s="43"/>
      <c r="P44" s="43"/>
      <c r="Q44" s="43"/>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3"/>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3125" defaultRowHeight="18" zeroHeight="false" outlineLevelRow="0" outlineLevelCol="0"/>
  <cols>
    <col collapsed="false" customWidth="true" hidden="false" outlineLevel="0" max="3" min="2" style="20" width="18.6"/>
    <col collapsed="false" customWidth="true" hidden="false" outlineLevel="0" max="5" min="5" style="20" width="24.6"/>
    <col collapsed="false" customWidth="true" hidden="false" outlineLevel="0" max="8" min="6" style="20" width="18.6"/>
    <col collapsed="false" customWidth="true" hidden="false" outlineLevel="0" max="13" min="10" style="20" width="20.2"/>
  </cols>
  <sheetData>
    <row r="2" customFormat="false" ht="18" hidden="false" customHeight="false" outlineLevel="0" collapsed="false">
      <c r="C2" s="47" t="s">
        <v>59</v>
      </c>
      <c r="H2" s="47" t="s">
        <v>59</v>
      </c>
      <c r="M2" s="47" t="s">
        <v>59</v>
      </c>
    </row>
    <row r="3" customFormat="false" ht="21.75" hidden="false" customHeight="true" outlineLevel="0" collapsed="false">
      <c r="B3" s="61" t="str">
        <f aca="false">'BS(借方)'!E4</f>
        <v>令和8年3月期</v>
      </c>
      <c r="C3" s="174" t="s">
        <v>250</v>
      </c>
      <c r="E3" s="61"/>
      <c r="F3" s="61" t="str">
        <f aca="false">'BS(借方)'!C4</f>
        <v>令和6年3月期</v>
      </c>
      <c r="G3" s="61" t="str">
        <f aca="false">'BS(借方)'!D4</f>
        <v>令和7年3月期</v>
      </c>
      <c r="H3" s="61" t="str">
        <f aca="false">'BS(借方)'!E4</f>
        <v>令和8年3月期</v>
      </c>
      <c r="J3" s="61" t="s">
        <v>269</v>
      </c>
      <c r="K3" s="247" t="s">
        <v>270</v>
      </c>
      <c r="L3" s="247" t="s">
        <v>271</v>
      </c>
      <c r="M3" s="247" t="s">
        <v>272</v>
      </c>
    </row>
    <row r="4" s="279" customFormat="true" ht="31.5" hidden="false" customHeight="true" outlineLevel="0" collapsed="false">
      <c r="B4" s="176" t="s">
        <v>273</v>
      </c>
      <c r="C4" s="87" t="n">
        <f aca="false">'修正BS(貸方) '!C52</f>
        <v>326908762</v>
      </c>
      <c r="E4" s="176" t="s">
        <v>274</v>
      </c>
      <c r="F4" s="87" t="n">
        <f aca="false">修正PL!C17</f>
        <v>-4954944</v>
      </c>
      <c r="G4" s="87" t="n">
        <f aca="false">修正PL!F17</f>
        <v>220847494</v>
      </c>
      <c r="H4" s="87" t="n">
        <f aca="false">修正PL!I17</f>
        <v>870806</v>
      </c>
      <c r="J4" s="280" t="s">
        <v>275</v>
      </c>
      <c r="K4" s="281" t="n">
        <f aca="false">C7</f>
        <v>320002051</v>
      </c>
      <c r="L4" s="281"/>
      <c r="M4" s="281"/>
    </row>
    <row r="5" s="279" customFormat="true" ht="31.5" hidden="false" customHeight="true" outlineLevel="0" collapsed="false">
      <c r="B5" s="142" t="s">
        <v>174</v>
      </c>
      <c r="C5" s="178" t="n">
        <f aca="false">'修正BS(貸方) '!D50</f>
        <v>-10464714</v>
      </c>
      <c r="E5" s="142" t="s">
        <v>174</v>
      </c>
      <c r="F5" s="178" t="n">
        <f aca="false">修正PL!D17</f>
        <v>-12286514</v>
      </c>
      <c r="G5" s="178" t="n">
        <f aca="false">修正PL!G17</f>
        <v>-248048130</v>
      </c>
      <c r="H5" s="178" t="n">
        <f aca="false">修正PL!J17</f>
        <v>-14948948</v>
      </c>
      <c r="J5" s="155" t="s">
        <v>276</v>
      </c>
      <c r="K5" s="35" t="n">
        <f aca="false">MAX(0,H10*1)</f>
        <v>0</v>
      </c>
      <c r="L5" s="224" t="n">
        <f aca="false">MAX(0,H10*2)</f>
        <v>0</v>
      </c>
      <c r="M5" s="224" t="n">
        <f aca="false">MAX(0,H10*3)</f>
        <v>0</v>
      </c>
    </row>
    <row r="6" s="279" customFormat="true" ht="31.5" hidden="false" customHeight="true" outlineLevel="0" collapsed="false">
      <c r="B6" s="142" t="s">
        <v>277</v>
      </c>
      <c r="C6" s="178" t="n">
        <f aca="false">'修正BS(貸方) '!D51</f>
        <v>3558003</v>
      </c>
      <c r="E6" s="282" t="s">
        <v>278</v>
      </c>
      <c r="F6" s="137" t="n">
        <f aca="false">SUM(F4:F5)</f>
        <v>-17241458</v>
      </c>
      <c r="G6" s="137" t="n">
        <f aca="false">SUM(G4:G5)</f>
        <v>-27200636</v>
      </c>
      <c r="H6" s="137" t="n">
        <f aca="false">SUM(H4:H5)</f>
        <v>-14078142</v>
      </c>
      <c r="J6" s="283" t="s">
        <v>279</v>
      </c>
      <c r="K6" s="284" t="n">
        <f aca="false">K4+K5</f>
        <v>320002051</v>
      </c>
      <c r="L6" s="284" t="n">
        <f aca="false">K4+L5</f>
        <v>320002051</v>
      </c>
      <c r="M6" s="285" t="n">
        <f aca="false">K4+M5</f>
        <v>320002051</v>
      </c>
    </row>
    <row r="7" s="279" customFormat="true" ht="31.5" hidden="false" customHeight="true" outlineLevel="0" collapsed="false">
      <c r="B7" s="183" t="s">
        <v>275</v>
      </c>
      <c r="C7" s="184" t="n">
        <f aca="false">SUM(C4:C6)</f>
        <v>320002051</v>
      </c>
      <c r="E7" s="142" t="s">
        <v>280</v>
      </c>
      <c r="F7" s="178" t="n">
        <f aca="false">-F6*0.34</f>
        <v>5862095.72</v>
      </c>
      <c r="G7" s="178" t="n">
        <f aca="false">-G6*0.34</f>
        <v>9248216.24</v>
      </c>
      <c r="H7" s="178" t="n">
        <f aca="false">-H6*0.34</f>
        <v>4786568.28</v>
      </c>
    </row>
    <row r="8" s="279" customFormat="true" ht="31.5" hidden="false" customHeight="true" outlineLevel="0" collapsed="false">
      <c r="E8" s="286" t="s">
        <v>281</v>
      </c>
      <c r="F8" s="184" t="n">
        <f aca="false">SUM(F6:F7)</f>
        <v>-11379362.28</v>
      </c>
      <c r="G8" s="184" t="n">
        <f aca="false">SUM(G6:G7)</f>
        <v>-17952419.76</v>
      </c>
      <c r="H8" s="184" t="n">
        <f aca="false">SUM(H6:H7)</f>
        <v>-9291573.72</v>
      </c>
    </row>
    <row r="9" s="279" customFormat="true" ht="15" hidden="false" customHeight="true" outlineLevel="0" collapsed="false"/>
    <row r="10" s="279" customFormat="true" ht="31.5" hidden="false" customHeight="true" outlineLevel="0" collapsed="false">
      <c r="G10" s="287" t="s">
        <v>282</v>
      </c>
      <c r="H10" s="184" t="n">
        <f aca="false">(H8*0.5+G8*0.3+F8*0.2)</f>
        <v>-12307385.244</v>
      </c>
    </row>
    <row r="12" customFormat="false" ht="18" hidden="false" customHeight="false" outlineLevel="0" collapsed="false">
      <c r="B12" s="264" t="s">
        <v>283</v>
      </c>
    </row>
    <row r="13" customFormat="false" ht="18" hidden="false" customHeight="false" outlineLevel="0" collapsed="false">
      <c r="B13" s="264" t="s">
        <v>284</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3125" defaultRowHeight="18" zeroHeight="false" outlineLevelRow="0" outlineLevelCol="0"/>
  <cols>
    <col collapsed="false" customWidth="true" hidden="false" outlineLevel="0" max="3" min="2" style="20" width="18.6"/>
    <col collapsed="false" customWidth="true" hidden="false" outlineLevel="0" max="5" min="5" style="20" width="24.6"/>
    <col collapsed="false" customWidth="true" hidden="false" outlineLevel="0" max="8" min="6" style="20" width="18.6"/>
    <col collapsed="false" customWidth="true" hidden="false" outlineLevel="0" max="10" min="10" style="20" width="26"/>
    <col collapsed="false" customWidth="true" hidden="false" outlineLevel="0" max="13" min="11" style="20" width="20.2"/>
  </cols>
  <sheetData>
    <row r="2" customFormat="false" ht="18" hidden="false" customHeight="false" outlineLevel="0" collapsed="false">
      <c r="C2" s="47" t="s">
        <v>59</v>
      </c>
      <c r="H2" s="47" t="s">
        <v>59</v>
      </c>
      <c r="M2" s="47" t="s">
        <v>59</v>
      </c>
    </row>
    <row r="3" customFormat="false" ht="21.75" hidden="false" customHeight="true" outlineLevel="0" collapsed="false">
      <c r="B3" s="61" t="str">
        <f aca="false">'BS(借方)'!E4</f>
        <v>令和8年3月期</v>
      </c>
      <c r="C3" s="174" t="s">
        <v>250</v>
      </c>
      <c r="E3" s="61"/>
      <c r="F3" s="61" t="str">
        <f aca="false">'BS(借方)'!C4</f>
        <v>令和6年3月期</v>
      </c>
      <c r="G3" s="61" t="str">
        <f aca="false">'BS(借方)'!D4</f>
        <v>令和7年3月期</v>
      </c>
      <c r="H3" s="61" t="str">
        <f aca="false">'BS(借方)'!E4</f>
        <v>令和8年3月期</v>
      </c>
      <c r="J3" s="61" t="s">
        <v>285</v>
      </c>
      <c r="K3" s="247" t="s">
        <v>272</v>
      </c>
      <c r="L3" s="247" t="s">
        <v>286</v>
      </c>
      <c r="M3" s="247" t="s">
        <v>287</v>
      </c>
    </row>
    <row r="4" s="279" customFormat="true" ht="31.5" hidden="false" customHeight="true" outlineLevel="0" collapsed="false">
      <c r="B4" s="288" t="s">
        <v>288</v>
      </c>
      <c r="C4" s="87" t="n">
        <f aca="false">ネットキャッシュ!C13</f>
        <v>236935709</v>
      </c>
      <c r="E4" s="176" t="s">
        <v>274</v>
      </c>
      <c r="F4" s="87" t="n">
        <f aca="false">修正PL!C17</f>
        <v>-4954944</v>
      </c>
      <c r="G4" s="87" t="n">
        <f aca="false">修正PL!F17</f>
        <v>220847494</v>
      </c>
      <c r="H4" s="87" t="n">
        <f aca="false">修正PL!I17</f>
        <v>870806</v>
      </c>
      <c r="J4" s="289" t="s">
        <v>289</v>
      </c>
      <c r="K4" s="290" t="n">
        <f aca="false">MAX(0,H10*3)</f>
        <v>0</v>
      </c>
      <c r="L4" s="291" t="n">
        <f aca="false">MAX(0,H10*4)</f>
        <v>0</v>
      </c>
      <c r="M4" s="291" t="n">
        <f aca="false">MAX(0,H10*5)</f>
        <v>0</v>
      </c>
    </row>
    <row r="5" s="279" customFormat="true" ht="31.5" hidden="false" customHeight="true" outlineLevel="0" collapsed="false">
      <c r="B5" s="292" t="s">
        <v>290</v>
      </c>
      <c r="C5" s="178" t="n">
        <f aca="false">ネットキャッシュ!F13</f>
        <v>445919806</v>
      </c>
      <c r="E5" s="142" t="s">
        <v>174</v>
      </c>
      <c r="F5" s="178" t="n">
        <f aca="false">修正PL!D17</f>
        <v>-12286514</v>
      </c>
      <c r="G5" s="178" t="n">
        <f aca="false">修正PL!G17</f>
        <v>-248048130</v>
      </c>
      <c r="H5" s="178" t="n">
        <f aca="false">修正PL!J17</f>
        <v>-14948948</v>
      </c>
      <c r="J5" s="146" t="s">
        <v>291</v>
      </c>
      <c r="K5" s="290" t="n">
        <f aca="false">-K4*0.3</f>
        <v>-0</v>
      </c>
      <c r="L5" s="290" t="n">
        <f aca="false">-L4*0.3</f>
        <v>-0</v>
      </c>
      <c r="M5" s="290" t="n">
        <f aca="false">-M4*0.3</f>
        <v>-0</v>
      </c>
    </row>
    <row r="6" s="279" customFormat="true" ht="31.5" hidden="false" customHeight="true" outlineLevel="0" collapsed="false">
      <c r="B6" s="183" t="s">
        <v>265</v>
      </c>
      <c r="C6" s="184" t="n">
        <f aca="false">C4-C5</f>
        <v>-208984097</v>
      </c>
      <c r="E6" s="282" t="s">
        <v>278</v>
      </c>
      <c r="F6" s="137" t="n">
        <f aca="false">SUM(F4:F5)</f>
        <v>-17241458</v>
      </c>
      <c r="G6" s="137" t="n">
        <f aca="false">SUM(G4:G5)</f>
        <v>-27200636</v>
      </c>
      <c r="H6" s="137" t="n">
        <f aca="false">SUM(H4:H5)</f>
        <v>-14078142</v>
      </c>
      <c r="J6" s="155" t="str">
        <f aca="false">B6</f>
        <v>ネットキャッシュ</v>
      </c>
      <c r="K6" s="293" t="n">
        <f aca="false">C6</f>
        <v>-208984097</v>
      </c>
      <c r="L6" s="293"/>
      <c r="M6" s="293"/>
    </row>
    <row r="7" s="279" customFormat="true" ht="31.5" hidden="false" customHeight="true" outlineLevel="0" collapsed="false">
      <c r="E7" s="142" t="s">
        <v>139</v>
      </c>
      <c r="F7" s="178" t="n">
        <f aca="false">SGA!C10</f>
        <v>4594828</v>
      </c>
      <c r="G7" s="178" t="n">
        <f aca="false">SGA!E10</f>
        <v>14219250</v>
      </c>
      <c r="H7" s="178" t="n">
        <f aca="false">SGA!G10</f>
        <v>11895803</v>
      </c>
      <c r="J7" s="283" t="s">
        <v>279</v>
      </c>
      <c r="K7" s="284" t="n">
        <f aca="false">SUM(K4:K6)</f>
        <v>-208984097</v>
      </c>
      <c r="L7" s="284" t="n">
        <f aca="false">SUM(L4:L5)+K6</f>
        <v>-208984097</v>
      </c>
      <c r="M7" s="285" t="n">
        <f aca="false">SUM(M4:M5)+K6</f>
        <v>-208984097</v>
      </c>
    </row>
    <row r="8" s="279" customFormat="true" ht="31.5" hidden="false" customHeight="true" outlineLevel="0" collapsed="false">
      <c r="E8" s="294" t="s">
        <v>292</v>
      </c>
      <c r="F8" s="184" t="n">
        <f aca="false">SUM(F6:F7)</f>
        <v>-12646630</v>
      </c>
      <c r="G8" s="184" t="n">
        <f aca="false">SUM(G6:G7)</f>
        <v>-12981386</v>
      </c>
      <c r="H8" s="184" t="n">
        <f aca="false">SUM(H6:H7)</f>
        <v>-2182339</v>
      </c>
    </row>
    <row r="9" s="279" customFormat="true" ht="15" hidden="false" customHeight="true" outlineLevel="0" collapsed="false"/>
    <row r="10" s="279" customFormat="true" ht="31.5" hidden="false" customHeight="true" outlineLevel="0" collapsed="false">
      <c r="G10" s="287" t="s">
        <v>293</v>
      </c>
      <c r="H10" s="184" t="n">
        <f aca="false">(H8*0.5+G8*0.3+F8*0.2)</f>
        <v>-7514911.3</v>
      </c>
    </row>
    <row r="12" customFormat="false" ht="18" hidden="false" customHeight="false" outlineLevel="0" collapsed="false">
      <c r="B12" s="264" t="s">
        <v>294</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125" defaultRowHeight="18" zeroHeight="false" outlineLevelRow="0" outlineLevelCol="0"/>
  <cols>
    <col collapsed="false" customWidth="true" hidden="false" outlineLevel="0" max="2" min="2" style="20" width="36.6"/>
    <col collapsed="false" customWidth="true" hidden="false" outlineLevel="0" max="3" min="3" style="20" width="18.6"/>
    <col collapsed="false" customWidth="true" hidden="false" outlineLevel="0" max="4" min="4" style="20" width="55.1"/>
    <col collapsed="false" customWidth="true" hidden="false" outlineLevel="0" max="5" min="5" style="20" width="18.6"/>
  </cols>
  <sheetData>
    <row r="2" customFormat="false" ht="18" hidden="false" customHeight="false" outlineLevel="0" collapsed="false">
      <c r="E2" s="47" t="s">
        <v>59</v>
      </c>
    </row>
    <row r="3" customFormat="false" ht="21.75" hidden="false" customHeight="true" outlineLevel="0" collapsed="false">
      <c r="B3" s="61" t="s">
        <v>295</v>
      </c>
      <c r="C3" s="205" t="s">
        <v>296</v>
      </c>
      <c r="D3" s="205" t="s">
        <v>297</v>
      </c>
      <c r="E3" s="295" t="s">
        <v>298</v>
      </c>
    </row>
    <row r="4" customFormat="false" ht="31.5" hidden="false" customHeight="true" outlineLevel="0" collapsed="false">
      <c r="B4" s="176" t="s">
        <v>299</v>
      </c>
      <c r="C4" s="296"/>
      <c r="D4" s="296"/>
      <c r="E4" s="297"/>
    </row>
    <row r="5" customFormat="false" ht="31.5" hidden="false" customHeight="true" outlineLevel="0" collapsed="false">
      <c r="B5" s="146"/>
      <c r="C5" s="298"/>
      <c r="D5" s="298"/>
      <c r="E5" s="299"/>
    </row>
    <row r="6" customFormat="false" ht="31.5" hidden="false" customHeight="true" outlineLevel="0" collapsed="false">
      <c r="B6" s="146"/>
      <c r="C6" s="298"/>
      <c r="D6" s="298"/>
      <c r="E6" s="299"/>
    </row>
    <row r="7" customFormat="false" ht="31.5" hidden="false" customHeight="true" outlineLevel="0" collapsed="false">
      <c r="B7" s="146"/>
      <c r="C7" s="298"/>
      <c r="D7" s="298"/>
      <c r="E7" s="299"/>
    </row>
    <row r="8" customFormat="false" ht="31.5" hidden="false" customHeight="true" outlineLevel="0" collapsed="false">
      <c r="B8" s="146"/>
      <c r="C8" s="298"/>
      <c r="D8" s="298"/>
      <c r="E8" s="299"/>
    </row>
    <row r="9" customFormat="false" ht="31.5" hidden="false" customHeight="true" outlineLevel="0" collapsed="false">
      <c r="B9" s="146"/>
      <c r="C9" s="298"/>
      <c r="D9" s="298"/>
      <c r="E9" s="299"/>
    </row>
    <row r="10" customFormat="false" ht="31.5" hidden="false" customHeight="true" outlineLevel="0" collapsed="false">
      <c r="B10" s="146"/>
      <c r="C10" s="298"/>
      <c r="D10" s="298"/>
      <c r="E10" s="299"/>
    </row>
    <row r="11" customFormat="false" ht="31.5" hidden="false" customHeight="true" outlineLevel="0" collapsed="false">
      <c r="B11" s="146"/>
      <c r="C11" s="298"/>
      <c r="D11" s="298"/>
      <c r="E11" s="299"/>
    </row>
    <row r="12" customFormat="false" ht="31.5" hidden="false" customHeight="true" outlineLevel="0" collapsed="false">
      <c r="B12" s="146"/>
      <c r="C12" s="298"/>
      <c r="D12" s="298"/>
      <c r="E12" s="299"/>
    </row>
    <row r="13" customFormat="false" ht="31.5" hidden="false" customHeight="true" outlineLevel="0" collapsed="false">
      <c r="B13" s="155"/>
      <c r="C13" s="300"/>
      <c r="D13" s="300"/>
      <c r="E13" s="301"/>
    </row>
    <row r="14" customFormat="false" ht="31.5" hidden="false" customHeight="true" outlineLevel="0" collapsed="false">
      <c r="B14" s="302"/>
      <c r="C14" s="302"/>
      <c r="D14" s="303" t="s">
        <v>300</v>
      </c>
      <c r="E14" s="304" t="str">
        <f aca="false">IFERROR(AVERAGE(E4:E13),"－")</f>
        <v>－</v>
      </c>
    </row>
    <row r="15" customFormat="false" ht="31.5" hidden="false" customHeight="true" outlineLevel="0" collapsed="false">
      <c r="B15" s="305"/>
      <c r="C15" s="305"/>
      <c r="D15" s="306" t="s">
        <v>301</v>
      </c>
      <c r="E15" s="307" t="str">
        <f aca="false">IFERROR(MEDIAN(E4:E13),"－")</f>
        <v>－</v>
      </c>
    </row>
    <row r="16" customFormat="false" ht="31.5" hidden="false" customHeight="true" outlineLevel="0" collapsed="false"/>
    <row r="17" customFormat="false" ht="31.5" hidden="false" customHeight="true" outlineLevel="0" collapsed="false"/>
    <row r="18" customFormat="false" ht="15" hidden="false" customHeight="true" outlineLevel="0" collapsed="false"/>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796875" defaultRowHeight="18" zeroHeight="false" outlineLevelRow="0" outlineLevelCol="0"/>
  <cols>
    <col collapsed="false" customWidth="false" hidden="false" outlineLevel="0" max="1" min="1" style="308" width="8.8"/>
    <col collapsed="false" customWidth="true" hidden="false" outlineLevel="0" max="2" min="2" style="308" width="17.1"/>
    <col collapsed="false" customWidth="true" hidden="false" outlineLevel="0" max="3" min="3" style="308" width="58.7"/>
    <col collapsed="false" customWidth="false" hidden="false" outlineLevel="0" max="16384" min="4" style="308" width="8.8"/>
  </cols>
  <sheetData>
    <row r="2" customFormat="false" ht="19.5" hidden="false" customHeight="true" outlineLevel="0" collapsed="false">
      <c r="B2" s="61" t="s">
        <v>302</v>
      </c>
      <c r="C2" s="174" t="s">
        <v>303</v>
      </c>
    </row>
    <row r="3" customFormat="false" ht="22.5" hidden="false" customHeight="true" outlineLevel="0" collapsed="false">
      <c r="B3" s="280" t="s">
        <v>304</v>
      </c>
      <c r="C3" s="309" t="s">
        <v>305</v>
      </c>
    </row>
    <row r="4" customFormat="false" ht="22.5" hidden="false" customHeight="true" outlineLevel="0" collapsed="false">
      <c r="B4" s="142" t="s">
        <v>306</v>
      </c>
      <c r="C4" s="310" t="s">
        <v>307</v>
      </c>
    </row>
    <row r="5" customFormat="false" ht="57" hidden="false" customHeight="true" outlineLevel="0" collapsed="false">
      <c r="B5" s="142" t="s">
        <v>308</v>
      </c>
      <c r="C5" s="311" t="s">
        <v>309</v>
      </c>
    </row>
    <row r="6" customFormat="false" ht="22.5" hidden="false" customHeight="true" outlineLevel="0" collapsed="false">
      <c r="B6" s="142" t="s">
        <v>310</v>
      </c>
      <c r="C6" s="311" t="s">
        <v>311</v>
      </c>
    </row>
    <row r="7" customFormat="false" ht="22.5" hidden="false" customHeight="true" outlineLevel="0" collapsed="false">
      <c r="B7" s="142" t="s">
        <v>75</v>
      </c>
      <c r="C7" s="312" t="s">
        <v>312</v>
      </c>
    </row>
    <row r="8" customFormat="false" ht="22.5" hidden="false" customHeight="true" outlineLevel="0" collapsed="false">
      <c r="B8" s="142" t="s">
        <v>313</v>
      </c>
      <c r="C8" s="310" t="s">
        <v>314</v>
      </c>
    </row>
    <row r="9" customFormat="false" ht="39" hidden="false" customHeight="true" outlineLevel="0" collapsed="false">
      <c r="B9" s="142" t="s">
        <v>315</v>
      </c>
      <c r="C9" s="311" t="s">
        <v>316</v>
      </c>
    </row>
    <row r="10" customFormat="false" ht="22.5" hidden="false" customHeight="true" outlineLevel="0" collapsed="false">
      <c r="B10" s="142" t="s">
        <v>297</v>
      </c>
      <c r="C10" s="310" t="s">
        <v>317</v>
      </c>
    </row>
    <row r="11" customFormat="false" ht="22.5" hidden="false" customHeight="true" outlineLevel="0" collapsed="false">
      <c r="B11" s="142" t="s">
        <v>318</v>
      </c>
      <c r="C11" s="310" t="s">
        <v>319</v>
      </c>
    </row>
    <row r="12" customFormat="false" ht="22.5" hidden="false" customHeight="true" outlineLevel="0" collapsed="false">
      <c r="B12" s="142" t="s">
        <v>320</v>
      </c>
      <c r="C12" s="310" t="s">
        <v>321</v>
      </c>
    </row>
    <row r="13" customFormat="false" ht="22.5" hidden="false" customHeight="true" outlineLevel="0" collapsed="false">
      <c r="B13" s="142" t="s">
        <v>91</v>
      </c>
      <c r="C13" s="310" t="str">
        <f aca="false">TEXT(PL!G11/1000,"#,##0")&amp;"千円（"&amp;'BS(借方)'!E4&amp;"）"</f>
        <v>319,338千円（令和8年3月期）</v>
      </c>
    </row>
    <row r="14" customFormat="false" ht="22.5" hidden="false" customHeight="true" outlineLevel="0" collapsed="false">
      <c r="B14" s="142" t="s">
        <v>322</v>
      </c>
      <c r="C14" s="310" t="str">
        <f aca="false">TEXT(PLハイライト!E37/1000,"#,##0;△#,##0")&amp;"千円（"&amp;'BS(借方)'!E4&amp;"）"</f>
        <v>△2,182千円（令和8年3月期）</v>
      </c>
    </row>
    <row r="15" customFormat="false" ht="22.5" hidden="false" customHeight="true" outlineLevel="0" collapsed="false">
      <c r="B15" s="142" t="s">
        <v>323</v>
      </c>
      <c r="C15" s="310" t="s">
        <v>324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107" zoomScaleNormal="107" zoomScalePageLayoutView="100" workbookViewId="0">
      <selection pane="topLeft" activeCell="B18" activeCellId="0" sqref="B18"/>
    </sheetView>
  </sheetViews>
  <sheetFormatPr defaultColWidth="8.796875" defaultRowHeight="18" zeroHeight="false" outlineLevelRow="0" outlineLevelCol="0"/>
  <cols>
    <col collapsed="false" customWidth="false" hidden="false" outlineLevel="0" max="1" min="1" style="308" width="8.8"/>
    <col collapsed="false" customWidth="true" hidden="false" outlineLevel="0" max="2" min="2" style="308" width="24"/>
    <col collapsed="false" customWidth="true" hidden="false" outlineLevel="0" max="7" min="3" style="308" width="19.79"/>
    <col collapsed="false" customWidth="false" hidden="false" outlineLevel="0" max="16384" min="8" style="308" width="8.8"/>
  </cols>
  <sheetData>
    <row r="2" customFormat="false" ht="18" hidden="false" customHeight="false" outlineLevel="0" collapsed="false">
      <c r="E2" s="47" t="s">
        <v>59</v>
      </c>
    </row>
    <row r="3" customFormat="false" ht="19.5" hidden="false" customHeight="true" outlineLevel="0" collapsed="false">
      <c r="B3" s="313"/>
      <c r="C3" s="314" t="str">
        <f aca="false">'BS(借方)'!C4</f>
        <v>令和6年3月期</v>
      </c>
      <c r="D3" s="314" t="str">
        <f aca="false">'BS(借方)'!D4</f>
        <v>令和7年3月期</v>
      </c>
      <c r="E3" s="314" t="str">
        <f aca="false">'BS(借方)'!E4</f>
        <v>令和8年3月期</v>
      </c>
      <c r="F3" s="314" t="str">
        <f aca="false">'BS(借方)'!F4</f>
        <v>－</v>
      </c>
      <c r="G3" s="315" t="str">
        <f aca="false">'BS(借方)'!G4</f>
        <v>進行期
（試算表未受領）</v>
      </c>
    </row>
    <row r="4" customFormat="false" ht="22.5" hidden="false" customHeight="true" outlineLevel="0" collapsed="false">
      <c r="B4" s="176" t="s">
        <v>91</v>
      </c>
      <c r="C4" s="87" t="n">
        <f aca="false">PL!C11</f>
        <v>383439251</v>
      </c>
      <c r="D4" s="87" t="n">
        <f aca="false">PL!E11</f>
        <v>1230829971</v>
      </c>
      <c r="E4" s="87" t="n">
        <f aca="false">PL!G11</f>
        <v>319338374</v>
      </c>
      <c r="F4" s="87" t="n">
        <f aca="false">PL!I11</f>
        <v>0</v>
      </c>
      <c r="G4" s="87" t="n">
        <f aca="false">PL!K11</f>
        <v>0</v>
      </c>
      <c r="I4" s="316"/>
    </row>
    <row r="5" s="317" customFormat="true" ht="22.5" hidden="false" customHeight="true" outlineLevel="0" collapsed="false">
      <c r="B5" s="318" t="s">
        <v>325</v>
      </c>
      <c r="C5" s="319" t="s">
        <v>120</v>
      </c>
      <c r="D5" s="319" t="n">
        <f aca="false">IFERROR(D4/C4,"－")</f>
        <v>3.20997385580643</v>
      </c>
      <c r="E5" s="319" t="n">
        <f aca="false">IFERROR(E4/D4,"－")</f>
        <v>0.259449624663064</v>
      </c>
      <c r="F5" s="319" t="n">
        <f aca="false">IFERROR(F4/E4,"－")</f>
        <v>0</v>
      </c>
      <c r="G5" s="319" t="s">
        <v>120</v>
      </c>
    </row>
    <row r="6" customFormat="false" ht="22.5" hidden="false" customHeight="true" outlineLevel="0" collapsed="false">
      <c r="B6" s="320" t="s">
        <v>97</v>
      </c>
      <c r="C6" s="35" t="n">
        <f aca="false">PL!C17</f>
        <v>278596784</v>
      </c>
      <c r="D6" s="35" t="n">
        <f aca="false">PL!E17</f>
        <v>493907835</v>
      </c>
      <c r="E6" s="35" t="n">
        <f aca="false">PL!G17</f>
        <v>223132250</v>
      </c>
      <c r="F6" s="35" t="n">
        <f aca="false">PL!I17</f>
        <v>0</v>
      </c>
      <c r="G6" s="35" t="n">
        <f aca="false">PL!K17</f>
        <v>0</v>
      </c>
    </row>
    <row r="7" s="317" customFormat="true" ht="22.5" hidden="false" customHeight="true" outlineLevel="0" collapsed="false">
      <c r="B7" s="318" t="s">
        <v>326</v>
      </c>
      <c r="C7" s="319" t="n">
        <f aca="false">IFERROR(C6/C4,"－")</f>
        <v>0.726573461828508</v>
      </c>
      <c r="D7" s="319" t="n">
        <f aca="false">IFERROR(D6/D4,"－")</f>
        <v>0.401280312177254</v>
      </c>
      <c r="E7" s="319" t="n">
        <f aca="false">IFERROR(E6/E4,"－")</f>
        <v>0.698732968434292</v>
      </c>
      <c r="F7" s="319" t="str">
        <f aca="false">IFERROR(F6/F4,"－")</f>
        <v>－</v>
      </c>
      <c r="G7" s="319" t="str">
        <f aca="false">IFERROR(G6/G4,"－")</f>
        <v>－</v>
      </c>
    </row>
    <row r="8" customFormat="false" ht="22.5" hidden="false" customHeight="true" outlineLevel="0" collapsed="false">
      <c r="B8" s="320" t="s">
        <v>99</v>
      </c>
      <c r="C8" s="35" t="n">
        <f aca="false">PL!C19</f>
        <v>-4954944</v>
      </c>
      <c r="D8" s="35" t="n">
        <f aca="false">PL!E19</f>
        <v>220847494</v>
      </c>
      <c r="E8" s="35" t="n">
        <f aca="false">PL!G19</f>
        <v>870806</v>
      </c>
      <c r="F8" s="35" t="n">
        <f aca="false">PL!I19</f>
        <v>0</v>
      </c>
      <c r="G8" s="224" t="n">
        <f aca="false">PL!K19</f>
        <v>0</v>
      </c>
    </row>
    <row r="9" s="317" customFormat="true" ht="22.5" hidden="false" customHeight="true" outlineLevel="0" collapsed="false">
      <c r="B9" s="318" t="s">
        <v>326</v>
      </c>
      <c r="C9" s="319" t="n">
        <f aca="false">IFERROR(C8/C4,"－")</f>
        <v>-0.0129223703287486</v>
      </c>
      <c r="D9" s="319" t="n">
        <f aca="false">IFERROR(D8/D4,"－")</f>
        <v>0.179429733759709</v>
      </c>
      <c r="E9" s="319" t="n">
        <f aca="false">IFERROR(E8/E4,"－")</f>
        <v>0.00272690685147661</v>
      </c>
      <c r="F9" s="319" t="str">
        <f aca="false">IFERROR(F8/F4,"－")</f>
        <v>－</v>
      </c>
      <c r="G9" s="319" t="str">
        <f aca="false">IFERROR(G8/G4,"－")</f>
        <v>－</v>
      </c>
    </row>
    <row r="10" customFormat="false" ht="22.5" hidden="false" customHeight="true" outlineLevel="0" collapsed="false">
      <c r="B10" s="320" t="s">
        <v>106</v>
      </c>
      <c r="C10" s="35" t="n">
        <f aca="false">PL!C36</f>
        <v>-7290352</v>
      </c>
      <c r="D10" s="35" t="n">
        <f aca="false">PL!E36</f>
        <v>211567766</v>
      </c>
      <c r="E10" s="35" t="n">
        <f aca="false">PL!G36</f>
        <v>580579</v>
      </c>
      <c r="F10" s="35" t="n">
        <f aca="false">PL!I36</f>
        <v>0</v>
      </c>
      <c r="G10" s="224" t="n">
        <f aca="false">PL!K36</f>
        <v>0</v>
      </c>
    </row>
    <row r="11" s="317" customFormat="true" ht="22.5" hidden="false" customHeight="true" outlineLevel="0" collapsed="false">
      <c r="B11" s="318" t="s">
        <v>326</v>
      </c>
      <c r="C11" s="319" t="n">
        <f aca="false">IFERROR(C10/C4,"－")</f>
        <v>-0.0190130561255452</v>
      </c>
      <c r="D11" s="319" t="n">
        <f aca="false">IFERROR(D10/D4,"－")</f>
        <v>0.171890326840278</v>
      </c>
      <c r="E11" s="319" t="n">
        <f aca="false">IFERROR(E10/E4,"－")</f>
        <v>0.00181806837909183</v>
      </c>
      <c r="F11" s="319" t="str">
        <f aca="false">IFERROR(F10/F4,"－")</f>
        <v>－</v>
      </c>
      <c r="G11" s="319" t="str">
        <f aca="false">IFERROR(G10/G4,"－")</f>
        <v>－</v>
      </c>
    </row>
    <row r="12" customFormat="false" ht="22.5" hidden="false" customHeight="true" outlineLevel="0" collapsed="false">
      <c r="B12" s="320" t="s">
        <v>117</v>
      </c>
      <c r="C12" s="35" t="n">
        <f aca="false">PL!C56</f>
        <v>-7485079</v>
      </c>
      <c r="D12" s="35" t="n">
        <f aca="false">PL!E56</f>
        <v>108356358</v>
      </c>
      <c r="E12" s="35" t="n">
        <f aca="false">PL!G56</f>
        <v>-48083504</v>
      </c>
      <c r="F12" s="35" t="n">
        <f aca="false">PL!I56</f>
        <v>0</v>
      </c>
      <c r="G12" s="224" t="n">
        <f aca="false">PL!K56</f>
        <v>0</v>
      </c>
    </row>
    <row r="13" s="317" customFormat="true" ht="22.5" hidden="false" customHeight="true" outlineLevel="0" collapsed="false">
      <c r="B13" s="318" t="s">
        <v>326</v>
      </c>
      <c r="C13" s="319" t="n">
        <f aca="false">IFERROR(C12/C4,"－")</f>
        <v>-0.0195208992832088</v>
      </c>
      <c r="D13" s="319" t="n">
        <f aca="false">IFERROR(D12/D4,"－")</f>
        <v>0.0880351962115164</v>
      </c>
      <c r="E13" s="319" t="n">
        <f aca="false">IFERROR(E12/E4,"－")</f>
        <v>-0.150572270403055</v>
      </c>
      <c r="F13" s="319" t="str">
        <f aca="false">IFERROR(F12/F4,"－")</f>
        <v>－</v>
      </c>
      <c r="G13" s="319" t="str">
        <f aca="false">IFERROR(G12/G4,"－")</f>
        <v>－</v>
      </c>
    </row>
    <row r="14" customFormat="false" ht="14.25" hidden="false" customHeight="true" outlineLevel="0" collapsed="false">
      <c r="C14" s="171"/>
      <c r="D14" s="171"/>
      <c r="E14" s="171"/>
      <c r="F14" s="171"/>
      <c r="G14" s="171"/>
    </row>
    <row r="15" customFormat="false" ht="22.5" hidden="false" customHeight="true" outlineLevel="0" collapsed="false">
      <c r="B15" s="142" t="s">
        <v>139</v>
      </c>
      <c r="C15" s="321" t="n">
        <f aca="false">SGA!C10</f>
        <v>4594828</v>
      </c>
      <c r="D15" s="321" t="n">
        <f aca="false">SGA!E10</f>
        <v>14219250</v>
      </c>
      <c r="E15" s="321" t="n">
        <f aca="false">SGA!G10</f>
        <v>11895803</v>
      </c>
      <c r="F15" s="321" t="n">
        <v>0</v>
      </c>
      <c r="G15" s="321" t="n">
        <v>0</v>
      </c>
    </row>
    <row r="16" customFormat="false" ht="15" hidden="false" customHeight="true" outlineLevel="0" collapsed="false">
      <c r="C16" s="17"/>
      <c r="D16" s="17"/>
      <c r="E16" s="17"/>
      <c r="F16" s="17"/>
      <c r="G16" s="17"/>
    </row>
    <row r="17" customFormat="false" ht="19.5" hidden="false" customHeight="true" outlineLevel="0" collapsed="false">
      <c r="B17" s="92" t="s">
        <v>327</v>
      </c>
      <c r="C17" s="322" t="n">
        <f aca="false">SUM(C18:C27)</f>
        <v>-12286514</v>
      </c>
      <c r="D17" s="322" t="n">
        <f aca="false">SUM(D18:D27)</f>
        <v>-248048130</v>
      </c>
      <c r="E17" s="322" t="n">
        <f aca="false">SUM(E18:E27)</f>
        <v>-14948948</v>
      </c>
      <c r="F17" s="322" t="n">
        <f aca="false">SUM(F18:F27)</f>
        <v>0</v>
      </c>
      <c r="G17" s="322" t="n">
        <f aca="false">SUM(G18:G27)</f>
        <v>0</v>
      </c>
    </row>
    <row r="18" customFormat="false" ht="22.5" hidden="false" customHeight="true" outlineLevel="0" collapsed="false">
      <c r="B18" s="323" t="s">
        <v>328</v>
      </c>
      <c r="C18" s="324" t="n">
        <f aca="false">修正PL!D7-修正PL!D12</f>
        <v>0</v>
      </c>
      <c r="D18" s="324" t="n">
        <f aca="false">修正PL!G7-修正PL!G12</f>
        <v>-233144000</v>
      </c>
      <c r="E18" s="324" t="n">
        <f aca="false">修正PL!J7-修正PL!J12</f>
        <v>0</v>
      </c>
      <c r="F18" s="324"/>
      <c r="G18" s="324"/>
    </row>
    <row r="19" customFormat="false" ht="22.5" hidden="false" customHeight="true" outlineLevel="0" collapsed="false">
      <c r="B19" s="325" t="s">
        <v>329</v>
      </c>
      <c r="C19" s="326" t="n">
        <f aca="false">修正PL!D6</f>
        <v>-16633646</v>
      </c>
      <c r="D19" s="327" t="n">
        <f aca="false">修正PL!G6</f>
        <v>-16832410</v>
      </c>
      <c r="E19" s="327" t="n">
        <f aca="false">修正PL!J6</f>
        <v>-1635396</v>
      </c>
      <c r="F19" s="327"/>
      <c r="G19" s="327"/>
    </row>
    <row r="20" customFormat="false" ht="22.5" hidden="false" customHeight="true" outlineLevel="0" collapsed="false">
      <c r="B20" s="325" t="s">
        <v>330</v>
      </c>
      <c r="C20" s="327" t="n">
        <f aca="false">-修正SGA!D32</f>
        <v>4347132</v>
      </c>
      <c r="D20" s="327" t="n">
        <f aca="false">-修正SGA!G32</f>
        <v>1928280</v>
      </c>
      <c r="E20" s="327" t="n">
        <f aca="false">-修正SGA!J32</f>
        <v>686448</v>
      </c>
      <c r="F20" s="327"/>
      <c r="G20" s="327"/>
    </row>
    <row r="21" customFormat="false" ht="22.5" hidden="false" customHeight="true" outlineLevel="0" collapsed="false">
      <c r="B21" s="325" t="s">
        <v>331</v>
      </c>
      <c r="C21" s="327" t="n">
        <f aca="false">修正PL!D8</f>
        <v>0</v>
      </c>
      <c r="D21" s="327" t="n">
        <f aca="false">修正PL!G8</f>
        <v>0</v>
      </c>
      <c r="E21" s="327" t="n">
        <f aca="false">修正PL!J8</f>
        <v>-14000000</v>
      </c>
      <c r="F21" s="327"/>
      <c r="G21" s="327"/>
    </row>
    <row r="22" customFormat="false" ht="22.5" hidden="false" customHeight="true" outlineLevel="0" collapsed="false">
      <c r="B22" s="325"/>
      <c r="C22" s="327"/>
      <c r="D22" s="327"/>
      <c r="E22" s="327"/>
      <c r="F22" s="327"/>
      <c r="G22" s="327"/>
    </row>
    <row r="23" customFormat="false" ht="22.5" hidden="false" customHeight="true" outlineLevel="0" collapsed="false">
      <c r="B23" s="325"/>
      <c r="C23" s="327"/>
      <c r="D23" s="327"/>
      <c r="E23" s="327"/>
      <c r="F23" s="327"/>
      <c r="G23" s="327"/>
    </row>
    <row r="24" customFormat="false" ht="22.5" hidden="false" customHeight="true" outlineLevel="0" collapsed="false">
      <c r="B24" s="325"/>
      <c r="C24" s="327"/>
      <c r="D24" s="327"/>
      <c r="E24" s="327"/>
      <c r="F24" s="327"/>
      <c r="G24" s="327"/>
    </row>
    <row r="25" customFormat="false" ht="22.5" hidden="false" customHeight="true" outlineLevel="0" collapsed="false">
      <c r="B25" s="325"/>
      <c r="C25" s="327"/>
      <c r="D25" s="327"/>
      <c r="E25" s="327"/>
      <c r="F25" s="327"/>
      <c r="G25" s="327"/>
    </row>
    <row r="26" customFormat="false" ht="22.5" hidden="false" customHeight="true" outlineLevel="0" collapsed="false">
      <c r="B26" s="325"/>
      <c r="C26" s="327"/>
      <c r="D26" s="327"/>
      <c r="E26" s="327"/>
      <c r="F26" s="327"/>
      <c r="G26" s="327"/>
    </row>
    <row r="27" customFormat="false" ht="22.5" hidden="false" customHeight="true" outlineLevel="0" collapsed="false">
      <c r="B27" s="328"/>
      <c r="C27" s="329"/>
      <c r="D27" s="329"/>
      <c r="E27" s="329"/>
      <c r="F27" s="329"/>
      <c r="G27" s="329"/>
    </row>
    <row r="28" customFormat="false" ht="22.5" hidden="true" customHeight="true" outlineLevel="0" collapsed="false">
      <c r="B28" s="330"/>
      <c r="C28" s="35"/>
      <c r="D28" s="35"/>
      <c r="E28" s="35"/>
      <c r="F28" s="35"/>
      <c r="G28" s="35"/>
    </row>
    <row r="29" customFormat="false" ht="22.5" hidden="true" customHeight="true" outlineLevel="0" collapsed="false">
      <c r="B29" s="330"/>
      <c r="C29" s="35"/>
      <c r="D29" s="35"/>
      <c r="E29" s="35"/>
      <c r="F29" s="35"/>
      <c r="G29" s="35"/>
    </row>
    <row r="30" customFormat="false" ht="22.5" hidden="true" customHeight="true" outlineLevel="0" collapsed="false">
      <c r="B30" s="330"/>
      <c r="C30" s="35"/>
      <c r="D30" s="35"/>
      <c r="E30" s="35"/>
      <c r="F30" s="35"/>
      <c r="G30" s="35"/>
    </row>
    <row r="31" customFormat="false" ht="22.5" hidden="true" customHeight="true" outlineLevel="0" collapsed="false">
      <c r="B31" s="330"/>
      <c r="C31" s="35"/>
      <c r="D31" s="35"/>
      <c r="E31" s="52"/>
      <c r="F31" s="52"/>
      <c r="G31" s="52"/>
    </row>
    <row r="32" customFormat="false" ht="22.5" hidden="true" customHeight="true" outlineLevel="0" collapsed="false">
      <c r="B32" s="330"/>
      <c r="C32" s="35"/>
      <c r="D32" s="35"/>
      <c r="E32" s="52"/>
      <c r="F32" s="52"/>
      <c r="G32" s="52"/>
    </row>
    <row r="33" customFormat="false" ht="22.5" hidden="true" customHeight="true" outlineLevel="0" collapsed="false">
      <c r="B33" s="330"/>
      <c r="C33" s="35"/>
      <c r="D33" s="35"/>
      <c r="E33" s="52"/>
      <c r="F33" s="52"/>
      <c r="G33" s="52"/>
    </row>
    <row r="34" customFormat="false" ht="22.5" hidden="true" customHeight="true" outlineLevel="0" collapsed="false">
      <c r="B34" s="330"/>
      <c r="C34" s="35"/>
      <c r="D34" s="35"/>
      <c r="E34" s="52"/>
      <c r="F34" s="52"/>
      <c r="G34" s="52"/>
    </row>
    <row r="35" customFormat="false" ht="22.5" hidden="true" customHeight="true" outlineLevel="0" collapsed="false">
      <c r="B35" s="330"/>
      <c r="C35" s="35"/>
      <c r="D35" s="35"/>
      <c r="E35" s="52"/>
      <c r="F35" s="52"/>
      <c r="G35" s="52"/>
    </row>
    <row r="36" customFormat="false" ht="15" hidden="false" customHeight="true" outlineLevel="0" collapsed="false">
      <c r="C36" s="171"/>
      <c r="D36" s="171"/>
      <c r="E36" s="171"/>
      <c r="F36" s="171"/>
      <c r="G36" s="171"/>
    </row>
    <row r="37" s="331" customFormat="true" ht="21" hidden="false" customHeight="true" outlineLevel="0" collapsed="false">
      <c r="B37" s="332" t="s">
        <v>332</v>
      </c>
      <c r="C37" s="333" t="n">
        <f aca="false">C8+C15+C17</f>
        <v>-12646630</v>
      </c>
      <c r="D37" s="333" t="n">
        <f aca="false">D8+D15+D17</f>
        <v>-12981386</v>
      </c>
      <c r="E37" s="333" t="n">
        <f aca="false">E8+E15+E17</f>
        <v>-2182339</v>
      </c>
      <c r="F37" s="333" t="n">
        <f aca="false">F8+F15+F17</f>
        <v>0</v>
      </c>
      <c r="G37" s="333" t="n">
        <f aca="false">G8+G15+G17</f>
        <v>0</v>
      </c>
    </row>
    <row r="38" customFormat="false" ht="18" hidden="false" customHeight="true" outlineLevel="0" collapsed="false">
      <c r="B38" s="332" t="s">
        <v>333</v>
      </c>
      <c r="C38" s="333" t="n">
        <f aca="false">修正PL!E17+C15</f>
        <v>-12646630</v>
      </c>
      <c r="D38" s="333" t="n">
        <f aca="false">修正PL!H17+D15</f>
        <v>-12981386</v>
      </c>
      <c r="E38" s="333" t="n">
        <f aca="false">修正PL!K17+E15</f>
        <v>-2182339</v>
      </c>
      <c r="F38" s="334"/>
      <c r="G38" s="334"/>
    </row>
    <row r="39" customFormat="false" ht="18" hidden="false" customHeight="false" outlineLevel="0" collapsed="false">
      <c r="B39" s="332" t="s">
        <v>334</v>
      </c>
      <c r="C39" s="333" t="n">
        <f aca="false">EXACT(C37,C38)</f>
        <v>1</v>
      </c>
      <c r="D39" s="333" t="n">
        <f aca="false">EXACT(D37,D38)</f>
        <v>1</v>
      </c>
      <c r="E39" s="333" t="n">
        <f aca="false">EXACT(E37,E38)</f>
        <v>1</v>
      </c>
      <c r="F39" s="171"/>
      <c r="G39" s="171"/>
    </row>
    <row r="40" customFormat="false" ht="18" hidden="false" customHeight="false" outlineLevel="0" collapsed="false">
      <c r="B40" s="335"/>
      <c r="C40" s="336"/>
      <c r="D40" s="337"/>
      <c r="E40" s="337"/>
      <c r="F40" s="337"/>
      <c r="G40" s="337"/>
    </row>
    <row r="41" customFormat="false" ht="18" hidden="false" customHeight="false" outlineLevel="0" collapsed="false">
      <c r="B41" s="335"/>
      <c r="C41" s="336"/>
      <c r="D41" s="337"/>
      <c r="E41" s="337"/>
      <c r="F41" s="337"/>
      <c r="G41" s="337"/>
    </row>
    <row r="42" customFormat="false" ht="18" hidden="false" customHeight="false" outlineLevel="0" collapsed="false">
      <c r="B42" s="335"/>
      <c r="C42" s="336"/>
      <c r="D42" s="337"/>
      <c r="E42" s="337"/>
      <c r="F42" s="337"/>
      <c r="G42" s="337"/>
    </row>
    <row r="43" customFormat="false" ht="18" hidden="false" customHeight="false" outlineLevel="0" collapsed="false">
      <c r="B43" s="335"/>
      <c r="C43" s="336"/>
      <c r="D43" s="337"/>
      <c r="E43" s="337"/>
      <c r="F43" s="337"/>
      <c r="G43" s="337"/>
    </row>
    <row r="44" customFormat="false" ht="18" hidden="false" customHeight="false" outlineLevel="0" collapsed="false">
      <c r="B44" s="335"/>
      <c r="C44" s="336"/>
      <c r="D44" s="337"/>
      <c r="E44" s="337"/>
      <c r="F44" s="337"/>
      <c r="G44" s="337"/>
    </row>
    <row r="45" customFormat="false" ht="18" hidden="false" customHeight="false" outlineLevel="0" collapsed="false">
      <c r="B45" s="335"/>
      <c r="C45" s="338"/>
      <c r="D45" s="339"/>
      <c r="E45" s="339"/>
      <c r="F45" s="339"/>
      <c r="G45" s="339"/>
    </row>
    <row r="46" customFormat="false" ht="18" hidden="false" customHeight="false" outlineLevel="0" collapsed="false">
      <c r="B46" s="335"/>
      <c r="C46" s="338"/>
      <c r="D46" s="339"/>
      <c r="E46" s="339"/>
      <c r="F46" s="339"/>
      <c r="G46" s="339"/>
    </row>
    <row r="47" customFormat="false" ht="18" hidden="false" customHeight="false" outlineLevel="0" collapsed="false">
      <c r="B47" s="335"/>
      <c r="C47" s="340"/>
      <c r="D47" s="335"/>
      <c r="E47" s="335"/>
      <c r="F47" s="335"/>
      <c r="G47" s="335"/>
    </row>
    <row r="48" customFormat="false" ht="18" hidden="false" customHeight="false" outlineLevel="0" collapsed="false">
      <c r="B48" s="335"/>
      <c r="C48" s="340"/>
      <c r="D48" s="335"/>
      <c r="E48" s="335"/>
      <c r="F48" s="335"/>
      <c r="G48" s="33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13" activeCellId="0" sqref="H13"/>
    </sheetView>
  </sheetViews>
  <sheetFormatPr defaultColWidth="8.796875" defaultRowHeight="18" zeroHeight="false" outlineLevelRow="0" outlineLevelCol="0"/>
  <cols>
    <col collapsed="false" customWidth="false" hidden="false" outlineLevel="0" max="1" min="1" style="308" width="8.8"/>
    <col collapsed="false" customWidth="true" hidden="false" outlineLevel="0" max="3" min="2" style="308" width="16.1"/>
    <col collapsed="false" customWidth="true" hidden="false" outlineLevel="0" max="4" min="4" style="308" width="1.1"/>
    <col collapsed="false" customWidth="true" hidden="false" outlineLevel="0" max="6" min="5" style="308" width="16.1"/>
    <col collapsed="false" customWidth="false" hidden="false" outlineLevel="0" max="16384" min="7" style="308" width="8.8"/>
  </cols>
  <sheetData>
    <row r="2" customFormat="false" ht="18" hidden="false" customHeight="false" outlineLevel="0" collapsed="false">
      <c r="F2" s="47" t="s">
        <v>59</v>
      </c>
    </row>
    <row r="3" customFormat="false" ht="19.5" hidden="false" customHeight="true" outlineLevel="0" collapsed="false">
      <c r="B3" s="341" t="str">
        <f aca="false">'BS(借方)'!E4</f>
        <v>令和8年3月期</v>
      </c>
      <c r="C3" s="341"/>
      <c r="D3" s="341"/>
      <c r="E3" s="341"/>
      <c r="F3" s="341"/>
    </row>
    <row r="4" customFormat="false" ht="22.5" hidden="false" customHeight="true" outlineLevel="0" collapsed="false">
      <c r="B4" s="342" t="s">
        <v>335</v>
      </c>
      <c r="C4" s="343" t="n">
        <f aca="false">SUM(C5:C10)</f>
        <v>293198020</v>
      </c>
      <c r="D4" s="344"/>
      <c r="E4" s="345" t="s">
        <v>336</v>
      </c>
      <c r="F4" s="346" t="n">
        <f aca="false">SUM(F5:F10)</f>
        <v>196854699</v>
      </c>
    </row>
    <row r="5" customFormat="false" ht="22.5" hidden="false" customHeight="true" outlineLevel="0" collapsed="false">
      <c r="B5" s="347" t="s">
        <v>337</v>
      </c>
      <c r="C5" s="29" t="n">
        <f aca="false">'BS(借方)'!E6</f>
        <v>226057309</v>
      </c>
      <c r="D5" s="348"/>
      <c r="E5" s="349" t="s">
        <v>338</v>
      </c>
      <c r="F5" s="350" t="n">
        <f aca="false">'BS (貸方)'!E6</f>
        <v>10296760</v>
      </c>
    </row>
    <row r="6" customFormat="false" ht="22.5" hidden="false" customHeight="true" outlineLevel="0" collapsed="false">
      <c r="B6" s="351" t="s">
        <v>339</v>
      </c>
      <c r="C6" s="220" t="n">
        <f aca="false">'BS(借方)'!E7+'BS(借方)'!E8+'BS(借方)'!E14</f>
        <v>28512083</v>
      </c>
      <c r="D6" s="352"/>
      <c r="E6" s="353" t="s">
        <v>340</v>
      </c>
      <c r="F6" s="354" t="n">
        <f aca="false">'BS (貸方)'!E12</f>
        <v>173076977</v>
      </c>
    </row>
    <row r="7" customFormat="false" ht="22.5" hidden="false" customHeight="true" outlineLevel="0" collapsed="false">
      <c r="B7" s="351" t="s">
        <v>341</v>
      </c>
      <c r="C7" s="220" t="n">
        <f aca="false">'BS(借方)'!E9+'BS(借方)'!E10+'BS(借方)'!E11+'BS(借方)'!E15</f>
        <v>8532000</v>
      </c>
      <c r="D7" s="352"/>
      <c r="E7" s="353" t="s">
        <v>63</v>
      </c>
      <c r="F7" s="354" t="n">
        <f aca="false">'BS (貸方)'!E7+'BS (貸方)'!E8</f>
        <v>7639437</v>
      </c>
    </row>
    <row r="8" customFormat="false" ht="22.5" hidden="false" customHeight="true" outlineLevel="0" collapsed="false">
      <c r="B8" s="351" t="s">
        <v>27</v>
      </c>
      <c r="C8" s="220" t="n">
        <f aca="false">'BS(借方)'!E13</f>
        <v>0</v>
      </c>
      <c r="D8" s="352"/>
      <c r="E8" s="353" t="s">
        <v>258</v>
      </c>
      <c r="F8" s="354" t="n">
        <f aca="false">'BS (貸方)'!E11</f>
        <v>97300</v>
      </c>
    </row>
    <row r="9" customFormat="false" ht="22.5" hidden="false" customHeight="true" outlineLevel="0" collapsed="false">
      <c r="B9" s="351" t="s">
        <v>342</v>
      </c>
      <c r="C9" s="220" t="n">
        <f aca="false">'BS(借方)'!E12+'BS(借方)'!E16</f>
        <v>19218228</v>
      </c>
      <c r="D9" s="352"/>
      <c r="E9" s="353" t="s">
        <v>66</v>
      </c>
      <c r="F9" s="354" t="n">
        <f aca="false">'BS (貸方)'!E10</f>
        <v>794225</v>
      </c>
    </row>
    <row r="10" customFormat="false" ht="22.5" hidden="false" customHeight="true" outlineLevel="0" collapsed="false">
      <c r="B10" s="347" t="s">
        <v>343</v>
      </c>
      <c r="C10" s="29" t="n">
        <f aca="false">'BS(借方)'!E17+'BS(借方)'!E18+'BS(借方)'!E19</f>
        <v>10878400</v>
      </c>
      <c r="D10" s="348"/>
      <c r="E10" s="349" t="s">
        <v>343</v>
      </c>
      <c r="F10" s="350" t="n">
        <f aca="false">'BS (貸方)'!E9+'BS (貸方)'!E13+'BS (貸方)'!E14+'BS (貸方)'!E15+'BS (貸方)'!E16+'BS (貸方)'!E17</f>
        <v>4950000</v>
      </c>
    </row>
    <row r="11" customFormat="false" ht="22.5" hidden="false" customHeight="true" outlineLevel="0" collapsed="false">
      <c r="B11" s="345" t="s">
        <v>344</v>
      </c>
      <c r="C11" s="355" t="n">
        <f aca="false">SUM(C12:C20)</f>
        <v>503310970</v>
      </c>
      <c r="D11" s="348"/>
      <c r="E11" s="345" t="s">
        <v>345</v>
      </c>
      <c r="F11" s="356" t="n">
        <f aca="false">SUM(F12:F14)</f>
        <v>272745529</v>
      </c>
    </row>
    <row r="12" customFormat="false" ht="22.5" hidden="false" customHeight="true" outlineLevel="0" collapsed="false">
      <c r="B12" s="351" t="s">
        <v>35</v>
      </c>
      <c r="C12" s="220" t="n">
        <f aca="false">'BS(借方)'!E22</f>
        <v>118721091</v>
      </c>
      <c r="D12" s="352"/>
      <c r="E12" s="353" t="s">
        <v>346</v>
      </c>
      <c r="F12" s="354" t="n">
        <f aca="false">'BS (貸方)'!E19</f>
        <v>272745529</v>
      </c>
    </row>
    <row r="13" customFormat="false" ht="22.5" hidden="false" customHeight="true" outlineLevel="0" collapsed="false">
      <c r="B13" s="351" t="s">
        <v>36</v>
      </c>
      <c r="C13" s="220" t="n">
        <f aca="false">'BS(借方)'!E23</f>
        <v>20091490</v>
      </c>
      <c r="D13" s="352"/>
      <c r="E13" s="353" t="s">
        <v>347</v>
      </c>
      <c r="F13" s="354"/>
    </row>
    <row r="14" customFormat="false" ht="22.5" hidden="false" customHeight="true" outlineLevel="0" collapsed="false">
      <c r="B14" s="351" t="s">
        <v>40</v>
      </c>
      <c r="C14" s="220" t="n">
        <f aca="false">'BS(借方)'!E27</f>
        <v>908754</v>
      </c>
      <c r="D14" s="352"/>
      <c r="E14" s="353" t="s">
        <v>343</v>
      </c>
      <c r="F14" s="354" t="n">
        <f aca="false">'BS (貸方)'!E20+'BS (貸方)'!E21+'BS (貸方)'!E22+'BS (貸方)'!E23+'BS (貸方)'!E24</f>
        <v>0</v>
      </c>
    </row>
    <row r="15" customFormat="false" ht="22.5" hidden="false" customHeight="true" outlineLevel="0" collapsed="false">
      <c r="B15" s="351" t="s">
        <v>42</v>
      </c>
      <c r="C15" s="220" t="n">
        <f aca="false">'BS(借方)'!E29</f>
        <v>345029626</v>
      </c>
      <c r="D15" s="352"/>
      <c r="E15" s="357" t="s">
        <v>72</v>
      </c>
      <c r="F15" s="358" t="n">
        <f aca="false">F4+F11</f>
        <v>469600228</v>
      </c>
    </row>
    <row r="16" customFormat="false" ht="22.5" hidden="false" customHeight="true" outlineLevel="0" collapsed="false">
      <c r="B16" s="351" t="s">
        <v>45</v>
      </c>
      <c r="C16" s="220" t="n">
        <f aca="false">'BS(借方)'!E36</f>
        <v>0</v>
      </c>
      <c r="D16" s="352"/>
      <c r="E16" s="353"/>
      <c r="F16" s="354"/>
    </row>
    <row r="17" customFormat="false" ht="22.5" hidden="false" customHeight="true" outlineLevel="0" collapsed="false">
      <c r="B17" s="351" t="s">
        <v>348</v>
      </c>
      <c r="C17" s="220" t="n">
        <v>0</v>
      </c>
      <c r="D17" s="352"/>
      <c r="E17" s="353" t="s">
        <v>75</v>
      </c>
      <c r="F17" s="354" t="n">
        <f aca="false">'BS (貸方)'!E36</f>
        <v>500000</v>
      </c>
    </row>
    <row r="18" customFormat="false" ht="22.5" hidden="false" customHeight="true" outlineLevel="0" collapsed="false">
      <c r="B18" s="351" t="s">
        <v>51</v>
      </c>
      <c r="C18" s="220" t="n">
        <f aca="false">'BS(借方)'!E49</f>
        <v>0</v>
      </c>
      <c r="D18" s="352"/>
      <c r="E18" s="353" t="s">
        <v>349</v>
      </c>
      <c r="F18" s="354" t="n">
        <f aca="false">'BS (貸方)'!E43</f>
        <v>321408762</v>
      </c>
    </row>
    <row r="19" customFormat="false" ht="22.5" hidden="false" customHeight="true" outlineLevel="0" collapsed="false">
      <c r="B19" s="351" t="s">
        <v>52</v>
      </c>
      <c r="C19" s="220" t="n">
        <f aca="false">'BS(借方)'!E50</f>
        <v>0</v>
      </c>
      <c r="D19" s="352"/>
      <c r="E19" s="353" t="s">
        <v>343</v>
      </c>
      <c r="F19" s="354" t="n">
        <f aca="false">'BS (貸方)'!E39</f>
        <v>5000000</v>
      </c>
    </row>
    <row r="20" customFormat="false" ht="22.5" hidden="false" customHeight="true" outlineLevel="0" collapsed="false">
      <c r="B20" s="351" t="s">
        <v>343</v>
      </c>
      <c r="C20" s="220" t="n">
        <f aca="false">'BS(借方)'!E24+'BS(借方)'!E25+'BS(借方)'!E26+'BS(借方)'!E28+'BS(借方)'!E30+'BS(借方)'!E37+'BS(借方)'!E38+'BS(借方)'!E47+'BS(借方)'!E48+'BS(借方)'!E51+'BS(借方)'!E52</f>
        <v>18560009</v>
      </c>
      <c r="D20" s="352"/>
      <c r="E20" s="359" t="s">
        <v>83</v>
      </c>
      <c r="F20" s="360" t="n">
        <f aca="false">SUM(F17:F19)</f>
        <v>326908762</v>
      </c>
    </row>
    <row r="21" customFormat="false" ht="22.5" hidden="false" customHeight="true" outlineLevel="0" collapsed="false">
      <c r="B21" s="359" t="s">
        <v>57</v>
      </c>
      <c r="C21" s="361" t="n">
        <f aca="false">C4+C11</f>
        <v>796508990</v>
      </c>
      <c r="D21" s="352"/>
      <c r="E21" s="359" t="s">
        <v>84</v>
      </c>
      <c r="F21" s="360" t="n">
        <f aca="false">F15+F20</f>
        <v>796508990</v>
      </c>
    </row>
    <row r="22" customFormat="false" ht="18" hidden="false" customHeight="false" outlineLevel="0" collapsed="false">
      <c r="B22" s="359" t="s">
        <v>350</v>
      </c>
      <c r="C22" s="362" t="n">
        <f aca="false">EXACT(C21,F21)</f>
        <v>1</v>
      </c>
      <c r="F22" s="362"/>
    </row>
    <row r="23" customFormat="false" ht="18" hidden="false" customHeight="false" outlineLevel="0" collapsed="false">
      <c r="C23" s="362"/>
      <c r="F23" s="362"/>
    </row>
    <row r="24" customFormat="false" ht="18" hidden="false" customHeight="false" outlineLevel="0" collapsed="false">
      <c r="C24" s="362"/>
      <c r="F24" s="362"/>
    </row>
    <row r="25" customFormat="false" ht="18" hidden="false" customHeight="false" outlineLevel="0" collapsed="false">
      <c r="C25" s="362"/>
      <c r="F25" s="362"/>
    </row>
    <row r="26" customFormat="false" ht="18" hidden="false" customHeight="false" outlineLevel="0" collapsed="false">
      <c r="C26" s="362"/>
      <c r="F26" s="362"/>
    </row>
    <row r="27" customFormat="false" ht="18" hidden="false" customHeight="false" outlineLevel="0" collapsed="false">
      <c r="C27" s="362"/>
      <c r="F27" s="362"/>
    </row>
    <row r="28" customFormat="false" ht="18" hidden="false" customHeight="false" outlineLevel="0" collapsed="false">
      <c r="C28" s="362"/>
      <c r="F28" s="362"/>
    </row>
    <row r="29" customFormat="false" ht="18" hidden="false" customHeight="false" outlineLevel="0" collapsed="false">
      <c r="C29" s="362"/>
      <c r="F29" s="362"/>
    </row>
    <row r="30" customFormat="false" ht="18" hidden="false" customHeight="false" outlineLevel="0" collapsed="false">
      <c r="C30" s="362"/>
      <c r="F30" s="362"/>
    </row>
    <row r="31" customFormat="false" ht="18" hidden="false" customHeight="false" outlineLevel="0" collapsed="false">
      <c r="C31" s="362"/>
      <c r="F31" s="362"/>
    </row>
    <row r="32" customFormat="false" ht="18" hidden="false" customHeight="false" outlineLevel="0" collapsed="false">
      <c r="C32" s="362"/>
      <c r="F32" s="362"/>
    </row>
    <row r="33" customFormat="false" ht="18" hidden="false" customHeight="false" outlineLevel="0" collapsed="false">
      <c r="C33" s="362"/>
      <c r="F33" s="362"/>
    </row>
    <row r="34" customFormat="false" ht="18" hidden="false" customHeight="false" outlineLevel="0" collapsed="false">
      <c r="C34" s="362"/>
      <c r="F34" s="362"/>
    </row>
    <row r="35" customFormat="false" ht="18" hidden="false" customHeight="false" outlineLevel="0" collapsed="false">
      <c r="C35" s="362"/>
      <c r="F35" s="362"/>
    </row>
    <row r="36" customFormat="false" ht="18" hidden="false" customHeight="false" outlineLevel="0" collapsed="false">
      <c r="C36" s="362"/>
      <c r="F36" s="362"/>
    </row>
    <row r="37" customFormat="false" ht="18" hidden="false" customHeight="false" outlineLevel="0" collapsed="false">
      <c r="C37" s="362"/>
      <c r="F37" s="362"/>
    </row>
    <row r="38" customFormat="false" ht="18" hidden="false" customHeight="false" outlineLevel="0" collapsed="false">
      <c r="C38" s="362"/>
      <c r="F38" s="362"/>
    </row>
    <row r="39" customFormat="false" ht="18" hidden="false" customHeight="false" outlineLevel="0" collapsed="false">
      <c r="F39" s="362"/>
    </row>
    <row r="40" customFormat="false" ht="18" hidden="false" customHeight="false" outlineLevel="0" collapsed="false">
      <c r="F40" s="362"/>
    </row>
    <row r="41" customFormat="false" ht="18" hidden="false" customHeight="false" outlineLevel="0" collapsed="false">
      <c r="F41" s="362"/>
    </row>
    <row r="42" customFormat="false" ht="18" hidden="false" customHeight="false" outlineLevel="0" collapsed="false">
      <c r="F42" s="362"/>
    </row>
    <row r="43" customFormat="false" ht="18" hidden="false" customHeight="false" outlineLevel="0" collapsed="false">
      <c r="F43" s="362"/>
    </row>
    <row r="44" customFormat="false" ht="18" hidden="false" customHeight="false" outlineLevel="0" collapsed="false">
      <c r="F44" s="362"/>
    </row>
    <row r="45" customFormat="false" ht="18" hidden="false" customHeight="false" outlineLevel="0" collapsed="false">
      <c r="F45" s="362"/>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96875" defaultRowHeight="18" zeroHeight="false" outlineLevelRow="0" outlineLevelCol="0"/>
  <cols>
    <col collapsed="false" customWidth="true" hidden="false" outlineLevel="0" max="1" min="1" style="308" width="3.8"/>
    <col collapsed="false" customWidth="true" hidden="false" outlineLevel="0" max="2" min="2" style="308" width="4.4"/>
    <col collapsed="false" customWidth="true" hidden="false" outlineLevel="0" max="4" min="3" style="308" width="30.4"/>
    <col collapsed="false" customWidth="true" hidden="false" outlineLevel="0" max="5" min="5" style="308" width="16.1"/>
    <col collapsed="false" customWidth="true" hidden="false" outlineLevel="0" max="6" min="6" style="308" width="19.1"/>
    <col collapsed="false" customWidth="true" hidden="false" outlineLevel="0" max="7" min="7" style="308" width="11.5"/>
    <col collapsed="false" customWidth="true" hidden="false" outlineLevel="0" max="8" min="8" style="308" width="8.5"/>
    <col collapsed="false" customWidth="true" hidden="false" outlineLevel="0" max="9" min="9" style="308" width="11.5"/>
    <col collapsed="false" customWidth="true" hidden="false" outlineLevel="0" max="10" min="10" style="308" width="8.5"/>
    <col collapsed="false" customWidth="true" hidden="false" outlineLevel="0" max="11" min="11" style="308" width="11.5"/>
    <col collapsed="false" customWidth="true" hidden="false" outlineLevel="0" max="12" min="12" style="308" width="8.5"/>
    <col collapsed="false" customWidth="true" hidden="false" outlineLevel="0" max="13" min="13" style="308" width="31.5"/>
    <col collapsed="false" customWidth="false" hidden="false" outlineLevel="0" max="16384" min="14" style="308" width="8.8"/>
  </cols>
  <sheetData>
    <row r="2" customFormat="false" ht="18" hidden="false" customHeight="false" outlineLevel="0" collapsed="false">
      <c r="L2" s="47" t="s">
        <v>59</v>
      </c>
    </row>
    <row r="3" customFormat="false" ht="18.75" hidden="false" customHeight="true" outlineLevel="0" collapsed="false">
      <c r="B3" s="363" t="s">
        <v>223</v>
      </c>
      <c r="C3" s="25" t="s">
        <v>351</v>
      </c>
      <c r="D3" s="25" t="s">
        <v>352</v>
      </c>
      <c r="E3" s="25" t="s">
        <v>306</v>
      </c>
      <c r="F3" s="25" t="s">
        <v>353</v>
      </c>
      <c r="G3" s="25" t="str">
        <f aca="false">'BS(借方)'!C4</f>
        <v>令和6年3月期</v>
      </c>
      <c r="H3" s="25"/>
      <c r="I3" s="25" t="str">
        <f aca="false">'BS(借方)'!D4</f>
        <v>令和7年3月期</v>
      </c>
      <c r="J3" s="25"/>
      <c r="K3" s="25" t="str">
        <f aca="false">'BS(借方)'!E4</f>
        <v>令和8年3月期</v>
      </c>
      <c r="L3" s="25"/>
      <c r="M3" s="108" t="s">
        <v>236</v>
      </c>
    </row>
    <row r="4" customFormat="false" ht="18.75" hidden="false" customHeight="true" outlineLevel="0" collapsed="false">
      <c r="B4" s="363"/>
      <c r="C4" s="363"/>
      <c r="D4" s="363"/>
      <c r="E4" s="363"/>
      <c r="F4" s="363"/>
      <c r="G4" s="109" t="s">
        <v>91</v>
      </c>
      <c r="H4" s="109" t="s">
        <v>354</v>
      </c>
      <c r="I4" s="109" t="s">
        <v>91</v>
      </c>
      <c r="J4" s="109" t="s">
        <v>354</v>
      </c>
      <c r="K4" s="109" t="s">
        <v>91</v>
      </c>
      <c r="L4" s="109" t="s">
        <v>354</v>
      </c>
      <c r="M4" s="108"/>
    </row>
    <row r="5" customFormat="false" ht="23.25" hidden="false" customHeight="true" outlineLevel="0" collapsed="false">
      <c r="B5" s="364" t="n">
        <v>1</v>
      </c>
      <c r="C5" s="310" t="s">
        <v>355</v>
      </c>
      <c r="D5" s="310" t="s">
        <v>356</v>
      </c>
      <c r="E5" s="310" t="s">
        <v>357</v>
      </c>
      <c r="F5" s="310" t="s">
        <v>358</v>
      </c>
      <c r="G5" s="365" t="n">
        <v>92068073</v>
      </c>
      <c r="H5" s="91" t="n">
        <f aca="false">IFERROR(G5/G$16,"")</f>
        <v>0.240111237333916</v>
      </c>
      <c r="I5" s="365" t="n">
        <v>90651247</v>
      </c>
      <c r="J5" s="91" t="n">
        <f aca="false">IFERROR(I5/I$16,"")</f>
        <v>0.0736505034292832</v>
      </c>
      <c r="K5" s="365" t="n">
        <v>99971894</v>
      </c>
      <c r="L5" s="91" t="n">
        <f aca="false">IFERROR(K5/K$16,"")</f>
        <v>0.313059444587765</v>
      </c>
      <c r="M5" s="38" t="s">
        <v>359</v>
      </c>
    </row>
    <row r="6" customFormat="false" ht="23.25" hidden="false" customHeight="true" outlineLevel="0" collapsed="false">
      <c r="B6" s="366" t="n">
        <v>2</v>
      </c>
      <c r="C6" s="310" t="s">
        <v>185</v>
      </c>
      <c r="D6" s="310" t="s">
        <v>356</v>
      </c>
      <c r="E6" s="310" t="s">
        <v>360</v>
      </c>
      <c r="F6" s="310" t="s">
        <v>358</v>
      </c>
      <c r="G6" s="365" t="n">
        <v>88621416</v>
      </c>
      <c r="H6" s="91" t="n">
        <f aca="false">IFERROR(G6/G$16,"")</f>
        <v>0.231122441870199</v>
      </c>
      <c r="I6" s="365" t="n">
        <v>99543252</v>
      </c>
      <c r="J6" s="91" t="n">
        <f aca="false">IFERROR(I6/I$16,"")</f>
        <v>0.0808749009573801</v>
      </c>
      <c r="K6" s="365" t="n">
        <v>87917532</v>
      </c>
      <c r="L6" s="91" t="n">
        <f aca="false">IFERROR(K6/K$16,"")</f>
        <v>0.275311516429278</v>
      </c>
      <c r="M6" s="367" t="s">
        <v>361</v>
      </c>
    </row>
    <row r="7" customFormat="false" ht="23.25" hidden="false" customHeight="true" outlineLevel="0" collapsed="false">
      <c r="B7" s="368" t="n">
        <v>3</v>
      </c>
      <c r="C7" s="310" t="s">
        <v>362</v>
      </c>
      <c r="D7" s="310" t="s">
        <v>363</v>
      </c>
      <c r="E7" s="310" t="s">
        <v>364</v>
      </c>
      <c r="F7" s="310" t="s">
        <v>358</v>
      </c>
      <c r="G7" s="365" t="n">
        <v>85043304</v>
      </c>
      <c r="H7" s="91" t="n">
        <f aca="false">IFERROR(G7/G$16,"")</f>
        <v>0.221790815046214</v>
      </c>
      <c r="I7" s="365" t="n">
        <v>89094125</v>
      </c>
      <c r="J7" s="91" t="n">
        <f aca="false">IFERROR(I7/I$16,"")</f>
        <v>0.0723854042387468</v>
      </c>
      <c r="K7" s="365" t="n">
        <v>91286307</v>
      </c>
      <c r="L7" s="91" t="n">
        <f aca="false">IFERROR(K7/K$16,"")</f>
        <v>0.285860749701193</v>
      </c>
      <c r="M7" s="367" t="s">
        <v>365</v>
      </c>
    </row>
    <row r="8" customFormat="false" ht="23.25" hidden="false" customHeight="true" outlineLevel="0" collapsed="false">
      <c r="B8" s="366" t="n">
        <v>4</v>
      </c>
      <c r="C8" s="310" t="s">
        <v>366</v>
      </c>
      <c r="D8" s="310" t="s">
        <v>356</v>
      </c>
      <c r="E8" s="310" t="s">
        <v>367</v>
      </c>
      <c r="F8" s="310" t="s">
        <v>358</v>
      </c>
      <c r="G8" s="365" t="n">
        <v>54918195</v>
      </c>
      <c r="H8" s="91" t="n">
        <f aca="false">IFERROR(G8/G$16,"")</f>
        <v>0.143225282379868</v>
      </c>
      <c r="I8" s="365" t="n">
        <v>0</v>
      </c>
      <c r="J8" s="91" t="n">
        <f aca="false">IFERROR(I8/I$16,"")</f>
        <v>0</v>
      </c>
      <c r="K8" s="365" t="n">
        <v>0</v>
      </c>
      <c r="L8" s="91" t="n">
        <f aca="false">IFERROR(K8/K$16,"")</f>
        <v>0</v>
      </c>
      <c r="M8" s="367" t="s">
        <v>368</v>
      </c>
    </row>
    <row r="9" customFormat="false" ht="23.25" hidden="false" customHeight="true" outlineLevel="0" collapsed="false">
      <c r="B9" s="368" t="n">
        <v>5</v>
      </c>
      <c r="C9" s="310" t="s">
        <v>369</v>
      </c>
      <c r="D9" s="310" t="s">
        <v>370</v>
      </c>
      <c r="E9" s="310" t="s">
        <v>19</v>
      </c>
      <c r="F9" s="310" t="s">
        <v>371</v>
      </c>
      <c r="G9" s="365" t="n">
        <v>25967085</v>
      </c>
      <c r="H9" s="91" t="n">
        <f aca="false">IFERROR(G9/G$16,"")</f>
        <v>0.0677215098148624</v>
      </c>
      <c r="I9" s="365" t="n">
        <v>42088346</v>
      </c>
      <c r="J9" s="91" t="n">
        <f aca="false">IFERROR(I9/I$16,"")</f>
        <v>0.034195093547978</v>
      </c>
      <c r="K9" s="365" t="n">
        <v>7427382</v>
      </c>
      <c r="L9" s="91" t="n">
        <f aca="false">IFERROR(K9/K$16,"")</f>
        <v>0.0232586579150052</v>
      </c>
      <c r="M9" s="367" t="s">
        <v>372</v>
      </c>
    </row>
    <row r="10" customFormat="false" ht="23.25" hidden="false" customHeight="true" outlineLevel="0" collapsed="false">
      <c r="B10" s="366" t="n">
        <v>6</v>
      </c>
      <c r="C10" s="310" t="s">
        <v>373</v>
      </c>
      <c r="D10" s="310" t="s">
        <v>374</v>
      </c>
      <c r="E10" s="310" t="s">
        <v>375</v>
      </c>
      <c r="F10" s="310" t="s">
        <v>376</v>
      </c>
      <c r="G10" s="365" t="n">
        <v>9099750</v>
      </c>
      <c r="H10" s="91" t="n">
        <f aca="false">IFERROR(G10/G$16,"")</f>
        <v>0.023731920966015</v>
      </c>
      <c r="I10" s="365" t="n">
        <v>11706000</v>
      </c>
      <c r="J10" s="91" t="n">
        <f aca="false">IFERROR(I10/I$16,"")</f>
        <v>0.00951065563547282</v>
      </c>
      <c r="K10" s="365" t="n">
        <v>6032250</v>
      </c>
      <c r="L10" s="91" t="n">
        <f aca="false">IFERROR(K10/K$16,"")</f>
        <v>0.0188898375238799</v>
      </c>
      <c r="M10" s="367"/>
    </row>
    <row r="11" customFormat="false" ht="23.25" hidden="false" customHeight="true" outlineLevel="0" collapsed="false">
      <c r="B11" s="368" t="n">
        <v>7</v>
      </c>
      <c r="C11" s="310" t="s">
        <v>377</v>
      </c>
      <c r="D11" s="310" t="s">
        <v>378</v>
      </c>
      <c r="E11" s="310" t="s">
        <v>19</v>
      </c>
      <c r="F11" s="310" t="s">
        <v>19</v>
      </c>
      <c r="G11" s="365" t="n">
        <v>5750360</v>
      </c>
      <c r="H11" s="91" t="n">
        <f aca="false">IFERROR(G11/G$16,"")</f>
        <v>0.014996795411537</v>
      </c>
      <c r="I11" s="365" t="n">
        <v>5672510</v>
      </c>
      <c r="J11" s="91" t="n">
        <f aca="false">IFERROR(I11/I$16,"")</f>
        <v>0.00460868692967503</v>
      </c>
      <c r="K11" s="365" t="n">
        <v>2033260</v>
      </c>
      <c r="L11" s="91" t="n">
        <f aca="false">IFERROR(K11/K$16,"")</f>
        <v>0.00636710200071351</v>
      </c>
      <c r="M11" s="367"/>
    </row>
    <row r="12" customFormat="false" ht="23.25" hidden="false" customHeight="true" outlineLevel="0" collapsed="false">
      <c r="B12" s="366" t="n">
        <v>8</v>
      </c>
      <c r="C12" s="310" t="s">
        <v>379</v>
      </c>
      <c r="D12" s="310" t="s">
        <v>380</v>
      </c>
      <c r="E12" s="310" t="s">
        <v>381</v>
      </c>
      <c r="F12" s="310" t="s">
        <v>382</v>
      </c>
      <c r="G12" s="365" t="n">
        <v>16633646</v>
      </c>
      <c r="H12" s="91" t="n">
        <f aca="false">IFERROR(G12/G$16,"")</f>
        <v>0.0433801337672653</v>
      </c>
      <c r="I12" s="365" t="n">
        <v>16832410</v>
      </c>
      <c r="J12" s="91" t="n">
        <f aca="false">IFERROR(I12/I$16,"")</f>
        <v>0.0136756582116085</v>
      </c>
      <c r="K12" s="365" t="n">
        <v>1635396</v>
      </c>
      <c r="L12" s="91" t="n">
        <f aca="false">IFERROR(K12/K$16,"")</f>
        <v>0.00512120099916335</v>
      </c>
      <c r="M12" s="367" t="s">
        <v>383</v>
      </c>
    </row>
    <row r="13" customFormat="false" ht="23.25" hidden="false" customHeight="true" outlineLevel="0" collapsed="false">
      <c r="B13" s="368" t="n">
        <v>9</v>
      </c>
      <c r="C13" s="310" t="s">
        <v>384</v>
      </c>
      <c r="D13" s="310" t="s">
        <v>385</v>
      </c>
      <c r="E13" s="310" t="s">
        <v>381</v>
      </c>
      <c r="F13" s="310" t="s">
        <v>386</v>
      </c>
      <c r="G13" s="365" t="n">
        <v>0</v>
      </c>
      <c r="H13" s="91" t="n">
        <f aca="false">IFERROR(G13/G$16,"")</f>
        <v>0</v>
      </c>
      <c r="I13" s="365" t="n">
        <v>869200000</v>
      </c>
      <c r="J13" s="91" t="n">
        <f aca="false">IFERROR(I13/I$16,"")</f>
        <v>0.706190148501023</v>
      </c>
      <c r="K13" s="365" t="n">
        <v>0</v>
      </c>
      <c r="L13" s="91" t="n">
        <f aca="false">IFERROR(K13/K$16,"")</f>
        <v>0</v>
      </c>
      <c r="M13" s="367" t="s">
        <v>387</v>
      </c>
    </row>
    <row r="14" customFormat="false" ht="23.25" hidden="false" customHeight="true" outlineLevel="0" collapsed="false">
      <c r="B14" s="366" t="n">
        <v>10</v>
      </c>
      <c r="C14" s="310" t="s">
        <v>90</v>
      </c>
      <c r="D14" s="310" t="s">
        <v>388</v>
      </c>
      <c r="E14" s="310" t="s">
        <v>19</v>
      </c>
      <c r="F14" s="310" t="s">
        <v>19</v>
      </c>
      <c r="G14" s="365" t="n">
        <v>0</v>
      </c>
      <c r="H14" s="91" t="n">
        <f aca="false">IFERROR(G14/G$16,"")</f>
        <v>0</v>
      </c>
      <c r="I14" s="365" t="n">
        <v>0</v>
      </c>
      <c r="J14" s="91" t="n">
        <f aca="false">IFERROR(I14/I$16,"")</f>
        <v>0</v>
      </c>
      <c r="K14" s="365" t="n">
        <v>14000000</v>
      </c>
      <c r="L14" s="91" t="n">
        <f aca="false">IFERROR(K14/K$16,"")</f>
        <v>0.0438406440937161</v>
      </c>
      <c r="M14" s="367" t="s">
        <v>389</v>
      </c>
    </row>
    <row r="15" customFormat="false" ht="23.25" hidden="false" customHeight="true" outlineLevel="0" collapsed="false">
      <c r="B15" s="369"/>
      <c r="C15" s="370" t="s">
        <v>390</v>
      </c>
      <c r="D15" s="370"/>
      <c r="E15" s="370"/>
      <c r="F15" s="370"/>
      <c r="G15" s="365" t="n">
        <v>5337422</v>
      </c>
      <c r="H15" s="91" t="n">
        <f aca="false">IFERROR(G15/G$16,"")</f>
        <v>0.0139198634101233</v>
      </c>
      <c r="I15" s="365" t="n">
        <v>6042081</v>
      </c>
      <c r="J15" s="91" t="n">
        <f aca="false">IFERROR(I15/I$16,"")</f>
        <v>0.0049089485488325</v>
      </c>
      <c r="K15" s="365" t="n">
        <v>9034353</v>
      </c>
      <c r="L15" s="91" t="n">
        <f aca="false">IFERROR(K15/K$16,"")</f>
        <v>0.0282908467492854</v>
      </c>
      <c r="M15" s="367"/>
    </row>
    <row r="16" customFormat="false" ht="23.25" hidden="false" customHeight="true" outlineLevel="0" collapsed="false">
      <c r="B16" s="371"/>
      <c r="C16" s="372" t="s">
        <v>131</v>
      </c>
      <c r="D16" s="372"/>
      <c r="E16" s="372"/>
      <c r="F16" s="372"/>
      <c r="G16" s="373" t="n">
        <f aca="false">SUM(G5:G15)</f>
        <v>383439251</v>
      </c>
      <c r="H16" s="374" t="n">
        <f aca="false">SUM(H5:H15)</f>
        <v>1</v>
      </c>
      <c r="I16" s="373" t="n">
        <f aca="false">SUM(I5:I15)</f>
        <v>1230829971</v>
      </c>
      <c r="J16" s="374" t="n">
        <f aca="false">SUM(J5:J15)</f>
        <v>1</v>
      </c>
      <c r="K16" s="373" t="n">
        <f aca="false">SUM(K5:K15)</f>
        <v>319338374</v>
      </c>
      <c r="L16" s="374" t="n">
        <f aca="false">SUM(L5:L15)</f>
        <v>1</v>
      </c>
      <c r="M16" s="50"/>
    </row>
    <row r="17" customFormat="false" ht="18" hidden="false" customHeight="false" outlineLevel="0" collapsed="false">
      <c r="C17" s="372" t="s">
        <v>391</v>
      </c>
      <c r="G17" s="373" t="n">
        <f aca="false">EXACT(G16,PL!C11)</f>
        <v>1</v>
      </c>
      <c r="I17" s="373" t="n">
        <f aca="false">EXACT(I16,PL!E11)</f>
        <v>1</v>
      </c>
      <c r="K17" s="373" t="n">
        <f aca="false">EXACT(K16,PL!G11)</f>
        <v>1</v>
      </c>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96875" defaultRowHeight="18" zeroHeight="false" outlineLevelRow="0" outlineLevelCol="0"/>
  <cols>
    <col collapsed="false" customWidth="true" hidden="false" outlineLevel="0" max="1" min="1" style="308" width="3.8"/>
    <col collapsed="false" customWidth="true" hidden="false" outlineLevel="0" max="2" min="2" style="308" width="4.4"/>
    <col collapsed="false" customWidth="true" hidden="false" outlineLevel="0" max="4" min="3" style="308" width="30.4"/>
    <col collapsed="false" customWidth="true" hidden="false" outlineLevel="0" max="5" min="5" style="308" width="16.1"/>
    <col collapsed="false" customWidth="true" hidden="false" outlineLevel="0" max="6" min="6" style="308" width="11.5"/>
    <col collapsed="false" customWidth="true" hidden="false" outlineLevel="0" max="7" min="7" style="308" width="8.5"/>
    <col collapsed="false" customWidth="true" hidden="false" outlineLevel="0" max="8" min="8" style="308" width="11.5"/>
    <col collapsed="false" customWidth="true" hidden="false" outlineLevel="0" max="9" min="9" style="308" width="8.5"/>
    <col collapsed="false" customWidth="true" hidden="false" outlineLevel="0" max="10" min="10" style="308" width="11.5"/>
    <col collapsed="false" customWidth="true" hidden="false" outlineLevel="0" max="11" min="11" style="308" width="8.5"/>
    <col collapsed="false" customWidth="true" hidden="false" outlineLevel="0" max="12" min="12" style="308" width="31.5"/>
    <col collapsed="false" customWidth="false" hidden="false" outlineLevel="0" max="16384" min="13" style="308" width="8.8"/>
  </cols>
  <sheetData>
    <row r="2" customFormat="false" ht="18" hidden="false" customHeight="false" outlineLevel="0" collapsed="false">
      <c r="K2" s="47" t="s">
        <v>59</v>
      </c>
    </row>
    <row r="3" customFormat="false" ht="18.75" hidden="false" customHeight="true" outlineLevel="0" collapsed="false">
      <c r="B3" s="363" t="s">
        <v>223</v>
      </c>
      <c r="C3" s="25" t="s">
        <v>392</v>
      </c>
      <c r="D3" s="25" t="s">
        <v>393</v>
      </c>
      <c r="E3" s="25" t="s">
        <v>306</v>
      </c>
      <c r="F3" s="25" t="str">
        <f aca="false">'BS(借方)'!C4</f>
        <v>令和6年3月期</v>
      </c>
      <c r="G3" s="25"/>
      <c r="H3" s="25" t="str">
        <f aca="false">'BS(借方)'!D4</f>
        <v>令和7年3月期</v>
      </c>
      <c r="I3" s="25"/>
      <c r="J3" s="25" t="str">
        <f aca="false">'BS(借方)'!E4</f>
        <v>令和8年3月期</v>
      </c>
      <c r="K3" s="25"/>
      <c r="L3" s="108" t="s">
        <v>236</v>
      </c>
    </row>
    <row r="4" customFormat="false" ht="18.75" hidden="false" customHeight="true" outlineLevel="0" collapsed="false">
      <c r="B4" s="363"/>
      <c r="C4" s="363"/>
      <c r="D4" s="363"/>
      <c r="E4" s="363"/>
      <c r="F4" s="109" t="s">
        <v>394</v>
      </c>
      <c r="G4" s="109" t="s">
        <v>354</v>
      </c>
      <c r="H4" s="109" t="s">
        <v>394</v>
      </c>
      <c r="I4" s="109" t="s">
        <v>354</v>
      </c>
      <c r="J4" s="109" t="s">
        <v>394</v>
      </c>
      <c r="K4" s="109" t="s">
        <v>354</v>
      </c>
      <c r="L4" s="108"/>
    </row>
    <row r="5" customFormat="false" ht="23.25" hidden="false" customHeight="true" outlineLevel="0" collapsed="false">
      <c r="B5" s="364" t="n">
        <v>1</v>
      </c>
      <c r="C5" s="310" t="s">
        <v>395</v>
      </c>
      <c r="D5" s="310" t="s">
        <v>396</v>
      </c>
      <c r="E5" s="310" t="s">
        <v>199</v>
      </c>
      <c r="F5" s="365" t="n">
        <v>28050300</v>
      </c>
      <c r="G5" s="91" t="n">
        <f aca="false">IFERROR(F5/F$16,"")</f>
        <v>0.265021441233541</v>
      </c>
      <c r="H5" s="365" t="n">
        <v>24442344</v>
      </c>
      <c r="I5" s="91" t="n">
        <f aca="false">IFERROR(H5/H$16,"")</f>
        <v>0.242324579579414</v>
      </c>
      <c r="J5" s="365" t="n">
        <v>21717876</v>
      </c>
      <c r="K5" s="91" t="n">
        <f aca="false">IFERROR(J5/J$16,"")</f>
        <v>0.226213444467355</v>
      </c>
      <c r="L5" s="38" t="s">
        <v>397</v>
      </c>
    </row>
    <row r="6" customFormat="false" ht="23.25" hidden="false" customHeight="true" outlineLevel="0" collapsed="false">
      <c r="B6" s="366" t="n">
        <v>2</v>
      </c>
      <c r="C6" s="310" t="s">
        <v>398</v>
      </c>
      <c r="D6" s="310" t="s">
        <v>399</v>
      </c>
      <c r="E6" s="310" t="s">
        <v>199</v>
      </c>
      <c r="F6" s="365" t="n">
        <v>18268647</v>
      </c>
      <c r="G6" s="91" t="n">
        <f aca="false">IFERROR(F6/F$16,"")</f>
        <v>0.172603614126295</v>
      </c>
      <c r="H6" s="365" t="n">
        <v>17378610</v>
      </c>
      <c r="I6" s="91" t="n">
        <f aca="false">IFERROR(H6/H$16,"")</f>
        <v>0.172293801360647</v>
      </c>
      <c r="J6" s="365" t="n">
        <v>13460004</v>
      </c>
      <c r="K6" s="91" t="n">
        <f aca="false">IFERROR(J6/J$16,"")</f>
        <v>0.140199431444602</v>
      </c>
      <c r="L6" s="367"/>
    </row>
    <row r="7" customFormat="false" ht="23.25" hidden="false" customHeight="true" outlineLevel="0" collapsed="false">
      <c r="B7" s="368" t="n">
        <v>3</v>
      </c>
      <c r="C7" s="310" t="s">
        <v>400</v>
      </c>
      <c r="D7" s="310" t="s">
        <v>401</v>
      </c>
      <c r="E7" s="310" t="s">
        <v>199</v>
      </c>
      <c r="F7" s="365" t="n">
        <v>688192</v>
      </c>
      <c r="G7" s="91" t="n">
        <f aca="false">IFERROR(F7/F$16,"")</f>
        <v>0.00650209215892141</v>
      </c>
      <c r="H7" s="365" t="n">
        <v>1597573</v>
      </c>
      <c r="I7" s="91" t="n">
        <f aca="false">IFERROR(H7/H$16,"")</f>
        <v>0.0158385466456254</v>
      </c>
      <c r="J7" s="365" t="n">
        <v>10441136</v>
      </c>
      <c r="K7" s="91" t="n">
        <f aca="false">IFERROR(J7/J$16,"")</f>
        <v>0.10875489567728</v>
      </c>
      <c r="L7" s="367" t="s">
        <v>402</v>
      </c>
    </row>
    <row r="8" customFormat="false" ht="23.25" hidden="false" customHeight="true" outlineLevel="0" collapsed="false">
      <c r="B8" s="366" t="n">
        <v>4</v>
      </c>
      <c r="C8" s="310" t="s">
        <v>403</v>
      </c>
      <c r="D8" s="310" t="s">
        <v>404</v>
      </c>
      <c r="E8" s="310" t="s">
        <v>199</v>
      </c>
      <c r="F8" s="365" t="n">
        <v>6091895</v>
      </c>
      <c r="G8" s="91" t="n">
        <f aca="false">IFERROR(F8/F$16,"")</f>
        <v>0.0575567032346678</v>
      </c>
      <c r="H8" s="365" t="n">
        <v>5500130</v>
      </c>
      <c r="I8" s="91" t="n">
        <f aca="false">IFERROR(H8/H$16,"")</f>
        <v>0.0545290046601964</v>
      </c>
      <c r="J8" s="365" t="n">
        <v>5972479</v>
      </c>
      <c r="K8" s="91" t="n">
        <f aca="false">IFERROR(J8/J$16,"")</f>
        <v>0.0622093544782622</v>
      </c>
      <c r="L8" s="367"/>
    </row>
    <row r="9" customFormat="false" ht="23.25" hidden="false" customHeight="true" outlineLevel="0" collapsed="false">
      <c r="B9" s="368" t="n">
        <v>5</v>
      </c>
      <c r="C9" s="310" t="s">
        <v>405</v>
      </c>
      <c r="D9" s="310" t="s">
        <v>406</v>
      </c>
      <c r="E9" s="310" t="s">
        <v>199</v>
      </c>
      <c r="F9" s="365" t="n">
        <v>5504018</v>
      </c>
      <c r="G9" s="91" t="n">
        <f aca="false">IFERROR(F9/F$16,"")</f>
        <v>0.0520023950879439</v>
      </c>
      <c r="H9" s="365" t="n">
        <v>5611507</v>
      </c>
      <c r="I9" s="91" t="n">
        <f aca="false">IFERROR(H9/H$16,"")</f>
        <v>0.055633210733878</v>
      </c>
      <c r="J9" s="365" t="n">
        <v>5486964</v>
      </c>
      <c r="K9" s="91" t="n">
        <f aca="false">IFERROR(J9/J$16,"")</f>
        <v>0.0571522291640479</v>
      </c>
      <c r="L9" s="367"/>
    </row>
    <row r="10" customFormat="false" ht="23.25" hidden="false" customHeight="true" outlineLevel="0" collapsed="false">
      <c r="B10" s="366" t="n">
        <v>6</v>
      </c>
      <c r="C10" s="310" t="s">
        <v>407</v>
      </c>
      <c r="D10" s="310" t="s">
        <v>408</v>
      </c>
      <c r="E10" s="310" t="s">
        <v>199</v>
      </c>
      <c r="F10" s="365" t="n">
        <v>4106540</v>
      </c>
      <c r="G10" s="91" t="n">
        <f aca="false">IFERROR(F10/F$16,"")</f>
        <v>0.0387989129985485</v>
      </c>
      <c r="H10" s="365" t="n">
        <v>2967216</v>
      </c>
      <c r="I10" s="91" t="n">
        <f aca="false">IFERROR(H10/H$16,"")</f>
        <v>0.0294173656062328</v>
      </c>
      <c r="J10" s="365" t="n">
        <v>5308617</v>
      </c>
      <c r="K10" s="91" t="n">
        <f aca="false">IFERROR(J10/J$16,"")</f>
        <v>0.0552945664174506</v>
      </c>
      <c r="L10" s="367"/>
    </row>
    <row r="11" customFormat="false" ht="23.25" hidden="false" customHeight="true" outlineLevel="0" collapsed="false">
      <c r="B11" s="368" t="n">
        <v>7</v>
      </c>
      <c r="C11" s="310" t="s">
        <v>409</v>
      </c>
      <c r="D11" s="310" t="s">
        <v>410</v>
      </c>
      <c r="E11" s="310" t="s">
        <v>199</v>
      </c>
      <c r="F11" s="365" t="n">
        <v>9004353</v>
      </c>
      <c r="G11" s="91" t="n">
        <f aca="false">IFERROR(F11/F$16,"")</f>
        <v>0.0850738355538287</v>
      </c>
      <c r="H11" s="365" t="n">
        <v>7160014</v>
      </c>
      <c r="I11" s="91" t="n">
        <f aca="false">IFERROR(H11/H$16,"")</f>
        <v>0.0709853106695789</v>
      </c>
      <c r="J11" s="365" t="n">
        <v>5172411</v>
      </c>
      <c r="K11" s="91" t="n">
        <f aca="false">IFERROR(J11/J$16,"")</f>
        <v>0.0538758444200914</v>
      </c>
      <c r="L11" s="367" t="s">
        <v>411</v>
      </c>
    </row>
    <row r="12" customFormat="false" ht="23.25" hidden="false" customHeight="true" outlineLevel="0" collapsed="false">
      <c r="B12" s="366" t="n">
        <v>8</v>
      </c>
      <c r="C12" s="310" t="s">
        <v>412</v>
      </c>
      <c r="D12" s="310" t="s">
        <v>404</v>
      </c>
      <c r="E12" s="310" t="s">
        <v>199</v>
      </c>
      <c r="F12" s="365" t="n">
        <v>325567</v>
      </c>
      <c r="G12" s="91" t="n">
        <f aca="false">IFERROR(F12/F$16,"")</f>
        <v>0.00307598262970736</v>
      </c>
      <c r="H12" s="365" t="n">
        <v>4605130</v>
      </c>
      <c r="I12" s="91" t="n">
        <f aca="false">IFERROR(H12/H$16,"")</f>
        <v>0.0456558581762268</v>
      </c>
      <c r="J12" s="365" t="n">
        <v>4179115</v>
      </c>
      <c r="K12" s="91" t="n">
        <f aca="false">IFERROR(J12/J$16,"")</f>
        <v>0.0435296710863986</v>
      </c>
      <c r="L12" s="367"/>
    </row>
    <row r="13" customFormat="false" ht="23.25" hidden="false" customHeight="true" outlineLevel="0" collapsed="false">
      <c r="B13" s="368" t="n">
        <v>9</v>
      </c>
      <c r="C13" s="310" t="s">
        <v>413</v>
      </c>
      <c r="D13" s="310" t="s">
        <v>404</v>
      </c>
      <c r="E13" s="310" t="s">
        <v>199</v>
      </c>
      <c r="F13" s="365" t="n">
        <v>4564800</v>
      </c>
      <c r="G13" s="91" t="n">
        <f aca="false">IFERROR(F13/F$16,"")</f>
        <v>0.043128589531765</v>
      </c>
      <c r="H13" s="365" t="n">
        <v>2963500</v>
      </c>
      <c r="I13" s="91" t="n">
        <f aca="false">IFERROR(H13/H$16,"")</f>
        <v>0.0293805246985966</v>
      </c>
      <c r="J13" s="365" t="n">
        <v>3629600</v>
      </c>
      <c r="K13" s="91" t="n">
        <f aca="false">IFERROR(J13/J$16,"")</f>
        <v>0.0378059216305827</v>
      </c>
      <c r="L13" s="367"/>
    </row>
    <row r="14" customFormat="false" ht="23.25" hidden="false" customHeight="true" outlineLevel="0" collapsed="false">
      <c r="B14" s="366" t="n">
        <v>10</v>
      </c>
      <c r="C14" s="310" t="s">
        <v>414</v>
      </c>
      <c r="D14" s="310" t="s">
        <v>408</v>
      </c>
      <c r="E14" s="310" t="s">
        <v>199</v>
      </c>
      <c r="F14" s="365" t="n">
        <v>3036394</v>
      </c>
      <c r="G14" s="91" t="n">
        <f aca="false">IFERROR(F14/F$16,"")</f>
        <v>0.0286880893977204</v>
      </c>
      <c r="H14" s="365" t="n">
        <v>3191147</v>
      </c>
      <c r="I14" s="91" t="n">
        <f aca="false">IFERROR(H14/H$16,"")</f>
        <v>0.0316374466847823</v>
      </c>
      <c r="J14" s="365" t="n">
        <v>2533914</v>
      </c>
      <c r="K14" s="91" t="n">
        <f aca="false">IFERROR(J14/J$16,"")</f>
        <v>0.0263932538303494</v>
      </c>
      <c r="L14" s="367"/>
    </row>
    <row r="15" customFormat="false" ht="23.25" hidden="false" customHeight="true" outlineLevel="0" collapsed="false">
      <c r="B15" s="280"/>
      <c r="C15" s="370" t="s">
        <v>415</v>
      </c>
      <c r="D15" s="370"/>
      <c r="E15" s="370"/>
      <c r="F15" s="365" t="n">
        <v>26200919</v>
      </c>
      <c r="G15" s="91" t="n">
        <f aca="false">IFERROR(F15/F$16,"")</f>
        <v>0.247548344047061</v>
      </c>
      <c r="H15" s="365" t="n">
        <v>25448965</v>
      </c>
      <c r="I15" s="91" t="n">
        <f aca="false">IFERROR(H15/H$16,"")</f>
        <v>0.252304351184822</v>
      </c>
      <c r="J15" s="365" t="n">
        <v>18104008</v>
      </c>
      <c r="K15" s="91" t="n">
        <f aca="false">IFERROR(J15/J$16,"")</f>
        <v>0.18857138738358</v>
      </c>
      <c r="L15" s="367"/>
    </row>
    <row r="16" customFormat="false" ht="23.25" hidden="false" customHeight="true" outlineLevel="0" collapsed="false">
      <c r="B16" s="371"/>
      <c r="C16" s="372" t="s">
        <v>131</v>
      </c>
      <c r="D16" s="372"/>
      <c r="E16" s="372"/>
      <c r="F16" s="373" t="n">
        <f aca="false">SUM(F5:F15)</f>
        <v>105841625</v>
      </c>
      <c r="G16" s="374" t="n">
        <f aca="false">SUM(G5:G15)</f>
        <v>1</v>
      </c>
      <c r="H16" s="373" t="n">
        <f aca="false">SUM(H5:H15)</f>
        <v>100866136</v>
      </c>
      <c r="I16" s="374" t="n">
        <f aca="false">SUM(I5:I15)</f>
        <v>1</v>
      </c>
      <c r="J16" s="373" t="n">
        <f aca="false">SUM(J5:J15)</f>
        <v>96006124</v>
      </c>
      <c r="K16" s="374" t="n">
        <f aca="false">SUM(K5:K15)</f>
        <v>1</v>
      </c>
      <c r="L16" s="50"/>
    </row>
    <row r="17" customFormat="false" ht="18" hidden="false" customHeight="false" outlineLevel="0" collapsed="false">
      <c r="C17" s="372" t="s">
        <v>416</v>
      </c>
      <c r="F17" s="373" t="n">
        <f aca="false">EXACT(F16,PL!C13)</f>
        <v>1</v>
      </c>
      <c r="H17" s="373" t="n">
        <f aca="false">EXACT(H16,PL!E13)</f>
        <v>1</v>
      </c>
      <c r="J17" s="373" t="n">
        <f aca="false">EXACT(J16,PL!G13)</f>
        <v>1</v>
      </c>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96875" defaultRowHeight="18" zeroHeight="false" outlineLevelRow="0" outlineLevelCol="0"/>
  <cols>
    <col collapsed="false" customWidth="true" hidden="false" outlineLevel="0" max="1" min="1" style="308" width="3.8"/>
    <col collapsed="false" customWidth="true" hidden="false" outlineLevel="0" max="2" min="2" style="308" width="4.4"/>
    <col collapsed="false" customWidth="true" hidden="false" outlineLevel="0" max="4" min="3" style="308" width="30.4"/>
    <col collapsed="false" customWidth="true" hidden="false" outlineLevel="0" max="5" min="5" style="308" width="16.1"/>
    <col collapsed="false" customWidth="true" hidden="false" outlineLevel="0" max="6" min="6" style="308" width="19.1"/>
    <col collapsed="false" customWidth="true" hidden="false" outlineLevel="0" max="7" min="7" style="308" width="11.5"/>
    <col collapsed="false" customWidth="true" hidden="false" outlineLevel="0" max="8" min="8" style="308" width="8.5"/>
    <col collapsed="false" customWidth="true" hidden="false" outlineLevel="0" max="9" min="9" style="308" width="11.5"/>
    <col collapsed="false" customWidth="true" hidden="false" outlineLevel="0" max="10" min="10" style="308" width="8.5"/>
    <col collapsed="false" customWidth="true" hidden="false" outlineLevel="0" max="11" min="11" style="308" width="11.5"/>
    <col collapsed="false" customWidth="true" hidden="false" outlineLevel="0" max="12" min="12" style="308" width="8.5"/>
    <col collapsed="false" customWidth="true" hidden="false" outlineLevel="0" max="13" min="13" style="308" width="31.5"/>
    <col collapsed="false" customWidth="false" hidden="false" outlineLevel="0" max="16384" min="14" style="308" width="8.8"/>
  </cols>
  <sheetData>
    <row r="2" customFormat="false" ht="18" hidden="false" customHeight="false" outlineLevel="0" collapsed="false">
      <c r="L2" s="47" t="s">
        <v>59</v>
      </c>
    </row>
    <row r="3" customFormat="false" ht="18.75" hidden="false" customHeight="true" outlineLevel="0" collapsed="false">
      <c r="B3" s="363" t="s">
        <v>223</v>
      </c>
      <c r="C3" s="25" t="s">
        <v>417</v>
      </c>
      <c r="D3" s="25" t="s">
        <v>418</v>
      </c>
      <c r="E3" s="25" t="s">
        <v>306</v>
      </c>
      <c r="F3" s="25" t="s">
        <v>353</v>
      </c>
      <c r="G3" s="25" t="str">
        <f aca="false">'BS(借方)'!C4</f>
        <v>令和6年3月期</v>
      </c>
      <c r="H3" s="25"/>
      <c r="I3" s="25" t="str">
        <f aca="false">'BS(借方)'!D4</f>
        <v>令和7年3月期</v>
      </c>
      <c r="J3" s="25"/>
      <c r="K3" s="25" t="str">
        <f aca="false">'BS(借方)'!E4</f>
        <v>令和8年3月期</v>
      </c>
      <c r="L3" s="25"/>
      <c r="M3" s="108" t="s">
        <v>236</v>
      </c>
    </row>
    <row r="4" customFormat="false" ht="18.75" hidden="false" customHeight="true" outlineLevel="0" collapsed="false">
      <c r="B4" s="363"/>
      <c r="C4" s="363"/>
      <c r="D4" s="363"/>
      <c r="E4" s="363"/>
      <c r="F4" s="363"/>
      <c r="G4" s="109" t="s">
        <v>157</v>
      </c>
      <c r="H4" s="109" t="s">
        <v>354</v>
      </c>
      <c r="I4" s="109" t="s">
        <v>157</v>
      </c>
      <c r="J4" s="109" t="s">
        <v>354</v>
      </c>
      <c r="K4" s="109" t="s">
        <v>157</v>
      </c>
      <c r="L4" s="109" t="s">
        <v>354</v>
      </c>
      <c r="M4" s="108"/>
    </row>
    <row r="5" customFormat="false" ht="23.25" hidden="false" customHeight="true" outlineLevel="0" collapsed="false">
      <c r="B5" s="364" t="n">
        <v>1</v>
      </c>
      <c r="C5" s="310" t="s">
        <v>419</v>
      </c>
      <c r="D5" s="310" t="s">
        <v>420</v>
      </c>
      <c r="E5" s="310" t="s">
        <v>199</v>
      </c>
      <c r="F5" s="310" t="s">
        <v>19</v>
      </c>
      <c r="G5" s="365" t="n">
        <v>1273723</v>
      </c>
      <c r="H5" s="91" t="n">
        <f aca="false">IFERROR(G5/G$16,"")</f>
        <v>0.207301699006689</v>
      </c>
      <c r="I5" s="365" t="n">
        <v>1206394</v>
      </c>
      <c r="J5" s="91" t="n">
        <f aca="false">IFERROR(I5/I$16,"")</f>
        <v>0.376127976434517</v>
      </c>
      <c r="K5" s="365" t="n">
        <v>1335280</v>
      </c>
      <c r="L5" s="91" t="n">
        <f aca="false">IFERROR(K5/K$16,"")</f>
        <v>0.581436006899131</v>
      </c>
      <c r="M5" s="38" t="s">
        <v>421</v>
      </c>
    </row>
    <row r="6" customFormat="false" ht="23.25" hidden="false" customHeight="true" outlineLevel="0" collapsed="false">
      <c r="B6" s="366" t="n">
        <v>2</v>
      </c>
      <c r="C6" s="310" t="s">
        <v>400</v>
      </c>
      <c r="D6" s="310" t="s">
        <v>420</v>
      </c>
      <c r="E6" s="310" t="s">
        <v>199</v>
      </c>
      <c r="F6" s="310" t="s">
        <v>19</v>
      </c>
      <c r="G6" s="365" t="n">
        <v>672600</v>
      </c>
      <c r="H6" s="91" t="n">
        <f aca="false">IFERROR(G6/G$16,"")</f>
        <v>0.109467382430794</v>
      </c>
      <c r="I6" s="365" t="n">
        <v>29988</v>
      </c>
      <c r="J6" s="91" t="n">
        <f aca="false">IFERROR(I6/I$16,"")</f>
        <v>0.00934962023793081</v>
      </c>
      <c r="K6" s="365" t="n">
        <v>678191</v>
      </c>
      <c r="L6" s="91" t="n">
        <f aca="false">IFERROR(K6/K$16,"")</f>
        <v>0.295312344193674</v>
      </c>
      <c r="M6" s="367"/>
    </row>
    <row r="7" customFormat="false" ht="23.25" hidden="false" customHeight="true" outlineLevel="0" collapsed="false">
      <c r="B7" s="368" t="n">
        <v>3</v>
      </c>
      <c r="C7" s="310" t="s">
        <v>422</v>
      </c>
      <c r="D7" s="310" t="s">
        <v>420</v>
      </c>
      <c r="E7" s="310" t="s">
        <v>199</v>
      </c>
      <c r="F7" s="310" t="s">
        <v>19</v>
      </c>
      <c r="G7" s="365" t="n">
        <v>60180</v>
      </c>
      <c r="H7" s="91" t="n">
        <f aca="false">IFERROR(G7/G$16,"")</f>
        <v>0.00979445000696581</v>
      </c>
      <c r="I7" s="365" t="n">
        <v>13729</v>
      </c>
      <c r="J7" s="91" t="n">
        <f aca="false">IFERROR(I7/I$16,"")</f>
        <v>0.00428041003890063</v>
      </c>
      <c r="K7" s="365" t="n">
        <v>121690</v>
      </c>
      <c r="L7" s="91" t="n">
        <f aca="false">IFERROR(K7/K$16,"")</f>
        <v>0.0529888470429837</v>
      </c>
      <c r="M7" s="367"/>
    </row>
    <row r="8" customFormat="false" ht="23.25" hidden="false" customHeight="true" outlineLevel="0" collapsed="false">
      <c r="B8" s="366" t="n">
        <v>4</v>
      </c>
      <c r="C8" s="310" t="s">
        <v>423</v>
      </c>
      <c r="D8" s="310" t="s">
        <v>420</v>
      </c>
      <c r="E8" s="310" t="s">
        <v>199</v>
      </c>
      <c r="F8" s="310" t="s">
        <v>19</v>
      </c>
      <c r="G8" s="365" t="n">
        <v>0</v>
      </c>
      <c r="H8" s="91" t="n">
        <f aca="false">IFERROR(G8/G$16,"")</f>
        <v>0</v>
      </c>
      <c r="I8" s="365" t="n">
        <v>0</v>
      </c>
      <c r="J8" s="91" t="n">
        <f aca="false">IFERROR(I8/I$16,"")</f>
        <v>0</v>
      </c>
      <c r="K8" s="365" t="n">
        <v>116000</v>
      </c>
      <c r="L8" s="91" t="n">
        <f aca="false">IFERROR(K8/K$16,"")</f>
        <v>0.0505111862682728</v>
      </c>
      <c r="M8" s="367"/>
    </row>
    <row r="9" customFormat="false" ht="23.25" hidden="false" customHeight="true" outlineLevel="0" collapsed="false">
      <c r="B9" s="368" t="n">
        <v>5</v>
      </c>
      <c r="C9" s="310" t="s">
        <v>424</v>
      </c>
      <c r="D9" s="310" t="s">
        <v>420</v>
      </c>
      <c r="E9" s="310" t="s">
        <v>199</v>
      </c>
      <c r="F9" s="310" t="s">
        <v>19</v>
      </c>
      <c r="G9" s="365" t="n">
        <v>0</v>
      </c>
      <c r="H9" s="91" t="n">
        <f aca="false">IFERROR(G9/G$16,"")</f>
        <v>0</v>
      </c>
      <c r="I9" s="365" t="n">
        <v>127006</v>
      </c>
      <c r="J9" s="91" t="n">
        <f aca="false">IFERROR(I9/I$16,"")</f>
        <v>0.0395977680385034</v>
      </c>
      <c r="K9" s="365" t="n">
        <v>45360</v>
      </c>
      <c r="L9" s="91" t="n">
        <f aca="false">IFERROR(K9/K$16,"")</f>
        <v>0.0197516155959384</v>
      </c>
      <c r="M9" s="367"/>
    </row>
    <row r="10" customFormat="false" ht="23.25" hidden="false" customHeight="true" outlineLevel="0" collapsed="false">
      <c r="B10" s="366"/>
      <c r="C10" s="310"/>
      <c r="D10" s="310"/>
      <c r="E10" s="310"/>
      <c r="F10" s="310"/>
      <c r="G10" s="365"/>
      <c r="H10" s="91" t="n">
        <f aca="false">IFERROR(G10/G$16,"")</f>
        <v>0</v>
      </c>
      <c r="I10" s="365"/>
      <c r="J10" s="91" t="n">
        <f aca="false">IFERROR(I10/I$16,"")</f>
        <v>0</v>
      </c>
      <c r="K10" s="365"/>
      <c r="L10" s="91" t="n">
        <f aca="false">IFERROR(K10/K$16,"")</f>
        <v>0</v>
      </c>
      <c r="M10" s="367"/>
    </row>
    <row r="11" customFormat="false" ht="23.25" hidden="false" customHeight="true" outlineLevel="0" collapsed="false">
      <c r="B11" s="368"/>
      <c r="C11" s="310"/>
      <c r="D11" s="310"/>
      <c r="E11" s="310"/>
      <c r="F11" s="310"/>
      <c r="G11" s="365"/>
      <c r="H11" s="91" t="n">
        <f aca="false">IFERROR(G11/G$16,"")</f>
        <v>0</v>
      </c>
      <c r="I11" s="365"/>
      <c r="J11" s="91" t="n">
        <f aca="false">IFERROR(I11/I$16,"")</f>
        <v>0</v>
      </c>
      <c r="K11" s="365"/>
      <c r="L11" s="91" t="n">
        <f aca="false">IFERROR(K11/K$16,"")</f>
        <v>0</v>
      </c>
      <c r="M11" s="367"/>
    </row>
    <row r="12" customFormat="false" ht="23.25" hidden="false" customHeight="true" outlineLevel="0" collapsed="false">
      <c r="B12" s="366"/>
      <c r="C12" s="310"/>
      <c r="D12" s="310"/>
      <c r="E12" s="310"/>
      <c r="F12" s="310"/>
      <c r="G12" s="365"/>
      <c r="H12" s="91" t="n">
        <f aca="false">IFERROR(G12/G$16,"")</f>
        <v>0</v>
      </c>
      <c r="I12" s="365"/>
      <c r="J12" s="91" t="n">
        <f aca="false">IFERROR(I12/I$16,"")</f>
        <v>0</v>
      </c>
      <c r="K12" s="365"/>
      <c r="L12" s="91" t="n">
        <f aca="false">IFERROR(K12/K$16,"")</f>
        <v>0</v>
      </c>
      <c r="M12" s="367"/>
    </row>
    <row r="13" customFormat="false" ht="23.25" hidden="false" customHeight="true" outlineLevel="0" collapsed="false">
      <c r="B13" s="368"/>
      <c r="C13" s="310"/>
      <c r="D13" s="310"/>
      <c r="E13" s="310"/>
      <c r="F13" s="310"/>
      <c r="G13" s="365"/>
      <c r="H13" s="91" t="n">
        <f aca="false">IFERROR(G13/G$16,"")</f>
        <v>0</v>
      </c>
      <c r="I13" s="365"/>
      <c r="J13" s="91" t="n">
        <f aca="false">IFERROR(I13/I$16,"")</f>
        <v>0</v>
      </c>
      <c r="K13" s="365"/>
      <c r="L13" s="91" t="n">
        <f aca="false">IFERROR(K13/K$16,"")</f>
        <v>0</v>
      </c>
      <c r="M13" s="367"/>
    </row>
    <row r="14" customFormat="false" ht="23.25" hidden="false" customHeight="true" outlineLevel="0" collapsed="false">
      <c r="B14" s="366"/>
      <c r="C14" s="310"/>
      <c r="D14" s="310"/>
      <c r="E14" s="310"/>
      <c r="F14" s="310"/>
      <c r="G14" s="365"/>
      <c r="H14" s="91" t="n">
        <f aca="false">IFERROR(G14/G$16,"")</f>
        <v>0</v>
      </c>
      <c r="I14" s="365"/>
      <c r="J14" s="91" t="n">
        <f aca="false">IFERROR(I14/I$16,"")</f>
        <v>0</v>
      </c>
      <c r="K14" s="365"/>
      <c r="L14" s="91" t="n">
        <f aca="false">IFERROR(K14/K$16,"")</f>
        <v>0</v>
      </c>
      <c r="M14" s="367"/>
    </row>
    <row r="15" customFormat="false" ht="23.25" hidden="false" customHeight="true" outlineLevel="0" collapsed="false">
      <c r="B15" s="369"/>
      <c r="C15" s="370" t="s">
        <v>343</v>
      </c>
      <c r="D15" s="370"/>
      <c r="E15" s="370"/>
      <c r="F15" s="370"/>
      <c r="G15" s="365" t="n">
        <v>4137793</v>
      </c>
      <c r="H15" s="91" t="n">
        <f aca="false">IFERROR(G15/G$16,"")</f>
        <v>0.673436468555551</v>
      </c>
      <c r="I15" s="365" t="n">
        <v>1830286</v>
      </c>
      <c r="J15" s="91" t="n">
        <f aca="false">IFERROR(I15/I$16,"")</f>
        <v>0.570644225250148</v>
      </c>
      <c r="K15" s="365" t="n">
        <v>0</v>
      </c>
      <c r="L15" s="91" t="n">
        <f aca="false">IFERROR(K15/K$16,"")</f>
        <v>0</v>
      </c>
      <c r="M15" s="367"/>
    </row>
    <row r="16" customFormat="false" ht="23.25" hidden="false" customHeight="true" outlineLevel="0" collapsed="false">
      <c r="B16" s="371"/>
      <c r="C16" s="372" t="s">
        <v>131</v>
      </c>
      <c r="D16" s="372"/>
      <c r="E16" s="372"/>
      <c r="F16" s="372"/>
      <c r="G16" s="373" t="n">
        <f aca="false">SUM(G5:G15)</f>
        <v>6144296</v>
      </c>
      <c r="H16" s="374" t="n">
        <f aca="false">SUM(H5:H15)</f>
        <v>1</v>
      </c>
      <c r="I16" s="373" t="n">
        <f aca="false">SUM(I5:I15)</f>
        <v>3207403</v>
      </c>
      <c r="J16" s="374" t="n">
        <f aca="false">SUM(J5:J15)</f>
        <v>1</v>
      </c>
      <c r="K16" s="373" t="n">
        <f aca="false">SUM(K5:K15)</f>
        <v>2296521</v>
      </c>
      <c r="L16" s="374" t="n">
        <f aca="false">SUM(L5:L15)</f>
        <v>1</v>
      </c>
      <c r="M16" s="50"/>
    </row>
    <row r="17" customFormat="false" ht="18" hidden="false" customHeight="false" outlineLevel="0" collapsed="false">
      <c r="C17" s="372" t="s">
        <v>425</v>
      </c>
      <c r="G17" s="373" t="n">
        <f aca="false">EXACT(G16,SGA!C28)</f>
        <v>1</v>
      </c>
      <c r="I17" s="373" t="n">
        <f aca="false">EXACT(I16,SGA!E28)</f>
        <v>1</v>
      </c>
      <c r="K17" s="373" t="n">
        <f aca="false">EXACT(K16,SGA!G28)</f>
        <v>1</v>
      </c>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96875" defaultRowHeight="18" zeroHeight="false" outlineLevelRow="0" outlineLevelCol="0"/>
  <cols>
    <col collapsed="false" customWidth="true" hidden="false" outlineLevel="0" max="1" min="1" style="308" width="3.8"/>
    <col collapsed="false" customWidth="true" hidden="false" outlineLevel="0" max="2" min="2" style="308" width="4.4"/>
    <col collapsed="false" customWidth="true" hidden="false" outlineLevel="0" max="3" min="3" style="308" width="21.7"/>
    <col collapsed="false" customWidth="true" hidden="false" outlineLevel="0" max="7" min="4" style="308" width="19"/>
    <col collapsed="false" customWidth="true" hidden="false" outlineLevel="0" max="8" min="8" style="308" width="31.5"/>
    <col collapsed="false" customWidth="false" hidden="false" outlineLevel="0" max="16384" min="9" style="308" width="8.8"/>
  </cols>
  <sheetData>
    <row r="2" customFormat="false" ht="18" hidden="false" customHeight="false" outlineLevel="0" collapsed="false">
      <c r="E2" s="47" t="s">
        <v>59</v>
      </c>
    </row>
    <row r="3" customFormat="false" ht="18.75" hidden="false" customHeight="true" outlineLevel="0" collapsed="false">
      <c r="B3" s="363" t="s">
        <v>223</v>
      </c>
      <c r="C3" s="25" t="s">
        <v>224</v>
      </c>
      <c r="D3" s="25" t="s">
        <v>426</v>
      </c>
      <c r="E3" s="375" t="s">
        <v>427</v>
      </c>
      <c r="F3" s="25" t="s">
        <v>428</v>
      </c>
      <c r="G3" s="25" t="s">
        <v>429</v>
      </c>
      <c r="H3" s="108" t="s">
        <v>236</v>
      </c>
    </row>
    <row r="4" customFormat="false" ht="18.75" hidden="false" customHeight="true" outlineLevel="0" collapsed="false">
      <c r="B4" s="363"/>
      <c r="C4" s="363"/>
      <c r="D4" s="363"/>
      <c r="E4" s="363"/>
      <c r="F4" s="363"/>
      <c r="G4" s="363"/>
      <c r="H4" s="108"/>
    </row>
    <row r="5" customFormat="false" ht="23.25" hidden="false" customHeight="true" outlineLevel="0" collapsed="false">
      <c r="B5" s="364" t="n">
        <v>1</v>
      </c>
      <c r="C5" s="310" t="s">
        <v>430</v>
      </c>
      <c r="D5" s="310" t="s">
        <v>431</v>
      </c>
      <c r="E5" s="31" t="n">
        <v>1920000</v>
      </c>
      <c r="F5" s="376" t="n">
        <v>100</v>
      </c>
      <c r="G5" s="91" t="n">
        <f aca="false">F5/$F$15</f>
        <v>1</v>
      </c>
      <c r="H5" s="38" t="s">
        <v>432</v>
      </c>
    </row>
    <row r="6" customFormat="false" ht="23.25" hidden="false" customHeight="true" outlineLevel="0" collapsed="false">
      <c r="B6" s="366"/>
      <c r="C6" s="310"/>
      <c r="D6" s="310"/>
      <c r="E6" s="31"/>
      <c r="F6" s="376"/>
      <c r="G6" s="91" t="str">
        <f aca="false">IF(F6="","",F6/$F$15)</f>
        <v/>
      </c>
      <c r="H6" s="367"/>
    </row>
    <row r="7" customFormat="false" ht="23.25" hidden="false" customHeight="true" outlineLevel="0" collapsed="false">
      <c r="B7" s="368"/>
      <c r="C7" s="310"/>
      <c r="D7" s="310"/>
      <c r="E7" s="31"/>
      <c r="F7" s="376"/>
      <c r="G7" s="91" t="str">
        <f aca="false">IF(F7="","",F7/$F$15)</f>
        <v/>
      </c>
      <c r="H7" s="367"/>
    </row>
    <row r="8" customFormat="false" ht="23.25" hidden="false" customHeight="true" outlineLevel="0" collapsed="false">
      <c r="B8" s="366"/>
      <c r="C8" s="310"/>
      <c r="D8" s="310"/>
      <c r="E8" s="31"/>
      <c r="F8" s="376"/>
      <c r="G8" s="91" t="str">
        <f aca="false">IF(F8="","",F8/$F$15)</f>
        <v/>
      </c>
      <c r="H8" s="367"/>
    </row>
    <row r="9" customFormat="false" ht="23.25" hidden="false" customHeight="true" outlineLevel="0" collapsed="false">
      <c r="B9" s="368"/>
      <c r="C9" s="310"/>
      <c r="D9" s="310"/>
      <c r="E9" s="31"/>
      <c r="F9" s="376"/>
      <c r="G9" s="91" t="str">
        <f aca="false">IF(F9="","",F9/$F$15)</f>
        <v/>
      </c>
      <c r="H9" s="367"/>
    </row>
    <row r="10" customFormat="false" ht="23.25" hidden="false" customHeight="true" outlineLevel="0" collapsed="false">
      <c r="B10" s="366"/>
      <c r="C10" s="310"/>
      <c r="D10" s="310"/>
      <c r="E10" s="31"/>
      <c r="F10" s="376"/>
      <c r="G10" s="91" t="str">
        <f aca="false">IF(F10="","",F10/$F$15)</f>
        <v/>
      </c>
      <c r="H10" s="367"/>
    </row>
    <row r="11" customFormat="false" ht="23.25" hidden="false" customHeight="true" outlineLevel="0" collapsed="false">
      <c r="B11" s="368"/>
      <c r="C11" s="310"/>
      <c r="D11" s="310"/>
      <c r="E11" s="31"/>
      <c r="F11" s="376"/>
      <c r="G11" s="91" t="str">
        <f aca="false">IF(F11="","",F11/$F$15)</f>
        <v/>
      </c>
      <c r="H11" s="367"/>
    </row>
    <row r="12" customFormat="false" ht="23.25" hidden="false" customHeight="true" outlineLevel="0" collapsed="false">
      <c r="B12" s="366"/>
      <c r="C12" s="310"/>
      <c r="D12" s="310"/>
      <c r="E12" s="31"/>
      <c r="F12" s="376"/>
      <c r="G12" s="91" t="str">
        <f aca="false">IF(F12="","",F12/$F$15)</f>
        <v/>
      </c>
      <c r="H12" s="367"/>
    </row>
    <row r="13" customFormat="false" ht="23.25" hidden="false" customHeight="true" outlineLevel="0" collapsed="false">
      <c r="B13" s="368"/>
      <c r="C13" s="310"/>
      <c r="D13" s="310"/>
      <c r="E13" s="31"/>
      <c r="F13" s="376"/>
      <c r="G13" s="91" t="str">
        <f aca="false">IF(F13="","",F13/$F$15)</f>
        <v/>
      </c>
      <c r="H13" s="367"/>
    </row>
    <row r="14" customFormat="false" ht="23.25" hidden="false" customHeight="true" outlineLevel="0" collapsed="false">
      <c r="B14" s="366"/>
      <c r="C14" s="310"/>
      <c r="D14" s="310"/>
      <c r="E14" s="31"/>
      <c r="F14" s="376"/>
      <c r="G14" s="91" t="str">
        <f aca="false">IF(F14="","",F14/$F$15)</f>
        <v/>
      </c>
      <c r="H14" s="367"/>
    </row>
    <row r="15" customFormat="false" ht="23.25" hidden="false" customHeight="true" outlineLevel="0" collapsed="false">
      <c r="B15" s="377"/>
      <c r="C15" s="378" t="s">
        <v>131</v>
      </c>
      <c r="D15" s="378"/>
      <c r="E15" s="379" t="n">
        <f aca="false">SUM(E5:E14)</f>
        <v>1920000</v>
      </c>
      <c r="F15" s="380" t="n">
        <f aca="false">SUM(F5:F14)</f>
        <v>100</v>
      </c>
      <c r="G15" s="94" t="n">
        <f aca="false">F15/$F$15</f>
        <v>1</v>
      </c>
      <c r="H15" s="50"/>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796875" defaultRowHeight="18" zeroHeight="false" outlineLevelRow="0" outlineLevelCol="0"/>
  <cols>
    <col collapsed="false" customWidth="true" hidden="false" outlineLevel="0" max="1" min="1" style="308" width="3.8"/>
    <col collapsed="false" customWidth="true" hidden="false" outlineLevel="0" max="2" min="2" style="308" width="4.4"/>
    <col collapsed="false" customWidth="true" hidden="false" outlineLevel="0" max="3" min="3" style="308" width="21.7"/>
    <col collapsed="false" customWidth="true" hidden="false" outlineLevel="0" max="6" min="4" style="308" width="16.4"/>
    <col collapsed="false" customWidth="true" hidden="false" outlineLevel="0" max="8" min="7" style="308" width="36.7"/>
    <col collapsed="false" customWidth="false" hidden="false" outlineLevel="0" max="16384" min="9" style="308" width="8.8"/>
  </cols>
  <sheetData>
    <row r="2" customFormat="false" ht="18" hidden="false" customHeight="false" outlineLevel="0" collapsed="false">
      <c r="F2" s="47" t="s">
        <v>59</v>
      </c>
      <c r="G2" s="47"/>
    </row>
    <row r="3" customFormat="false" ht="18.75" hidden="false" customHeight="true" outlineLevel="0" collapsed="false">
      <c r="B3" s="363" t="s">
        <v>223</v>
      </c>
      <c r="C3" s="25" t="s">
        <v>224</v>
      </c>
      <c r="D3" s="25" t="s">
        <v>426</v>
      </c>
      <c r="E3" s="25" t="s">
        <v>433</v>
      </c>
      <c r="F3" s="375" t="s">
        <v>427</v>
      </c>
      <c r="G3" s="375" t="s">
        <v>434</v>
      </c>
      <c r="H3" s="108" t="s">
        <v>236</v>
      </c>
    </row>
    <row r="4" customFormat="false" ht="18.75" hidden="false" customHeight="true" outlineLevel="0" collapsed="false">
      <c r="B4" s="363"/>
      <c r="C4" s="363"/>
      <c r="D4" s="363"/>
      <c r="E4" s="363"/>
      <c r="F4" s="363"/>
      <c r="G4" s="363"/>
      <c r="H4" s="108"/>
    </row>
    <row r="5" customFormat="false" ht="23.25" hidden="false" customHeight="true" outlineLevel="0" collapsed="false">
      <c r="B5" s="364" t="n">
        <v>1</v>
      </c>
      <c r="C5" s="310" t="s">
        <v>430</v>
      </c>
      <c r="D5" s="310" t="s">
        <v>431</v>
      </c>
      <c r="E5" s="310" t="s">
        <v>435</v>
      </c>
      <c r="F5" s="31" t="n">
        <v>1920000</v>
      </c>
      <c r="G5" s="381" t="s">
        <v>436</v>
      </c>
      <c r="H5" s="38" t="s">
        <v>437</v>
      </c>
    </row>
    <row r="6" customFormat="false" ht="23.25" hidden="false" customHeight="true" outlineLevel="0" collapsed="false">
      <c r="B6" s="366"/>
      <c r="C6" s="310"/>
      <c r="D6" s="310"/>
      <c r="E6" s="310"/>
      <c r="F6" s="31"/>
      <c r="G6" s="382"/>
      <c r="H6" s="367"/>
    </row>
    <row r="7" customFormat="false" ht="23.25" hidden="false" customHeight="true" outlineLevel="0" collapsed="false">
      <c r="B7" s="368"/>
      <c r="C7" s="310"/>
      <c r="D7" s="310"/>
      <c r="E7" s="310"/>
      <c r="F7" s="31"/>
      <c r="G7" s="382"/>
      <c r="H7" s="367"/>
    </row>
    <row r="8" customFormat="false" ht="23.25" hidden="false" customHeight="true" outlineLevel="0" collapsed="false">
      <c r="B8" s="366"/>
      <c r="C8" s="310"/>
      <c r="D8" s="310"/>
      <c r="E8" s="310"/>
      <c r="F8" s="383"/>
      <c r="G8" s="382"/>
      <c r="H8" s="367"/>
    </row>
    <row r="9" customFormat="false" ht="23.25" hidden="true" customHeight="true" outlineLevel="0" collapsed="false">
      <c r="B9" s="384"/>
      <c r="C9" s="310"/>
      <c r="D9" s="310"/>
      <c r="E9" s="310"/>
      <c r="F9" s="31"/>
      <c r="G9" s="382"/>
      <c r="H9" s="367"/>
    </row>
    <row r="10" customFormat="false" ht="23.25" hidden="true" customHeight="true" outlineLevel="0" collapsed="false">
      <c r="B10" s="385"/>
      <c r="C10" s="310"/>
      <c r="D10" s="310"/>
      <c r="E10" s="310"/>
      <c r="F10" s="31"/>
      <c r="G10" s="382"/>
      <c r="H10" s="367"/>
    </row>
    <row r="11" customFormat="false" ht="23.25" hidden="true" customHeight="true" outlineLevel="0" collapsed="false">
      <c r="B11" s="384"/>
      <c r="C11" s="310"/>
      <c r="D11" s="310"/>
      <c r="E11" s="310"/>
      <c r="F11" s="31"/>
      <c r="G11" s="382"/>
      <c r="H11" s="367"/>
    </row>
    <row r="12" customFormat="false" ht="23.25" hidden="true" customHeight="true" outlineLevel="0" collapsed="false">
      <c r="B12" s="385"/>
      <c r="C12" s="310"/>
      <c r="D12" s="310"/>
      <c r="E12" s="310"/>
      <c r="F12" s="31"/>
      <c r="G12" s="382"/>
      <c r="H12" s="367"/>
    </row>
    <row r="13" customFormat="false" ht="23.25" hidden="true" customHeight="true" outlineLevel="0" collapsed="false">
      <c r="B13" s="384"/>
      <c r="C13" s="310"/>
      <c r="D13" s="310"/>
      <c r="E13" s="310"/>
      <c r="F13" s="31"/>
      <c r="G13" s="382"/>
      <c r="H13" s="367"/>
    </row>
    <row r="14" customFormat="false" ht="23.25" hidden="true" customHeight="true" outlineLevel="0" collapsed="false">
      <c r="B14" s="385"/>
      <c r="C14" s="310"/>
      <c r="D14" s="310"/>
      <c r="E14" s="310"/>
      <c r="F14" s="31"/>
      <c r="G14" s="382"/>
      <c r="H14" s="367"/>
    </row>
    <row r="15" customFormat="false" ht="23.25" hidden="false" customHeight="true" outlineLevel="0" collapsed="false">
      <c r="B15" s="377"/>
      <c r="C15" s="378" t="s">
        <v>131</v>
      </c>
      <c r="D15" s="378"/>
      <c r="E15" s="378"/>
      <c r="F15" s="379" t="n">
        <f aca="false">SUM(F5:F14)</f>
        <v>1920000</v>
      </c>
      <c r="G15" s="386"/>
      <c r="H15" s="50"/>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7" activeCellId="0" sqref="D7"/>
    </sheetView>
  </sheetViews>
  <sheetFormatPr defaultColWidth="8.53125" defaultRowHeight="18" zeroHeight="false" outlineLevelRow="0" outlineLevelCol="0"/>
  <cols>
    <col collapsed="false" customWidth="true" hidden="false" outlineLevel="0" max="2" min="2" style="1" width="6"/>
    <col collapsed="false" customWidth="true" hidden="false" outlineLevel="0" max="5" min="3" style="387" width="13.5"/>
    <col collapsed="false" customWidth="true" hidden="false" outlineLevel="0" max="6" min="6" style="387" width="6.6"/>
    <col collapsed="false" customWidth="true" hidden="false" outlineLevel="0" max="7" min="7" style="388" width="13.5"/>
    <col collapsed="false" customWidth="true" hidden="false" outlineLevel="0" max="8" min="8" style="388" width="14.4"/>
    <col collapsed="false" customWidth="true" hidden="false" outlineLevel="0" max="9" min="9" style="389" width="13.5"/>
    <col collapsed="false" customWidth="true" hidden="false" outlineLevel="0" max="10" min="10" style="389" width="14.4"/>
    <col collapsed="false" customWidth="true" hidden="false" outlineLevel="0" max="12" min="11" style="390" width="13.5"/>
    <col collapsed="false" customWidth="true" hidden="false" outlineLevel="0" max="16" min="13" style="20" width="16.1"/>
    <col collapsed="false" customWidth="true" hidden="false" outlineLevel="0" max="17" min="17" style="20" width="55.5"/>
  </cols>
  <sheetData>
    <row r="1" customFormat="false" ht="18" hidden="false" customHeight="false" outlineLevel="0" collapsed="false">
      <c r="K1" s="2"/>
      <c r="L1" s="2"/>
    </row>
    <row r="2" customFormat="false" ht="18" hidden="false" customHeight="false" outlineLevel="0" collapsed="false">
      <c r="F2" s="391" t="s">
        <v>438</v>
      </c>
      <c r="G2" s="392" t="n">
        <v>46081</v>
      </c>
      <c r="K2" s="2"/>
      <c r="L2" s="2"/>
    </row>
    <row r="3" customFormat="false" ht="18" hidden="false" customHeight="false" outlineLevel="0" collapsed="false">
      <c r="G3" s="388" t="s">
        <v>439</v>
      </c>
      <c r="I3" s="388" t="s">
        <v>439</v>
      </c>
      <c r="K3" s="2"/>
      <c r="L3" s="2"/>
    </row>
    <row r="4" customFormat="false" ht="39" hidden="false" customHeight="true" outlineLevel="0" collapsed="false">
      <c r="B4" s="247" t="s">
        <v>223</v>
      </c>
      <c r="C4" s="393" t="s">
        <v>224</v>
      </c>
      <c r="D4" s="205" t="s">
        <v>440</v>
      </c>
      <c r="E4" s="205" t="s">
        <v>441</v>
      </c>
      <c r="F4" s="205" t="s">
        <v>442</v>
      </c>
      <c r="G4" s="393" t="s">
        <v>443</v>
      </c>
      <c r="H4" s="394" t="s">
        <v>444</v>
      </c>
      <c r="I4" s="395" t="s">
        <v>445</v>
      </c>
      <c r="J4" s="396" t="s">
        <v>446</v>
      </c>
      <c r="K4" s="174" t="s">
        <v>447</v>
      </c>
      <c r="L4" s="174" t="s">
        <v>426</v>
      </c>
      <c r="M4" s="397" t="s">
        <v>448</v>
      </c>
      <c r="N4" s="174" t="s">
        <v>449</v>
      </c>
      <c r="O4" s="174" t="s">
        <v>450</v>
      </c>
      <c r="P4" s="174" t="s">
        <v>451</v>
      </c>
      <c r="Q4" s="175" t="s">
        <v>236</v>
      </c>
    </row>
    <row r="5" customFormat="false" ht="22.5" hidden="false" customHeight="true" outlineLevel="0" collapsed="false">
      <c r="B5" s="368" t="n">
        <v>1</v>
      </c>
      <c r="C5" s="398" t="s">
        <v>452</v>
      </c>
      <c r="D5" s="398"/>
      <c r="E5" s="398" t="s">
        <v>453</v>
      </c>
      <c r="F5" s="398"/>
      <c r="G5" s="399"/>
      <c r="H5" s="400"/>
      <c r="I5" s="399"/>
      <c r="J5" s="400"/>
      <c r="K5" s="309" t="s">
        <v>454</v>
      </c>
      <c r="L5" s="309"/>
      <c r="M5" s="401"/>
      <c r="N5" s="401"/>
      <c r="O5" s="401"/>
      <c r="P5" s="402"/>
      <c r="Q5" s="403" t="s">
        <v>455</v>
      </c>
    </row>
    <row r="6" customFormat="false" ht="22.5" hidden="false" customHeight="true" outlineLevel="0" collapsed="false">
      <c r="B6" s="404" t="n">
        <v>2</v>
      </c>
      <c r="C6" s="405" t="s">
        <v>452</v>
      </c>
      <c r="D6" s="405"/>
      <c r="E6" s="405" t="s">
        <v>456</v>
      </c>
      <c r="F6" s="405"/>
      <c r="G6" s="406"/>
      <c r="H6" s="400"/>
      <c r="I6" s="376"/>
      <c r="J6" s="400"/>
      <c r="K6" s="310" t="s">
        <v>457</v>
      </c>
      <c r="L6" s="310"/>
      <c r="M6" s="407"/>
      <c r="N6" s="407"/>
      <c r="O6" s="407"/>
      <c r="P6" s="376"/>
      <c r="Q6" s="408" t="s">
        <v>458</v>
      </c>
    </row>
    <row r="7" customFormat="false" ht="22.5" hidden="false" customHeight="true" outlineLevel="0" collapsed="false">
      <c r="B7" s="368"/>
      <c r="C7" s="405" t="s">
        <v>131</v>
      </c>
      <c r="D7" s="405"/>
      <c r="E7" s="405"/>
      <c r="F7" s="405"/>
      <c r="G7" s="406"/>
      <c r="H7" s="400"/>
      <c r="I7" s="376"/>
      <c r="J7" s="400"/>
      <c r="K7" s="310"/>
      <c r="L7" s="310"/>
      <c r="M7" s="407" t="n">
        <v>7854008</v>
      </c>
      <c r="N7" s="407"/>
      <c r="O7" s="407"/>
      <c r="P7" s="376"/>
      <c r="Q7" s="409" t="s">
        <v>459</v>
      </c>
    </row>
    <row r="8" customFormat="false" ht="22.5" hidden="false" customHeight="true" outlineLevel="0" collapsed="false">
      <c r="B8" s="404"/>
      <c r="C8" s="405"/>
      <c r="D8" s="405"/>
      <c r="E8" s="405"/>
      <c r="F8" s="405"/>
      <c r="G8" s="406"/>
      <c r="H8" s="400"/>
      <c r="I8" s="376"/>
      <c r="J8" s="400"/>
      <c r="K8" s="310"/>
      <c r="L8" s="310"/>
      <c r="M8" s="407"/>
      <c r="N8" s="407"/>
      <c r="O8" s="407"/>
      <c r="P8" s="376"/>
      <c r="Q8" s="408"/>
    </row>
    <row r="9" customFormat="false" ht="22.5" hidden="false" customHeight="true" outlineLevel="0" collapsed="false">
      <c r="B9" s="368"/>
      <c r="C9" s="405"/>
      <c r="D9" s="405"/>
      <c r="E9" s="405"/>
      <c r="F9" s="405"/>
      <c r="G9" s="406"/>
      <c r="H9" s="400"/>
      <c r="I9" s="376"/>
      <c r="J9" s="400"/>
      <c r="K9" s="310"/>
      <c r="L9" s="310"/>
      <c r="M9" s="407"/>
      <c r="N9" s="407"/>
      <c r="O9" s="407"/>
      <c r="P9" s="376"/>
      <c r="Q9" s="408"/>
    </row>
    <row r="10" customFormat="false" ht="22.5" hidden="false" customHeight="true" outlineLevel="0" collapsed="false">
      <c r="B10" s="404"/>
      <c r="C10" s="405"/>
      <c r="D10" s="405"/>
      <c r="E10" s="405"/>
      <c r="F10" s="405"/>
      <c r="G10" s="406"/>
      <c r="H10" s="400"/>
      <c r="I10" s="376"/>
      <c r="J10" s="400"/>
      <c r="K10" s="310"/>
      <c r="L10" s="310"/>
      <c r="M10" s="407"/>
      <c r="N10" s="407"/>
      <c r="O10" s="407"/>
      <c r="P10" s="376"/>
      <c r="Q10" s="408"/>
    </row>
    <row r="11" customFormat="false" ht="22.5" hidden="false" customHeight="true" outlineLevel="0" collapsed="false">
      <c r="B11" s="368"/>
      <c r="C11" s="405"/>
      <c r="D11" s="405"/>
      <c r="E11" s="405"/>
      <c r="F11" s="405"/>
      <c r="G11" s="406"/>
      <c r="H11" s="400"/>
      <c r="I11" s="376"/>
      <c r="J11" s="400"/>
      <c r="K11" s="310"/>
      <c r="L11" s="310"/>
      <c r="M11" s="407"/>
      <c r="N11" s="407"/>
      <c r="O11" s="407"/>
      <c r="P11" s="376"/>
      <c r="Q11" s="408"/>
    </row>
    <row r="12" customFormat="false" ht="22.5" hidden="false" customHeight="true" outlineLevel="0" collapsed="false">
      <c r="B12" s="404"/>
      <c r="C12" s="405"/>
      <c r="D12" s="405"/>
      <c r="E12" s="405"/>
      <c r="F12" s="405"/>
      <c r="G12" s="406"/>
      <c r="H12" s="400"/>
      <c r="I12" s="376"/>
      <c r="J12" s="400"/>
      <c r="K12" s="310"/>
      <c r="L12" s="310"/>
      <c r="M12" s="407"/>
      <c r="N12" s="407"/>
      <c r="O12" s="407"/>
      <c r="P12" s="376"/>
      <c r="Q12" s="408"/>
    </row>
    <row r="13" customFormat="false" ht="22.5" hidden="false" customHeight="true" outlineLevel="0" collapsed="false">
      <c r="B13" s="368"/>
      <c r="C13" s="405"/>
      <c r="D13" s="405"/>
      <c r="E13" s="405"/>
      <c r="F13" s="405"/>
      <c r="G13" s="406"/>
      <c r="H13" s="400"/>
      <c r="I13" s="376"/>
      <c r="J13" s="400"/>
      <c r="K13" s="310"/>
      <c r="L13" s="310"/>
      <c r="M13" s="407"/>
      <c r="N13" s="407"/>
      <c r="O13" s="407"/>
      <c r="P13" s="376"/>
      <c r="Q13" s="408"/>
    </row>
    <row r="14" customFormat="false" ht="22.5" hidden="false" customHeight="true" outlineLevel="0" collapsed="false">
      <c r="B14" s="404"/>
      <c r="C14" s="405"/>
      <c r="D14" s="405"/>
      <c r="E14" s="405"/>
      <c r="F14" s="405"/>
      <c r="G14" s="406"/>
      <c r="H14" s="400"/>
      <c r="I14" s="376"/>
      <c r="J14" s="400"/>
      <c r="K14" s="310"/>
      <c r="L14" s="310"/>
      <c r="M14" s="407"/>
      <c r="N14" s="407"/>
      <c r="O14" s="407"/>
      <c r="P14" s="376"/>
      <c r="Q14" s="408"/>
    </row>
    <row r="15" customFormat="false" ht="22.5" hidden="false" customHeight="true" outlineLevel="0" collapsed="false">
      <c r="B15" s="368"/>
      <c r="C15" s="405"/>
      <c r="D15" s="405"/>
      <c r="E15" s="405"/>
      <c r="F15" s="405"/>
      <c r="G15" s="406"/>
      <c r="H15" s="400"/>
      <c r="I15" s="376"/>
      <c r="J15" s="400"/>
      <c r="K15" s="310"/>
      <c r="L15" s="310"/>
      <c r="M15" s="407"/>
      <c r="N15" s="407"/>
      <c r="O15" s="407"/>
      <c r="P15" s="376"/>
      <c r="Q15" s="408"/>
    </row>
    <row r="16" customFormat="false" ht="22.5" hidden="false" customHeight="true" outlineLevel="0" collapsed="false">
      <c r="B16" s="404"/>
      <c r="C16" s="405"/>
      <c r="D16" s="405"/>
      <c r="E16" s="405"/>
      <c r="F16" s="405"/>
      <c r="G16" s="406"/>
      <c r="H16" s="400"/>
      <c r="I16" s="376"/>
      <c r="J16" s="400"/>
      <c r="K16" s="310"/>
      <c r="L16" s="310"/>
      <c r="M16" s="407"/>
      <c r="N16" s="407"/>
      <c r="O16" s="407"/>
      <c r="P16" s="376"/>
      <c r="Q16" s="408"/>
    </row>
    <row r="17" customFormat="false" ht="22.5" hidden="false" customHeight="true" outlineLevel="0" collapsed="false">
      <c r="B17" s="368"/>
      <c r="C17" s="405"/>
      <c r="D17" s="405"/>
      <c r="E17" s="405"/>
      <c r="F17" s="405"/>
      <c r="G17" s="406"/>
      <c r="H17" s="400"/>
      <c r="I17" s="376"/>
      <c r="J17" s="400"/>
      <c r="K17" s="310"/>
      <c r="L17" s="310"/>
      <c r="M17" s="407"/>
      <c r="N17" s="407"/>
      <c r="O17" s="407"/>
      <c r="P17" s="376"/>
      <c r="Q17" s="408"/>
    </row>
    <row r="18" customFormat="false" ht="22.5" hidden="false" customHeight="true" outlineLevel="0" collapsed="false">
      <c r="B18" s="404"/>
      <c r="C18" s="405"/>
      <c r="D18" s="405"/>
      <c r="E18" s="405"/>
      <c r="F18" s="405"/>
      <c r="G18" s="406"/>
      <c r="H18" s="400"/>
      <c r="I18" s="376"/>
      <c r="J18" s="400"/>
      <c r="K18" s="310"/>
      <c r="L18" s="310"/>
      <c r="M18" s="407"/>
      <c r="N18" s="407"/>
      <c r="O18" s="407"/>
      <c r="P18" s="376"/>
      <c r="Q18" s="408"/>
    </row>
    <row r="19" customFormat="false" ht="22.5" hidden="false" customHeight="true" outlineLevel="0" collapsed="false">
      <c r="B19" s="368"/>
      <c r="C19" s="405"/>
      <c r="D19" s="405"/>
      <c r="E19" s="405"/>
      <c r="F19" s="405"/>
      <c r="G19" s="406"/>
      <c r="H19" s="400"/>
      <c r="I19" s="376"/>
      <c r="J19" s="400"/>
      <c r="K19" s="310"/>
      <c r="L19" s="310"/>
      <c r="M19" s="407"/>
      <c r="N19" s="407"/>
      <c r="O19" s="407"/>
      <c r="P19" s="376"/>
      <c r="Q19" s="408"/>
    </row>
    <row r="20" customFormat="false" ht="22.5" hidden="false" customHeight="true" outlineLevel="0" collapsed="false">
      <c r="B20" s="404"/>
      <c r="C20" s="405"/>
      <c r="D20" s="405"/>
      <c r="E20" s="405"/>
      <c r="F20" s="405"/>
      <c r="G20" s="406"/>
      <c r="H20" s="400"/>
      <c r="I20" s="376"/>
      <c r="J20" s="400"/>
      <c r="K20" s="310"/>
      <c r="L20" s="310"/>
      <c r="M20" s="407"/>
      <c r="N20" s="407"/>
      <c r="O20" s="407"/>
      <c r="P20" s="376"/>
      <c r="Q20" s="408"/>
    </row>
    <row r="21" customFormat="false" ht="22.5" hidden="false" customHeight="true" outlineLevel="0" collapsed="false">
      <c r="B21" s="368"/>
      <c r="C21" s="405"/>
      <c r="D21" s="405"/>
      <c r="E21" s="405"/>
      <c r="F21" s="405"/>
      <c r="G21" s="406"/>
      <c r="H21" s="400"/>
      <c r="I21" s="376"/>
      <c r="J21" s="400"/>
      <c r="K21" s="310"/>
      <c r="L21" s="310"/>
      <c r="M21" s="407"/>
      <c r="N21" s="407"/>
      <c r="O21" s="407"/>
      <c r="P21" s="376"/>
      <c r="Q21" s="408"/>
    </row>
    <row r="22" customFormat="false" ht="22.5" hidden="false" customHeight="true" outlineLevel="0" collapsed="false">
      <c r="B22" s="404"/>
      <c r="C22" s="405"/>
      <c r="D22" s="405"/>
      <c r="E22" s="405"/>
      <c r="F22" s="405"/>
      <c r="G22" s="406"/>
      <c r="H22" s="400"/>
      <c r="I22" s="376"/>
      <c r="J22" s="400"/>
      <c r="K22" s="310"/>
      <c r="L22" s="310"/>
      <c r="M22" s="407"/>
      <c r="N22" s="407"/>
      <c r="O22" s="407"/>
      <c r="P22" s="376"/>
      <c r="Q22" s="408"/>
    </row>
    <row r="23" customFormat="false" ht="22.5" hidden="false" customHeight="true" outlineLevel="0" collapsed="false">
      <c r="B23" s="368"/>
      <c r="C23" s="405"/>
      <c r="D23" s="405"/>
      <c r="E23" s="405"/>
      <c r="F23" s="405"/>
      <c r="G23" s="406"/>
      <c r="H23" s="400"/>
      <c r="I23" s="376"/>
      <c r="J23" s="400"/>
      <c r="K23" s="310"/>
      <c r="L23" s="310"/>
      <c r="M23" s="407"/>
      <c r="N23" s="407"/>
      <c r="O23" s="407"/>
      <c r="P23" s="376"/>
      <c r="Q23" s="408"/>
    </row>
    <row r="24" customFormat="false" ht="22.5" hidden="false" customHeight="true" outlineLevel="0" collapsed="false">
      <c r="B24" s="404"/>
      <c r="C24" s="405"/>
      <c r="D24" s="405"/>
      <c r="E24" s="405"/>
      <c r="F24" s="405"/>
      <c r="G24" s="406"/>
      <c r="H24" s="400"/>
      <c r="I24" s="376"/>
      <c r="J24" s="400"/>
      <c r="K24" s="310"/>
      <c r="L24" s="310"/>
      <c r="M24" s="407"/>
      <c r="N24" s="407"/>
      <c r="O24" s="407"/>
      <c r="P24" s="376"/>
      <c r="Q24" s="408"/>
    </row>
    <row r="25" customFormat="false" ht="22.5" hidden="false" customHeight="true" outlineLevel="0" collapsed="false">
      <c r="B25" s="368"/>
      <c r="C25" s="405"/>
      <c r="D25" s="405"/>
      <c r="E25" s="405"/>
      <c r="F25" s="405"/>
      <c r="G25" s="406"/>
      <c r="H25" s="400"/>
      <c r="I25" s="376"/>
      <c r="J25" s="400"/>
      <c r="K25" s="310"/>
      <c r="L25" s="310"/>
      <c r="M25" s="407"/>
      <c r="N25" s="407"/>
      <c r="O25" s="407"/>
      <c r="P25" s="376"/>
      <c r="Q25" s="408"/>
    </row>
    <row r="26" customFormat="false" ht="22.5" hidden="false" customHeight="true" outlineLevel="0" collapsed="false">
      <c r="B26" s="404"/>
      <c r="C26" s="405"/>
      <c r="D26" s="405"/>
      <c r="E26" s="405"/>
      <c r="F26" s="405"/>
      <c r="G26" s="406"/>
      <c r="H26" s="400"/>
      <c r="I26" s="376"/>
      <c r="J26" s="400"/>
      <c r="K26" s="310"/>
      <c r="L26" s="310"/>
      <c r="M26" s="407"/>
      <c r="N26" s="407"/>
      <c r="O26" s="407"/>
      <c r="P26" s="376"/>
      <c r="Q26" s="408"/>
    </row>
    <row r="27" customFormat="false" ht="22.5" hidden="false" customHeight="true" outlineLevel="0" collapsed="false">
      <c r="B27" s="368"/>
      <c r="C27" s="405"/>
      <c r="D27" s="405"/>
      <c r="E27" s="405"/>
      <c r="F27" s="405"/>
      <c r="G27" s="406"/>
      <c r="H27" s="400"/>
      <c r="I27" s="376"/>
      <c r="J27" s="400"/>
      <c r="K27" s="310"/>
      <c r="L27" s="310"/>
      <c r="M27" s="407"/>
      <c r="N27" s="407"/>
      <c r="O27" s="407"/>
      <c r="P27" s="376"/>
      <c r="Q27" s="408"/>
    </row>
    <row r="28" customFormat="false" ht="22.5" hidden="false" customHeight="true" outlineLevel="0" collapsed="false">
      <c r="B28" s="404"/>
      <c r="C28" s="405"/>
      <c r="D28" s="405"/>
      <c r="E28" s="405"/>
      <c r="F28" s="405"/>
      <c r="G28" s="406"/>
      <c r="H28" s="400"/>
      <c r="I28" s="376"/>
      <c r="J28" s="400"/>
      <c r="K28" s="310"/>
      <c r="L28" s="310"/>
      <c r="M28" s="407"/>
      <c r="N28" s="407"/>
      <c r="O28" s="407"/>
      <c r="P28" s="376"/>
      <c r="Q28" s="408"/>
    </row>
    <row r="29" customFormat="false" ht="22.5" hidden="false" customHeight="true" outlineLevel="0" collapsed="false">
      <c r="B29" s="368"/>
      <c r="C29" s="405"/>
      <c r="D29" s="405"/>
      <c r="E29" s="405"/>
      <c r="F29" s="405"/>
      <c r="G29" s="406"/>
      <c r="H29" s="400"/>
      <c r="I29" s="376"/>
      <c r="J29" s="400"/>
      <c r="K29" s="310"/>
      <c r="L29" s="310"/>
      <c r="M29" s="407"/>
      <c r="N29" s="407"/>
      <c r="O29" s="407"/>
      <c r="P29" s="376"/>
      <c r="Q29" s="408"/>
    </row>
    <row r="30" customFormat="false" ht="22.5" hidden="false" customHeight="true" outlineLevel="0" collapsed="false">
      <c r="B30" s="404"/>
      <c r="C30" s="405"/>
      <c r="D30" s="405"/>
      <c r="E30" s="405"/>
      <c r="F30" s="405"/>
      <c r="G30" s="406"/>
      <c r="H30" s="400"/>
      <c r="I30" s="376"/>
      <c r="J30" s="400"/>
      <c r="K30" s="310"/>
      <c r="L30" s="310"/>
      <c r="M30" s="407"/>
      <c r="N30" s="407"/>
      <c r="O30" s="407"/>
      <c r="P30" s="376"/>
      <c r="Q30" s="408"/>
    </row>
    <row r="31" customFormat="false" ht="22.5" hidden="false" customHeight="true" outlineLevel="0" collapsed="false">
      <c r="B31" s="368"/>
      <c r="C31" s="410"/>
      <c r="D31" s="410"/>
      <c r="E31" s="410"/>
      <c r="F31" s="410"/>
      <c r="G31" s="406"/>
      <c r="H31" s="400"/>
      <c r="I31" s="376"/>
      <c r="J31" s="400"/>
      <c r="K31" s="310"/>
      <c r="L31" s="310"/>
      <c r="M31" s="407"/>
      <c r="N31" s="407"/>
      <c r="O31" s="407"/>
      <c r="P31" s="376"/>
      <c r="Q31" s="411"/>
    </row>
    <row r="32" customFormat="false" ht="22.5" hidden="false" customHeight="true" outlineLevel="0" collapsed="false">
      <c r="B32" s="404"/>
      <c r="C32" s="410"/>
      <c r="D32" s="410"/>
      <c r="E32" s="410"/>
      <c r="F32" s="410"/>
      <c r="G32" s="412"/>
      <c r="H32" s="400"/>
      <c r="I32" s="376"/>
      <c r="J32" s="400"/>
      <c r="K32" s="310"/>
      <c r="L32" s="310"/>
      <c r="M32" s="407"/>
      <c r="N32" s="407"/>
      <c r="O32" s="407"/>
      <c r="P32" s="376"/>
      <c r="Q32" s="411"/>
    </row>
    <row r="33" customFormat="false" ht="22.5" hidden="false" customHeight="true" outlineLevel="0" collapsed="false">
      <c r="B33" s="368"/>
      <c r="C33" s="410"/>
      <c r="D33" s="410"/>
      <c r="E33" s="410"/>
      <c r="F33" s="410"/>
      <c r="G33" s="412"/>
      <c r="H33" s="400"/>
      <c r="I33" s="376"/>
      <c r="J33" s="400"/>
      <c r="K33" s="310"/>
      <c r="L33" s="310"/>
      <c r="M33" s="407"/>
      <c r="N33" s="407"/>
      <c r="O33" s="407"/>
      <c r="P33" s="376"/>
      <c r="Q33" s="411"/>
    </row>
    <row r="34" customFormat="false" ht="22.5" hidden="false" customHeight="true" outlineLevel="0" collapsed="false">
      <c r="B34" s="404"/>
      <c r="C34" s="410"/>
      <c r="D34" s="410"/>
      <c r="E34" s="410"/>
      <c r="F34" s="410"/>
      <c r="G34" s="412"/>
      <c r="H34" s="400"/>
      <c r="I34" s="376"/>
      <c r="J34" s="400"/>
      <c r="K34" s="310"/>
      <c r="L34" s="310"/>
      <c r="M34" s="407"/>
      <c r="N34" s="407"/>
      <c r="O34" s="407"/>
      <c r="P34" s="376"/>
      <c r="Q34" s="4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796875" defaultRowHeight="18" zeroHeight="false" outlineLevelRow="0" outlineLevelCol="0"/>
  <cols>
    <col collapsed="false" customWidth="false" hidden="false" outlineLevel="0" max="1" min="1" style="308" width="8.8"/>
    <col collapsed="false" customWidth="true" hidden="false" outlineLevel="0" max="2" min="2" style="308" width="41.8"/>
    <col collapsed="false" customWidth="true" hidden="false" outlineLevel="0" max="3" min="3" style="308" width="16.1"/>
    <col collapsed="false" customWidth="true" hidden="false" outlineLevel="0" max="6" min="4" style="308" width="13.2"/>
    <col collapsed="false" customWidth="true" hidden="false" outlineLevel="0" max="7" min="7" style="308" width="55.5"/>
    <col collapsed="false" customWidth="false" hidden="false" outlineLevel="0" max="16384" min="8" style="308" width="8.8"/>
  </cols>
  <sheetData>
    <row r="2" customFormat="false" ht="39" hidden="false" customHeight="true" outlineLevel="0" collapsed="false">
      <c r="B2" s="61" t="s">
        <v>296</v>
      </c>
      <c r="C2" s="174" t="s">
        <v>460</v>
      </c>
      <c r="D2" s="396" t="s">
        <v>461</v>
      </c>
      <c r="E2" s="396" t="s">
        <v>462</v>
      </c>
      <c r="F2" s="396" t="s">
        <v>463</v>
      </c>
      <c r="G2" s="175" t="s">
        <v>464</v>
      </c>
    </row>
    <row r="3" customFormat="false" ht="39" hidden="false" customHeight="true" outlineLevel="0" collapsed="false">
      <c r="B3" s="413" t="s">
        <v>465</v>
      </c>
      <c r="C3" s="414" t="s">
        <v>466</v>
      </c>
      <c r="D3" s="415" t="s">
        <v>199</v>
      </c>
      <c r="E3" s="416" t="s">
        <v>19</v>
      </c>
      <c r="F3" s="416" t="s">
        <v>19</v>
      </c>
      <c r="G3" s="417" t="s">
        <v>467</v>
      </c>
    </row>
    <row r="4" customFormat="false" ht="31.3" hidden="false" customHeight="false" outlineLevel="0" collapsed="false">
      <c r="B4" s="413" t="s">
        <v>468</v>
      </c>
      <c r="C4" s="414" t="s">
        <v>469</v>
      </c>
      <c r="D4" s="415" t="s">
        <v>199</v>
      </c>
      <c r="E4" s="416" t="n">
        <v>981267</v>
      </c>
      <c r="F4" s="416" t="s">
        <v>199</v>
      </c>
      <c r="G4" s="417" t="s">
        <v>199</v>
      </c>
    </row>
    <row r="5" customFormat="false" ht="31.3" hidden="false" customHeight="false" outlineLevel="0" collapsed="false">
      <c r="B5" s="413" t="s">
        <v>470</v>
      </c>
      <c r="C5" s="414" t="s">
        <v>365</v>
      </c>
      <c r="D5" s="415" t="s">
        <v>199</v>
      </c>
      <c r="E5" s="416" t="n">
        <v>614722</v>
      </c>
      <c r="F5" s="416" t="s">
        <v>199</v>
      </c>
      <c r="G5" s="417" t="s">
        <v>199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796875" defaultRowHeight="18" zeroHeight="false" outlineLevelRow="0" outlineLevelCol="0"/>
  <cols>
    <col collapsed="false" customWidth="false" hidden="false" outlineLevel="0" max="1" min="1" style="308" width="8.8"/>
    <col collapsed="false" customWidth="true" hidden="false" outlineLevel="0" max="2" min="2" style="308" width="10.2"/>
    <col collapsed="false" customWidth="true" hidden="false" outlineLevel="0" max="3" min="3" style="308" width="16.1"/>
    <col collapsed="false" customWidth="true" hidden="false" outlineLevel="0" max="4" min="4" style="308" width="21.1"/>
    <col collapsed="false" customWidth="true" hidden="false" outlineLevel="0" max="5" min="5" style="418" width="16.5"/>
    <col collapsed="false" customWidth="true" hidden="false" outlineLevel="0" max="6" min="6" style="308" width="11.29"/>
    <col collapsed="false" customWidth="true" hidden="false" outlineLevel="0" max="7" min="7" style="308" width="20.4"/>
    <col collapsed="false" customWidth="true" hidden="false" outlineLevel="0" max="9" min="8" style="172" width="13.4"/>
    <col collapsed="false" customWidth="true" hidden="true" outlineLevel="0" max="10" min="10" style="172" width="13.4"/>
    <col collapsed="false" customWidth="true" hidden="false" outlineLevel="0" max="11" min="11" style="308" width="34.1"/>
    <col collapsed="false" customWidth="false" hidden="false" outlineLevel="0" max="16384" min="12" style="308" width="8.8"/>
  </cols>
  <sheetData>
    <row r="1" s="2" customFormat="true" ht="18" hidden="false" customHeight="false" outlineLevel="0" collapsed="false">
      <c r="A1" s="308"/>
      <c r="B1" s="308"/>
      <c r="C1" s="308"/>
      <c r="D1" s="308"/>
      <c r="E1" s="173"/>
      <c r="F1" s="308"/>
      <c r="G1" s="308"/>
      <c r="H1" s="308"/>
      <c r="I1" s="2" t="s">
        <v>471</v>
      </c>
    </row>
    <row r="2" s="2" customFormat="true" ht="18" hidden="false" customHeight="false" outlineLevel="0" collapsed="false">
      <c r="B2" s="331"/>
      <c r="C2" s="331"/>
      <c r="E2" s="173"/>
    </row>
    <row r="3" s="2" customFormat="true" ht="39" hidden="false" customHeight="true" outlineLevel="0" collapsed="false">
      <c r="B3" s="205" t="s">
        <v>472</v>
      </c>
      <c r="C3" s="205" t="s">
        <v>303</v>
      </c>
      <c r="D3" s="396" t="s">
        <v>473</v>
      </c>
      <c r="E3" s="396" t="s">
        <v>474</v>
      </c>
      <c r="F3" s="396" t="s">
        <v>475</v>
      </c>
      <c r="G3" s="396" t="s">
        <v>476</v>
      </c>
      <c r="H3" s="396" t="s">
        <v>477</v>
      </c>
      <c r="I3" s="396" t="s">
        <v>478</v>
      </c>
      <c r="J3" s="396" t="s">
        <v>479</v>
      </c>
      <c r="K3" s="175" t="s">
        <v>236</v>
      </c>
    </row>
    <row r="4" s="2" customFormat="true" ht="22.5" hidden="false" customHeight="true" outlineLevel="0" collapsed="false">
      <c r="B4" s="419" t="s">
        <v>480</v>
      </c>
      <c r="C4" s="420" t="s">
        <v>481</v>
      </c>
      <c r="D4" s="420" t="s">
        <v>482</v>
      </c>
      <c r="E4" s="421" t="s">
        <v>199</v>
      </c>
      <c r="F4" s="420" t="s">
        <v>483</v>
      </c>
      <c r="G4" s="422" t="s">
        <v>484</v>
      </c>
      <c r="H4" s="423" t="n">
        <v>345029626</v>
      </c>
      <c r="I4" s="423" t="n">
        <f aca="false">H4</f>
        <v>345029626</v>
      </c>
      <c r="J4" s="424" t="s">
        <v>199</v>
      </c>
      <c r="K4" s="425" t="s">
        <v>485</v>
      </c>
    </row>
    <row r="5" s="2" customFormat="true" ht="22.5" hidden="false" customHeight="true" outlineLevel="0" collapsed="false">
      <c r="B5" s="419"/>
      <c r="C5" s="426" t="s">
        <v>486</v>
      </c>
      <c r="D5" s="426" t="s">
        <v>186</v>
      </c>
      <c r="E5" s="427" t="s">
        <v>199</v>
      </c>
      <c r="F5" s="426" t="s">
        <v>487</v>
      </c>
      <c r="G5" s="422" t="s">
        <v>488</v>
      </c>
      <c r="H5" s="424" t="n">
        <v>92242941</v>
      </c>
      <c r="I5" s="428" t="n">
        <f aca="false">H5</f>
        <v>92242941</v>
      </c>
      <c r="J5" s="429" t="s">
        <v>19</v>
      </c>
      <c r="K5" s="425" t="s">
        <v>489</v>
      </c>
    </row>
    <row r="6" s="2" customFormat="true" ht="59.25" hidden="false" customHeight="true" outlineLevel="0" collapsed="false">
      <c r="B6" s="419"/>
      <c r="C6" s="310" t="s">
        <v>490</v>
      </c>
      <c r="D6" s="310" t="s">
        <v>186</v>
      </c>
      <c r="E6" s="430" t="s">
        <v>199</v>
      </c>
      <c r="F6" s="311" t="s">
        <v>19</v>
      </c>
      <c r="G6" s="431" t="s">
        <v>491</v>
      </c>
      <c r="H6" s="424" t="n">
        <v>909149</v>
      </c>
      <c r="I6" s="31" t="n">
        <f aca="false">H6</f>
        <v>909149</v>
      </c>
      <c r="J6" s="432" t="s">
        <v>19</v>
      </c>
      <c r="K6" s="433" t="s">
        <v>492</v>
      </c>
    </row>
    <row r="7" s="2" customFormat="true" ht="22.5" hidden="false" customHeight="true" outlineLevel="0" collapsed="false">
      <c r="B7" s="419" t="s">
        <v>493</v>
      </c>
      <c r="C7" s="420" t="s">
        <v>494</v>
      </c>
      <c r="D7" s="420" t="s">
        <v>495</v>
      </c>
      <c r="E7" s="421" t="s">
        <v>199</v>
      </c>
      <c r="F7" s="420" t="s">
        <v>199</v>
      </c>
      <c r="G7" s="422" t="s">
        <v>496</v>
      </c>
      <c r="H7" s="424" t="n">
        <v>25569001</v>
      </c>
      <c r="I7" s="424" t="n">
        <f aca="false">H7</f>
        <v>25569001</v>
      </c>
      <c r="J7" s="424" t="s">
        <v>19</v>
      </c>
      <c r="K7" s="425" t="s">
        <v>497</v>
      </c>
    </row>
    <row r="8" s="2" customFormat="true" ht="48" hidden="false" customHeight="true" outlineLevel="0" collapsed="false">
      <c r="C8" s="310"/>
      <c r="D8" s="310"/>
      <c r="E8" s="430"/>
      <c r="F8" s="311"/>
      <c r="G8" s="431"/>
      <c r="H8" s="31"/>
      <c r="I8" s="31"/>
      <c r="J8" s="432"/>
      <c r="K8" s="433"/>
    </row>
    <row r="9" s="2" customFormat="true" ht="22.5" hidden="false" customHeight="true" outlineLevel="0" collapsed="false">
      <c r="B9" s="434"/>
      <c r="C9" s="434"/>
      <c r="D9" s="310"/>
      <c r="E9" s="435"/>
      <c r="F9" s="310"/>
      <c r="G9" s="431"/>
      <c r="H9" s="31"/>
      <c r="I9" s="31"/>
      <c r="J9" s="31"/>
      <c r="K9" s="433"/>
    </row>
    <row r="10" s="2" customFormat="true" ht="22.5" hidden="false" customHeight="true" outlineLevel="0" collapsed="false">
      <c r="B10" s="434"/>
      <c r="C10" s="434"/>
      <c r="D10" s="310"/>
      <c r="E10" s="435"/>
      <c r="F10" s="310"/>
      <c r="G10" s="431"/>
      <c r="H10" s="31"/>
      <c r="I10" s="31"/>
      <c r="J10" s="31"/>
      <c r="K10" s="433"/>
    </row>
    <row r="11" s="2" customFormat="true" ht="22.5" hidden="false" customHeight="true" outlineLevel="0" collapsed="false">
      <c r="B11" s="434"/>
      <c r="C11" s="434"/>
      <c r="D11" s="310"/>
      <c r="E11" s="435"/>
      <c r="F11" s="310"/>
      <c r="G11" s="431"/>
      <c r="H11" s="31"/>
      <c r="I11" s="31"/>
      <c r="J11" s="31"/>
      <c r="K11" s="433"/>
    </row>
    <row r="12" s="2" customFormat="true" ht="18" hidden="false" customHeight="false" outlineLevel="0" collapsed="false">
      <c r="E12" s="418"/>
      <c r="H12" s="172"/>
      <c r="I12" s="172"/>
      <c r="J12" s="172"/>
    </row>
    <row r="13" s="2" customFormat="true" ht="18" hidden="false" customHeight="false" outlineLevel="0" collapsed="false">
      <c r="E13" s="418"/>
      <c r="H13" s="172"/>
      <c r="I13" s="172"/>
      <c r="J13" s="172"/>
    </row>
    <row r="14" s="2" customFormat="true" ht="18" hidden="false" customHeight="false" outlineLevel="0" collapsed="false">
      <c r="B14" s="331"/>
      <c r="C14" s="331"/>
      <c r="E14" s="173"/>
    </row>
    <row r="15" s="2" customFormat="true" ht="39" hidden="false" customHeight="true" outlineLevel="0" collapsed="false">
      <c r="B15" s="205"/>
      <c r="C15" s="205"/>
      <c r="D15" s="396"/>
      <c r="E15" s="436"/>
      <c r="F15" s="396"/>
      <c r="G15" s="396"/>
      <c r="H15" s="396"/>
      <c r="I15" s="396"/>
      <c r="J15" s="396"/>
      <c r="K15" s="175"/>
    </row>
    <row r="16" s="2" customFormat="true" ht="22.5" hidden="false" customHeight="true" outlineLevel="0" collapsed="false">
      <c r="B16" s="437"/>
      <c r="C16" s="309"/>
      <c r="D16" s="309"/>
      <c r="E16" s="438"/>
      <c r="F16" s="309"/>
      <c r="G16" s="415"/>
      <c r="H16" s="416"/>
      <c r="I16" s="416"/>
      <c r="J16" s="416"/>
      <c r="K16" s="439"/>
    </row>
    <row r="17" s="2" customFormat="true" ht="22.5" hidden="false" customHeight="true" outlineLevel="0" collapsed="false">
      <c r="C17" s="310"/>
      <c r="D17" s="310"/>
      <c r="E17" s="435"/>
      <c r="F17" s="310"/>
      <c r="G17" s="415"/>
      <c r="H17" s="31"/>
      <c r="I17" s="31"/>
      <c r="J17" s="31"/>
      <c r="K17" s="439"/>
    </row>
    <row r="18" s="2" customFormat="true" ht="45" hidden="false" customHeight="true" outlineLevel="0" collapsed="false">
      <c r="C18" s="310"/>
      <c r="D18" s="310"/>
      <c r="E18" s="430"/>
      <c r="F18" s="311"/>
      <c r="G18" s="431"/>
      <c r="H18" s="31"/>
      <c r="I18" s="31"/>
      <c r="J18" s="432"/>
      <c r="K18" s="433"/>
    </row>
    <row r="19" s="2" customFormat="true" ht="22.5" hidden="false" customHeight="true" outlineLevel="0" collapsed="false">
      <c r="B19" s="434"/>
      <c r="C19" s="434"/>
      <c r="D19" s="310"/>
      <c r="E19" s="435"/>
      <c r="F19" s="310"/>
      <c r="G19" s="431"/>
      <c r="H19" s="31"/>
      <c r="I19" s="31"/>
      <c r="J19" s="31"/>
      <c r="K19" s="433"/>
    </row>
    <row r="20" s="2" customFormat="true" ht="22.5" hidden="false" customHeight="true" outlineLevel="0" collapsed="false">
      <c r="B20" s="434"/>
      <c r="C20" s="434"/>
      <c r="D20" s="310"/>
      <c r="E20" s="435"/>
      <c r="F20" s="310"/>
      <c r="G20" s="431"/>
      <c r="H20" s="31"/>
      <c r="I20" s="31"/>
      <c r="J20" s="31"/>
      <c r="K20" s="433"/>
    </row>
    <row r="21" s="2" customFormat="true" ht="22.5" hidden="false" customHeight="true" outlineLevel="0" collapsed="false">
      <c r="B21" s="434"/>
      <c r="C21" s="434"/>
      <c r="D21" s="310"/>
      <c r="E21" s="435"/>
      <c r="F21" s="310"/>
      <c r="G21" s="431"/>
      <c r="H21" s="31"/>
      <c r="I21" s="31"/>
      <c r="J21" s="31"/>
      <c r="K21" s="433"/>
    </row>
    <row r="22" s="2" customFormat="true" ht="18" hidden="false" customHeight="false" outlineLevel="0" collapsed="false">
      <c r="E22" s="418"/>
      <c r="H22" s="172"/>
      <c r="I22" s="172"/>
      <c r="J22" s="172"/>
    </row>
    <row r="23" s="2" customFormat="true" ht="18" hidden="false" customHeight="false" outlineLevel="0" collapsed="false">
      <c r="E23" s="418"/>
      <c r="H23" s="172"/>
      <c r="I23" s="172"/>
      <c r="J23" s="172"/>
    </row>
    <row r="24" s="2" customFormat="true" ht="18" hidden="false" customHeight="false" outlineLevel="0" collapsed="false">
      <c r="E24" s="418"/>
      <c r="H24" s="172"/>
      <c r="I24" s="172"/>
      <c r="J24" s="172"/>
    </row>
    <row r="25" s="2" customFormat="true" ht="18" hidden="false" customHeight="false" outlineLevel="0" collapsed="false">
      <c r="E25" s="418"/>
      <c r="H25" s="172"/>
      <c r="I25" s="172"/>
      <c r="J25" s="172"/>
    </row>
    <row r="26" s="2" customFormat="true" ht="18" hidden="false" customHeight="false" outlineLevel="0" collapsed="false">
      <c r="E26" s="418"/>
      <c r="H26" s="172"/>
      <c r="I26" s="172"/>
      <c r="J26" s="172"/>
    </row>
    <row r="27" s="2" customFormat="true" ht="18" hidden="false" customHeight="false" outlineLevel="0" collapsed="false">
      <c r="E27" s="418"/>
      <c r="H27" s="172"/>
      <c r="I27" s="172"/>
      <c r="J27" s="172"/>
    </row>
    <row r="28" s="2" customFormat="true" ht="18" hidden="false" customHeight="false" outlineLevel="0" collapsed="false">
      <c r="E28" s="418"/>
      <c r="H28" s="172"/>
      <c r="I28" s="172"/>
      <c r="J28" s="172"/>
    </row>
    <row r="29" s="2" customFormat="true" ht="18" hidden="false" customHeight="false" outlineLevel="0" collapsed="false">
      <c r="E29" s="418"/>
      <c r="H29" s="172"/>
      <c r="I29" s="172"/>
      <c r="J29" s="172"/>
    </row>
    <row r="30" s="2" customFormat="true" ht="18" hidden="false" customHeight="false" outlineLevel="0" collapsed="false">
      <c r="E30" s="418"/>
      <c r="H30" s="172"/>
      <c r="I30" s="172"/>
      <c r="J30" s="172"/>
    </row>
    <row r="31" s="2" customFormat="true" ht="18" hidden="false" customHeight="false" outlineLevel="0" collapsed="false">
      <c r="E31" s="418"/>
      <c r="H31" s="172"/>
      <c r="I31" s="172"/>
      <c r="J31" s="172"/>
    </row>
    <row r="32" s="2" customFormat="true" ht="18" hidden="false" customHeight="false" outlineLevel="0" collapsed="false">
      <c r="E32" s="418"/>
      <c r="H32" s="172"/>
      <c r="I32" s="172"/>
      <c r="J32" s="172"/>
    </row>
    <row r="33" s="2" customFormat="true" ht="18" hidden="false" customHeight="false" outlineLevel="0" collapsed="false">
      <c r="E33" s="418"/>
      <c r="H33" s="172"/>
      <c r="I33" s="172"/>
      <c r="J33" s="172"/>
    </row>
    <row r="34" s="2" customFormat="true" ht="18" hidden="false" customHeight="false" outlineLevel="0" collapsed="false">
      <c r="E34" s="418"/>
      <c r="H34" s="172"/>
      <c r="I34" s="172"/>
      <c r="J34" s="172"/>
    </row>
    <row r="35" s="2" customFormat="true" ht="18" hidden="false" customHeight="false" outlineLevel="0" collapsed="false">
      <c r="E35" s="418"/>
      <c r="H35" s="172"/>
      <c r="I35" s="172"/>
      <c r="J35" s="172"/>
    </row>
    <row r="36" s="2" customFormat="true" ht="18" hidden="false" customHeight="false" outlineLevel="0" collapsed="false">
      <c r="E36" s="418"/>
      <c r="H36" s="172"/>
      <c r="I36" s="172"/>
      <c r="J36" s="172"/>
    </row>
    <row r="37" s="2" customFormat="true" ht="18" hidden="false" customHeight="false" outlineLevel="0" collapsed="false">
      <c r="E37" s="418"/>
      <c r="H37" s="172"/>
      <c r="I37" s="172"/>
      <c r="J37" s="172"/>
    </row>
    <row r="38" s="2" customFormat="true" ht="18" hidden="false" customHeight="false" outlineLevel="0" collapsed="false">
      <c r="E38" s="418"/>
      <c r="H38" s="172"/>
      <c r="I38" s="172"/>
      <c r="J38" s="172"/>
    </row>
    <row r="39" s="2" customFormat="true" ht="18" hidden="false" customHeight="false" outlineLevel="0" collapsed="false">
      <c r="E39" s="418"/>
      <c r="H39" s="172"/>
      <c r="I39" s="172"/>
      <c r="J39" s="172"/>
    </row>
    <row r="40" s="2" customFormat="true" ht="18" hidden="false" customHeight="false" outlineLevel="0" collapsed="false">
      <c r="E40" s="418"/>
      <c r="H40" s="172"/>
      <c r="I40" s="172"/>
      <c r="J40" s="172"/>
    </row>
    <row r="41" s="2" customFormat="true" ht="18" hidden="false" customHeight="false" outlineLevel="0" collapsed="false">
      <c r="E41" s="418"/>
      <c r="H41" s="172"/>
      <c r="I41" s="172"/>
      <c r="J41" s="172"/>
    </row>
    <row r="42" s="2" customFormat="true" ht="18" hidden="false" customHeight="false" outlineLevel="0" collapsed="false">
      <c r="E42" s="418"/>
      <c r="H42" s="172"/>
      <c r="I42" s="172"/>
      <c r="J42" s="172"/>
    </row>
    <row r="43" s="2" customFormat="true" ht="18" hidden="false" customHeight="false" outlineLevel="0" collapsed="false">
      <c r="E43" s="418"/>
      <c r="H43" s="172"/>
      <c r="I43" s="172"/>
      <c r="J43" s="172"/>
    </row>
    <row r="44" s="2" customFormat="true" ht="18" hidden="false" customHeight="false" outlineLevel="0" collapsed="false">
      <c r="E44" s="418"/>
      <c r="H44" s="172"/>
      <c r="I44" s="172"/>
      <c r="J44" s="172"/>
    </row>
    <row r="45" s="2" customFormat="true" ht="18" hidden="false" customHeight="false" outlineLevel="0" collapsed="false">
      <c r="E45" s="418"/>
      <c r="H45" s="172"/>
      <c r="I45" s="172"/>
      <c r="J45" s="172"/>
    </row>
    <row r="46" s="2" customFormat="true" ht="18" hidden="false" customHeight="false" outlineLevel="0" collapsed="false">
      <c r="E46" s="418"/>
      <c r="H46" s="172"/>
      <c r="I46" s="172"/>
      <c r="J46" s="172"/>
    </row>
    <row r="47" s="2" customFormat="true" ht="18" hidden="false" customHeight="false" outlineLevel="0" collapsed="false">
      <c r="E47" s="418"/>
      <c r="H47" s="172"/>
      <c r="I47" s="172"/>
      <c r="J47" s="172"/>
    </row>
    <row r="48" s="2" customFormat="true" ht="18" hidden="false" customHeight="false" outlineLevel="0" collapsed="false">
      <c r="E48" s="418"/>
      <c r="H48" s="172"/>
      <c r="I48" s="172"/>
      <c r="J48" s="172"/>
    </row>
    <row r="49" s="2" customFormat="true" ht="18" hidden="false" customHeight="false" outlineLevel="0" collapsed="false">
      <c r="E49" s="418"/>
      <c r="H49" s="172"/>
      <c r="I49" s="172"/>
      <c r="J49" s="172"/>
    </row>
    <row r="50" s="2" customFormat="true" ht="18" hidden="false" customHeight="false" outlineLevel="0" collapsed="false">
      <c r="E50" s="418"/>
      <c r="H50" s="172"/>
      <c r="I50" s="172"/>
      <c r="J50" s="172"/>
    </row>
    <row r="51" s="2" customFormat="true" ht="18" hidden="false" customHeight="false" outlineLevel="0" collapsed="false">
      <c r="E51" s="418"/>
      <c r="H51" s="172"/>
      <c r="I51" s="172"/>
      <c r="J51" s="172"/>
    </row>
    <row r="52" s="2" customFormat="true" ht="18" hidden="false" customHeight="false" outlineLevel="0" collapsed="false">
      <c r="E52" s="418"/>
      <c r="H52" s="172"/>
      <c r="I52" s="172"/>
      <c r="J52" s="172"/>
    </row>
    <row r="53" s="2" customFormat="true" ht="18" hidden="false" customHeight="false" outlineLevel="0" collapsed="false">
      <c r="E53" s="418"/>
      <c r="H53" s="172"/>
      <c r="I53" s="172"/>
      <c r="J53" s="172"/>
    </row>
    <row r="54" s="2" customFormat="true" ht="18" hidden="false" customHeight="false" outlineLevel="0" collapsed="false">
      <c r="E54" s="418"/>
      <c r="H54" s="172"/>
      <c r="I54" s="172"/>
      <c r="J54" s="172"/>
    </row>
    <row r="55" s="2" customFormat="true" ht="18" hidden="false" customHeight="false" outlineLevel="0" collapsed="false">
      <c r="E55" s="418"/>
      <c r="H55" s="172"/>
      <c r="I55" s="172"/>
      <c r="J55" s="172"/>
    </row>
    <row r="56" s="2" customFormat="true" ht="18" hidden="false" customHeight="false" outlineLevel="0" collapsed="false">
      <c r="E56" s="418"/>
      <c r="H56" s="172"/>
      <c r="I56" s="172"/>
      <c r="J56" s="172"/>
    </row>
    <row r="57" s="2" customFormat="true" ht="18" hidden="false" customHeight="false" outlineLevel="0" collapsed="false">
      <c r="E57" s="418"/>
      <c r="H57" s="172"/>
      <c r="I57" s="172"/>
      <c r="J57" s="172"/>
    </row>
    <row r="58" s="2" customFormat="true" ht="18" hidden="false" customHeight="false" outlineLevel="0" collapsed="false">
      <c r="E58" s="418"/>
      <c r="H58" s="172"/>
      <c r="I58" s="172"/>
      <c r="J58" s="172"/>
    </row>
    <row r="59" s="2" customFormat="true" ht="18" hidden="false" customHeight="false" outlineLevel="0" collapsed="false">
      <c r="E59" s="418"/>
      <c r="H59" s="172"/>
      <c r="I59" s="172"/>
      <c r="J59" s="172"/>
    </row>
    <row r="60" s="2" customFormat="true" ht="18" hidden="false" customHeight="false" outlineLevel="0" collapsed="false">
      <c r="E60" s="418"/>
      <c r="H60" s="172"/>
      <c r="I60" s="172"/>
      <c r="J60" s="172"/>
    </row>
    <row r="61" s="2" customFormat="true" ht="18" hidden="false" customHeight="false" outlineLevel="0" collapsed="false">
      <c r="E61" s="418"/>
      <c r="H61" s="172"/>
      <c r="I61" s="172"/>
      <c r="J61" s="172"/>
    </row>
    <row r="62" s="2" customFormat="true" ht="18" hidden="false" customHeight="false" outlineLevel="0" collapsed="false">
      <c r="E62" s="418"/>
      <c r="H62" s="172"/>
      <c r="I62" s="172"/>
      <c r="J62" s="172"/>
    </row>
    <row r="63" s="2" customFormat="true" ht="18" hidden="false" customHeight="false" outlineLevel="0" collapsed="false">
      <c r="E63" s="418"/>
      <c r="H63" s="172"/>
      <c r="I63" s="172"/>
      <c r="J63" s="172"/>
    </row>
    <row r="64" s="2" customFormat="true" ht="18" hidden="false" customHeight="false" outlineLevel="0" collapsed="false">
      <c r="E64" s="418"/>
      <c r="H64" s="172"/>
      <c r="I64" s="172"/>
      <c r="J64" s="172"/>
    </row>
    <row r="65" s="2" customFormat="true" ht="18" hidden="false" customHeight="false" outlineLevel="0" collapsed="false">
      <c r="E65" s="418"/>
      <c r="H65" s="172"/>
      <c r="I65" s="172"/>
      <c r="J65" s="172"/>
    </row>
    <row r="66" s="2" customFormat="true" ht="18" hidden="false" customHeight="false" outlineLevel="0" collapsed="false">
      <c r="E66" s="418"/>
      <c r="H66" s="172"/>
      <c r="I66" s="172"/>
      <c r="J66" s="172"/>
    </row>
    <row r="67" s="2" customFormat="true" ht="18" hidden="false" customHeight="false" outlineLevel="0" collapsed="false">
      <c r="E67" s="418"/>
      <c r="H67" s="172"/>
      <c r="I67" s="172"/>
      <c r="J67" s="172"/>
    </row>
    <row r="68" s="2" customFormat="true" ht="18" hidden="false" customHeight="false" outlineLevel="0" collapsed="false">
      <c r="E68" s="418"/>
      <c r="H68" s="172"/>
      <c r="I68" s="172"/>
      <c r="J68" s="172"/>
    </row>
    <row r="69" s="2" customFormat="true" ht="18" hidden="false" customHeight="false" outlineLevel="0" collapsed="false">
      <c r="E69" s="418"/>
      <c r="H69" s="172"/>
      <c r="I69" s="172"/>
      <c r="J69" s="172"/>
    </row>
    <row r="70" s="2" customFormat="true" ht="18" hidden="false" customHeight="false" outlineLevel="0" collapsed="false">
      <c r="E70" s="418"/>
      <c r="H70" s="172"/>
      <c r="I70" s="172"/>
      <c r="J70" s="172"/>
    </row>
    <row r="71" s="2" customFormat="true" ht="18" hidden="false" customHeight="false" outlineLevel="0" collapsed="false">
      <c r="E71" s="418"/>
      <c r="H71" s="172"/>
      <c r="I71" s="172"/>
      <c r="J71" s="172"/>
    </row>
    <row r="72" s="2" customFormat="true" ht="18" hidden="false" customHeight="false" outlineLevel="0" collapsed="false">
      <c r="E72" s="418"/>
      <c r="H72" s="172"/>
      <c r="I72" s="172"/>
      <c r="J72" s="172"/>
    </row>
    <row r="73" s="2" customFormat="true" ht="18" hidden="false" customHeight="false" outlineLevel="0" collapsed="false">
      <c r="E73" s="418"/>
      <c r="H73" s="172"/>
      <c r="I73" s="172"/>
      <c r="J73" s="172"/>
    </row>
    <row r="74" s="2" customFormat="true" ht="18" hidden="false" customHeight="false" outlineLevel="0" collapsed="false">
      <c r="E74" s="418"/>
      <c r="H74" s="172"/>
      <c r="I74" s="172"/>
      <c r="J74" s="172"/>
    </row>
    <row r="75" s="2" customFormat="true" ht="18" hidden="false" customHeight="false" outlineLevel="0" collapsed="false">
      <c r="E75" s="418"/>
      <c r="H75" s="172"/>
      <c r="I75" s="172"/>
      <c r="J75" s="172"/>
    </row>
    <row r="76" s="2" customFormat="true" ht="18" hidden="false" customHeight="false" outlineLevel="0" collapsed="false">
      <c r="E76" s="418"/>
      <c r="H76" s="172"/>
      <c r="I76" s="172"/>
      <c r="J76" s="172"/>
    </row>
    <row r="77" s="2" customFormat="true" ht="18" hidden="false" customHeight="false" outlineLevel="0" collapsed="false">
      <c r="E77" s="418"/>
      <c r="H77" s="172"/>
      <c r="I77" s="172"/>
      <c r="J77" s="172"/>
    </row>
    <row r="78" s="2" customFormat="true" ht="18" hidden="false" customHeight="false" outlineLevel="0" collapsed="false">
      <c r="E78" s="418"/>
      <c r="H78" s="172"/>
      <c r="I78" s="172"/>
      <c r="J78" s="172"/>
    </row>
    <row r="79" s="2" customFormat="true" ht="18" hidden="false" customHeight="false" outlineLevel="0" collapsed="false">
      <c r="E79" s="418"/>
      <c r="H79" s="172"/>
      <c r="I79" s="172"/>
      <c r="J79" s="172"/>
    </row>
    <row r="80" s="2" customFormat="true" ht="18" hidden="false" customHeight="false" outlineLevel="0" collapsed="false">
      <c r="E80" s="418"/>
      <c r="H80" s="172"/>
      <c r="I80" s="172"/>
      <c r="J80" s="172"/>
    </row>
    <row r="81" s="2" customFormat="true" ht="18" hidden="false" customHeight="false" outlineLevel="0" collapsed="false">
      <c r="E81" s="418"/>
      <c r="H81" s="172"/>
      <c r="I81" s="172"/>
      <c r="J81" s="172"/>
    </row>
    <row r="82" s="2" customFormat="true" ht="18" hidden="false" customHeight="false" outlineLevel="0" collapsed="false">
      <c r="E82" s="418"/>
      <c r="H82" s="172"/>
      <c r="I82" s="172"/>
      <c r="J82" s="172"/>
    </row>
    <row r="83" s="2" customFormat="true" ht="18" hidden="false" customHeight="false" outlineLevel="0" collapsed="false">
      <c r="E83" s="418"/>
      <c r="H83" s="172"/>
      <c r="I83" s="172"/>
      <c r="J83" s="172"/>
    </row>
    <row r="84" s="2" customFormat="true" ht="18" hidden="false" customHeight="false" outlineLevel="0" collapsed="false">
      <c r="E84" s="418"/>
      <c r="H84" s="172"/>
      <c r="I84" s="172"/>
      <c r="J84" s="172"/>
    </row>
    <row r="85" s="2" customFormat="true" ht="18" hidden="false" customHeight="false" outlineLevel="0" collapsed="false">
      <c r="E85" s="418"/>
      <c r="H85" s="172"/>
      <c r="I85" s="172"/>
      <c r="J85" s="172"/>
    </row>
    <row r="86" s="2" customFormat="true" ht="18" hidden="false" customHeight="false" outlineLevel="0" collapsed="false">
      <c r="E86" s="418"/>
      <c r="H86" s="172"/>
      <c r="I86" s="172"/>
      <c r="J86" s="172"/>
    </row>
    <row r="87" s="2" customFormat="true" ht="18" hidden="false" customHeight="false" outlineLevel="0" collapsed="false">
      <c r="E87" s="418"/>
      <c r="H87" s="172"/>
      <c r="I87" s="172"/>
      <c r="J87" s="172"/>
    </row>
    <row r="88" s="2" customFormat="true" ht="18" hidden="false" customHeight="false" outlineLevel="0" collapsed="false">
      <c r="E88" s="418"/>
      <c r="H88" s="172"/>
      <c r="I88" s="172"/>
      <c r="J88" s="172"/>
    </row>
    <row r="89" s="2" customFormat="true" ht="18" hidden="false" customHeight="false" outlineLevel="0" collapsed="false">
      <c r="E89" s="418"/>
      <c r="H89" s="172"/>
      <c r="I89" s="172"/>
      <c r="J89" s="172"/>
    </row>
    <row r="90" s="2" customFormat="true" ht="18" hidden="false" customHeight="false" outlineLevel="0" collapsed="false">
      <c r="E90" s="418"/>
      <c r="H90" s="172"/>
      <c r="I90" s="172"/>
      <c r="J90" s="172"/>
    </row>
    <row r="91" s="2" customFormat="true" ht="18" hidden="false" customHeight="false" outlineLevel="0" collapsed="false">
      <c r="E91" s="418"/>
      <c r="H91" s="172"/>
      <c r="I91" s="172"/>
      <c r="J91" s="172"/>
    </row>
    <row r="92" s="2" customFormat="true" ht="18" hidden="false" customHeight="false" outlineLevel="0" collapsed="false">
      <c r="E92" s="418"/>
      <c r="H92" s="172"/>
      <c r="I92" s="172"/>
      <c r="J92" s="172"/>
    </row>
    <row r="93" s="2" customFormat="true" ht="18" hidden="false" customHeight="false" outlineLevel="0" collapsed="false">
      <c r="E93" s="418"/>
      <c r="H93" s="172"/>
      <c r="I93" s="172"/>
      <c r="J93" s="172"/>
    </row>
    <row r="94" s="2" customFormat="true" ht="18" hidden="false" customHeight="false" outlineLevel="0" collapsed="false">
      <c r="E94" s="418"/>
      <c r="H94" s="172"/>
      <c r="I94" s="172"/>
      <c r="J94" s="172"/>
    </row>
    <row r="95" s="2" customFormat="true" ht="18" hidden="false" customHeight="false" outlineLevel="0" collapsed="false">
      <c r="E95" s="418"/>
      <c r="H95" s="172"/>
      <c r="I95" s="172"/>
      <c r="J95" s="172"/>
    </row>
    <row r="96" s="2" customFormat="true" ht="18" hidden="false" customHeight="false" outlineLevel="0" collapsed="false">
      <c r="E96" s="418"/>
      <c r="H96" s="172"/>
      <c r="I96" s="172"/>
      <c r="J96" s="172"/>
    </row>
    <row r="97" s="2" customFormat="true" ht="18" hidden="false" customHeight="false" outlineLevel="0" collapsed="false">
      <c r="E97" s="418"/>
      <c r="H97" s="172"/>
      <c r="I97" s="172"/>
      <c r="J97" s="172"/>
    </row>
    <row r="98" s="2" customFormat="true" ht="18" hidden="false" customHeight="false" outlineLevel="0" collapsed="false">
      <c r="E98" s="418"/>
      <c r="H98" s="172"/>
      <c r="I98" s="172"/>
      <c r="J98" s="172"/>
    </row>
    <row r="99" s="2" customFormat="true" ht="18" hidden="false" customHeight="false" outlineLevel="0" collapsed="false">
      <c r="E99" s="418"/>
      <c r="H99" s="172"/>
      <c r="I99" s="172"/>
      <c r="J99" s="172"/>
    </row>
    <row r="100" s="2" customFormat="true" ht="18" hidden="false" customHeight="false" outlineLevel="0" collapsed="false">
      <c r="E100" s="418"/>
      <c r="H100" s="172"/>
      <c r="I100" s="172"/>
      <c r="J100" s="172"/>
    </row>
    <row r="101" s="2" customFormat="true" ht="18" hidden="false" customHeight="false" outlineLevel="0" collapsed="false">
      <c r="E101" s="418"/>
      <c r="H101" s="172"/>
      <c r="I101" s="172"/>
      <c r="J101" s="172"/>
    </row>
    <row r="102" s="2" customFormat="true" ht="18" hidden="false" customHeight="false" outlineLevel="0" collapsed="false">
      <c r="E102" s="418"/>
      <c r="H102" s="172"/>
      <c r="I102" s="172"/>
      <c r="J102" s="172"/>
    </row>
    <row r="103" s="2" customFormat="true" ht="18" hidden="false" customHeight="false" outlineLevel="0" collapsed="false">
      <c r="E103" s="418"/>
      <c r="H103" s="172"/>
      <c r="I103" s="172"/>
      <c r="J103" s="172"/>
    </row>
    <row r="104" s="2" customFormat="true" ht="18" hidden="false" customHeight="false" outlineLevel="0" collapsed="false">
      <c r="E104" s="418"/>
      <c r="H104" s="172"/>
      <c r="I104" s="172"/>
      <c r="J104" s="172"/>
    </row>
    <row r="105" s="2" customFormat="true" ht="18" hidden="false" customHeight="false" outlineLevel="0" collapsed="false">
      <c r="E105" s="418"/>
      <c r="H105" s="172"/>
      <c r="I105" s="172"/>
      <c r="J105" s="172"/>
    </row>
    <row r="106" s="2" customFormat="true" ht="18" hidden="false" customHeight="false" outlineLevel="0" collapsed="false">
      <c r="E106" s="418"/>
      <c r="H106" s="172"/>
      <c r="I106" s="172"/>
      <c r="J106" s="172"/>
    </row>
    <row r="107" s="2" customFormat="true" ht="18" hidden="false" customHeight="false" outlineLevel="0" collapsed="false">
      <c r="E107" s="418"/>
      <c r="H107" s="172"/>
      <c r="I107" s="172"/>
      <c r="J107" s="172"/>
    </row>
    <row r="108" s="2" customFormat="true" ht="18" hidden="false" customHeight="false" outlineLevel="0" collapsed="false">
      <c r="E108" s="418"/>
      <c r="H108" s="172"/>
      <c r="I108" s="172"/>
      <c r="J108" s="172"/>
    </row>
    <row r="109" s="2" customFormat="true" ht="18" hidden="false" customHeight="false" outlineLevel="0" collapsed="false">
      <c r="E109" s="418"/>
      <c r="H109" s="172"/>
      <c r="I109" s="172"/>
      <c r="J109" s="172"/>
    </row>
    <row r="110" s="2" customFormat="true" ht="18" hidden="false" customHeight="false" outlineLevel="0" collapsed="false">
      <c r="E110" s="418"/>
      <c r="H110" s="172"/>
      <c r="I110" s="172"/>
      <c r="J110" s="172"/>
    </row>
    <row r="111" s="2" customFormat="true" ht="18" hidden="false" customHeight="false" outlineLevel="0" collapsed="false">
      <c r="E111" s="418"/>
      <c r="H111" s="172"/>
      <c r="I111" s="172"/>
      <c r="J111" s="172"/>
    </row>
    <row r="112" s="2" customFormat="true" ht="18" hidden="false" customHeight="false" outlineLevel="0" collapsed="false">
      <c r="E112" s="418"/>
      <c r="H112" s="172"/>
      <c r="I112" s="172"/>
      <c r="J112" s="172"/>
    </row>
    <row r="113" s="2" customFormat="true" ht="18" hidden="false" customHeight="false" outlineLevel="0" collapsed="false">
      <c r="E113" s="418"/>
      <c r="H113" s="172"/>
      <c r="I113" s="172"/>
      <c r="J113" s="172"/>
    </row>
    <row r="114" s="2" customFormat="true" ht="18" hidden="false" customHeight="false" outlineLevel="0" collapsed="false">
      <c r="E114" s="418"/>
      <c r="H114" s="172"/>
      <c r="I114" s="172"/>
      <c r="J114" s="172"/>
    </row>
    <row r="115" s="2" customFormat="true" ht="18" hidden="false" customHeight="false" outlineLevel="0" collapsed="false">
      <c r="E115" s="418"/>
      <c r="H115" s="172"/>
      <c r="I115" s="172"/>
      <c r="J115" s="172"/>
    </row>
    <row r="116" s="2" customFormat="true" ht="18" hidden="false" customHeight="false" outlineLevel="0" collapsed="false">
      <c r="E116" s="418"/>
      <c r="H116" s="172"/>
      <c r="I116" s="172"/>
      <c r="J116" s="172"/>
    </row>
    <row r="117" s="2" customFormat="true" ht="18" hidden="false" customHeight="false" outlineLevel="0" collapsed="false">
      <c r="E117" s="418"/>
      <c r="H117" s="172"/>
      <c r="I117" s="172"/>
      <c r="J117" s="172"/>
    </row>
    <row r="118" s="2" customFormat="true" ht="18" hidden="false" customHeight="false" outlineLevel="0" collapsed="false">
      <c r="E118" s="418"/>
      <c r="H118" s="172"/>
      <c r="I118" s="172"/>
      <c r="J118" s="172"/>
    </row>
    <row r="119" s="2" customFormat="true" ht="18" hidden="false" customHeight="false" outlineLevel="0" collapsed="false">
      <c r="E119" s="418"/>
      <c r="H119" s="172"/>
      <c r="I119" s="172"/>
      <c r="J119" s="172"/>
    </row>
    <row r="120" s="2" customFormat="true" ht="18" hidden="false" customHeight="false" outlineLevel="0" collapsed="false">
      <c r="E120" s="418"/>
      <c r="H120" s="172"/>
      <c r="I120" s="172"/>
      <c r="J120" s="172"/>
    </row>
    <row r="121" s="2" customFormat="true" ht="18" hidden="false" customHeight="false" outlineLevel="0" collapsed="false">
      <c r="E121" s="418"/>
      <c r="H121" s="172"/>
      <c r="I121" s="172"/>
      <c r="J121" s="172"/>
    </row>
    <row r="122" s="2" customFormat="true" ht="18" hidden="false" customHeight="false" outlineLevel="0" collapsed="false">
      <c r="E122" s="418"/>
      <c r="H122" s="172"/>
      <c r="I122" s="172"/>
      <c r="J122" s="172"/>
    </row>
    <row r="123" s="2" customFormat="true" ht="18" hidden="false" customHeight="false" outlineLevel="0" collapsed="false">
      <c r="E123" s="418"/>
      <c r="H123" s="172"/>
      <c r="I123" s="172"/>
      <c r="J123" s="172"/>
    </row>
    <row r="124" s="2" customFormat="true" ht="18" hidden="false" customHeight="false" outlineLevel="0" collapsed="false">
      <c r="E124" s="418"/>
      <c r="H124" s="172"/>
      <c r="I124" s="172"/>
      <c r="J124" s="172"/>
    </row>
    <row r="125" s="2" customFormat="true" ht="18" hidden="false" customHeight="false" outlineLevel="0" collapsed="false">
      <c r="E125" s="418"/>
      <c r="H125" s="172"/>
      <c r="I125" s="172"/>
      <c r="J125" s="172"/>
    </row>
    <row r="126" s="2" customFormat="true" ht="18" hidden="false" customHeight="false" outlineLevel="0" collapsed="false">
      <c r="E126" s="418"/>
      <c r="H126" s="172"/>
      <c r="I126" s="172"/>
      <c r="J126" s="172"/>
    </row>
    <row r="127" s="2" customFormat="true" ht="18" hidden="false" customHeight="false" outlineLevel="0" collapsed="false">
      <c r="E127" s="418"/>
      <c r="H127" s="172"/>
      <c r="I127" s="172"/>
      <c r="J127" s="172"/>
    </row>
    <row r="128" s="2" customFormat="true" ht="18" hidden="false" customHeight="false" outlineLevel="0" collapsed="false">
      <c r="E128" s="418"/>
      <c r="H128" s="172"/>
      <c r="I128" s="172"/>
      <c r="J128" s="172"/>
    </row>
    <row r="129" s="2" customFormat="true" ht="18" hidden="false" customHeight="false" outlineLevel="0" collapsed="false">
      <c r="E129" s="418"/>
      <c r="H129" s="172"/>
      <c r="I129" s="172"/>
      <c r="J129" s="172"/>
    </row>
    <row r="130" s="2" customFormat="true" ht="18" hidden="false" customHeight="false" outlineLevel="0" collapsed="false">
      <c r="E130" s="418"/>
      <c r="H130" s="172"/>
      <c r="I130" s="172"/>
      <c r="J130" s="172"/>
    </row>
    <row r="131" s="2" customFormat="true" ht="18" hidden="false" customHeight="false" outlineLevel="0" collapsed="false">
      <c r="E131" s="418"/>
      <c r="H131" s="172"/>
      <c r="I131" s="172"/>
      <c r="J131" s="172"/>
    </row>
    <row r="132" s="2" customFormat="true" ht="18" hidden="false" customHeight="false" outlineLevel="0" collapsed="false">
      <c r="E132" s="418"/>
      <c r="H132" s="172"/>
      <c r="I132" s="172"/>
      <c r="J132" s="172"/>
    </row>
    <row r="133" s="2" customFormat="true" ht="18" hidden="false" customHeight="false" outlineLevel="0" collapsed="false">
      <c r="E133" s="418"/>
      <c r="H133" s="172"/>
      <c r="I133" s="172"/>
      <c r="J133" s="172"/>
    </row>
    <row r="134" s="2" customFormat="true" ht="18" hidden="false" customHeight="false" outlineLevel="0" collapsed="false">
      <c r="E134" s="418"/>
      <c r="H134" s="172"/>
      <c r="I134" s="172"/>
      <c r="J134" s="172"/>
    </row>
    <row r="135" s="2" customFormat="true" ht="18" hidden="false" customHeight="false" outlineLevel="0" collapsed="false">
      <c r="E135" s="418"/>
      <c r="H135" s="172"/>
      <c r="I135" s="172"/>
      <c r="J135" s="172"/>
    </row>
    <row r="136" s="2" customFormat="true" ht="18" hidden="false" customHeight="false" outlineLevel="0" collapsed="false">
      <c r="E136" s="418"/>
      <c r="H136" s="172"/>
      <c r="I136" s="172"/>
      <c r="J136" s="172"/>
    </row>
    <row r="137" s="2" customFormat="true" ht="18" hidden="false" customHeight="false" outlineLevel="0" collapsed="false">
      <c r="E137" s="418"/>
      <c r="H137" s="172"/>
      <c r="I137" s="172"/>
      <c r="J137" s="172"/>
    </row>
    <row r="138" s="2" customFormat="true" ht="18" hidden="false" customHeight="false" outlineLevel="0" collapsed="false">
      <c r="E138" s="418"/>
      <c r="H138" s="172"/>
      <c r="I138" s="172"/>
      <c r="J138" s="172"/>
    </row>
    <row r="139" s="2" customFormat="true" ht="18" hidden="false" customHeight="false" outlineLevel="0" collapsed="false">
      <c r="E139" s="418"/>
      <c r="H139" s="172"/>
      <c r="I139" s="172"/>
      <c r="J139" s="172"/>
    </row>
    <row r="140" s="2" customFormat="true" ht="18" hidden="false" customHeight="false" outlineLevel="0" collapsed="false">
      <c r="E140" s="418"/>
      <c r="H140" s="172"/>
      <c r="I140" s="172"/>
      <c r="J140" s="172"/>
    </row>
    <row r="141" s="2" customFormat="true" ht="18" hidden="false" customHeight="false" outlineLevel="0" collapsed="false">
      <c r="E141" s="418"/>
      <c r="H141" s="172"/>
      <c r="I141" s="172"/>
      <c r="J141" s="172"/>
    </row>
    <row r="142" s="2" customFormat="true" ht="18" hidden="false" customHeight="false" outlineLevel="0" collapsed="false">
      <c r="E142" s="418"/>
      <c r="H142" s="172"/>
      <c r="I142" s="172"/>
      <c r="J142" s="172"/>
    </row>
    <row r="143" s="2" customFormat="true" ht="18" hidden="false" customHeight="false" outlineLevel="0" collapsed="false">
      <c r="E143" s="418"/>
      <c r="H143" s="172"/>
      <c r="I143" s="172"/>
      <c r="J143" s="172"/>
    </row>
    <row r="144" s="2" customFormat="true" ht="18" hidden="false" customHeight="false" outlineLevel="0" collapsed="false">
      <c r="E144" s="418"/>
      <c r="H144" s="172"/>
      <c r="I144" s="172"/>
      <c r="J144" s="172"/>
    </row>
    <row r="145" s="2" customFormat="true" ht="18" hidden="false" customHeight="false" outlineLevel="0" collapsed="false">
      <c r="E145" s="418"/>
      <c r="H145" s="172"/>
      <c r="I145" s="172"/>
      <c r="J145" s="172"/>
    </row>
    <row r="146" s="2" customFormat="true" ht="18" hidden="false" customHeight="false" outlineLevel="0" collapsed="false">
      <c r="E146" s="418"/>
      <c r="H146" s="172"/>
      <c r="I146" s="172"/>
      <c r="J146" s="172"/>
    </row>
    <row r="147" s="2" customFormat="true" ht="18" hidden="false" customHeight="false" outlineLevel="0" collapsed="false">
      <c r="E147" s="418"/>
      <c r="H147" s="172"/>
      <c r="I147" s="172"/>
      <c r="J147" s="172"/>
    </row>
    <row r="148" s="2" customFormat="true" ht="18" hidden="false" customHeight="false" outlineLevel="0" collapsed="false">
      <c r="E148" s="418"/>
      <c r="H148" s="172"/>
      <c r="I148" s="172"/>
      <c r="J148" s="172"/>
    </row>
    <row r="149" s="2" customFormat="true" ht="18" hidden="false" customHeight="false" outlineLevel="0" collapsed="false">
      <c r="E149" s="418"/>
      <c r="H149" s="172"/>
      <c r="I149" s="172"/>
      <c r="J149" s="172"/>
    </row>
    <row r="150" s="2" customFormat="true" ht="18" hidden="false" customHeight="false" outlineLevel="0" collapsed="false">
      <c r="E150" s="418"/>
      <c r="H150" s="172"/>
      <c r="I150" s="172"/>
      <c r="J150" s="172"/>
    </row>
    <row r="151" s="2" customFormat="true" ht="18" hidden="false" customHeight="false" outlineLevel="0" collapsed="false">
      <c r="E151" s="418"/>
      <c r="H151" s="172"/>
      <c r="I151" s="172"/>
      <c r="J151" s="172"/>
    </row>
    <row r="152" s="2" customFormat="true" ht="18" hidden="false" customHeight="false" outlineLevel="0" collapsed="false">
      <c r="E152" s="418"/>
      <c r="H152" s="172"/>
      <c r="I152" s="172"/>
      <c r="J152" s="172"/>
    </row>
    <row r="153" s="2" customFormat="true" ht="18" hidden="false" customHeight="false" outlineLevel="0" collapsed="false">
      <c r="E153" s="418"/>
      <c r="H153" s="172"/>
      <c r="I153" s="172"/>
      <c r="J153" s="172"/>
    </row>
    <row r="154" s="2" customFormat="true" ht="18" hidden="false" customHeight="false" outlineLevel="0" collapsed="false">
      <c r="E154" s="418"/>
      <c r="H154" s="172"/>
      <c r="I154" s="172"/>
      <c r="J154" s="172"/>
    </row>
    <row r="155" s="2" customFormat="true" ht="18" hidden="false" customHeight="false" outlineLevel="0" collapsed="false">
      <c r="E155" s="418"/>
      <c r="H155" s="172"/>
      <c r="I155" s="172"/>
      <c r="J155" s="172"/>
    </row>
    <row r="156" s="2" customFormat="true" ht="18" hidden="false" customHeight="false" outlineLevel="0" collapsed="false">
      <c r="E156" s="418"/>
      <c r="H156" s="172"/>
      <c r="I156" s="172"/>
      <c r="J156" s="172"/>
    </row>
    <row r="157" s="2" customFormat="true" ht="18" hidden="false" customHeight="false" outlineLevel="0" collapsed="false">
      <c r="E157" s="418"/>
      <c r="H157" s="172"/>
      <c r="I157" s="172"/>
      <c r="J157" s="172"/>
    </row>
    <row r="158" s="2" customFormat="true" ht="18" hidden="false" customHeight="false" outlineLevel="0" collapsed="false">
      <c r="E158" s="418"/>
      <c r="H158" s="172"/>
      <c r="I158" s="172"/>
      <c r="J158" s="172"/>
    </row>
    <row r="159" s="2" customFormat="true" ht="18" hidden="false" customHeight="false" outlineLevel="0" collapsed="false">
      <c r="E159" s="418"/>
      <c r="H159" s="172"/>
      <c r="I159" s="172"/>
      <c r="J159" s="172"/>
    </row>
    <row r="160" s="2" customFormat="true" ht="18" hidden="false" customHeight="false" outlineLevel="0" collapsed="false">
      <c r="E160" s="418"/>
      <c r="H160" s="172"/>
      <c r="I160" s="172"/>
      <c r="J160" s="172"/>
    </row>
    <row r="161" s="2" customFormat="true" ht="18" hidden="false" customHeight="false" outlineLevel="0" collapsed="false">
      <c r="E161" s="418"/>
      <c r="H161" s="172"/>
      <c r="I161" s="172"/>
      <c r="J161" s="172"/>
    </row>
    <row r="162" s="2" customFormat="true" ht="18" hidden="false" customHeight="false" outlineLevel="0" collapsed="false">
      <c r="E162" s="418"/>
      <c r="H162" s="172"/>
      <c r="I162" s="172"/>
      <c r="J162" s="172"/>
    </row>
    <row r="163" s="2" customFormat="true" ht="18" hidden="false" customHeight="false" outlineLevel="0" collapsed="false">
      <c r="E163" s="418"/>
      <c r="H163" s="172"/>
      <c r="I163" s="172"/>
      <c r="J163" s="172"/>
    </row>
    <row r="164" s="2" customFormat="true" ht="18" hidden="false" customHeight="false" outlineLevel="0" collapsed="false">
      <c r="E164" s="418"/>
      <c r="H164" s="172"/>
      <c r="I164" s="172"/>
      <c r="J164" s="172"/>
    </row>
    <row r="165" s="2" customFormat="true" ht="18" hidden="false" customHeight="false" outlineLevel="0" collapsed="false">
      <c r="E165" s="418"/>
      <c r="H165" s="172"/>
      <c r="I165" s="172"/>
      <c r="J165" s="172"/>
    </row>
    <row r="166" s="2" customFormat="true" ht="18" hidden="false" customHeight="false" outlineLevel="0" collapsed="false">
      <c r="E166" s="418"/>
      <c r="H166" s="172"/>
      <c r="I166" s="172"/>
      <c r="J166" s="172"/>
    </row>
    <row r="167" s="2" customFormat="true" ht="18" hidden="false" customHeight="false" outlineLevel="0" collapsed="false">
      <c r="E167" s="418"/>
      <c r="H167" s="172"/>
      <c r="I167" s="172"/>
      <c r="J167" s="172"/>
    </row>
    <row r="168" s="2" customFormat="true" ht="18" hidden="false" customHeight="false" outlineLevel="0" collapsed="false">
      <c r="E168" s="418"/>
      <c r="H168" s="172"/>
      <c r="I168" s="172"/>
      <c r="J168" s="172"/>
    </row>
    <row r="169" s="2" customFormat="true" ht="18" hidden="false" customHeight="false" outlineLevel="0" collapsed="false">
      <c r="E169" s="418"/>
      <c r="H169" s="172"/>
      <c r="I169" s="172"/>
      <c r="J169" s="172"/>
    </row>
    <row r="170" s="2" customFormat="true" ht="18" hidden="false" customHeight="false" outlineLevel="0" collapsed="false">
      <c r="E170" s="418"/>
      <c r="H170" s="172"/>
      <c r="I170" s="172"/>
      <c r="J170" s="172"/>
    </row>
    <row r="171" s="2" customFormat="true" ht="18" hidden="false" customHeight="false" outlineLevel="0" collapsed="false">
      <c r="E171" s="418"/>
      <c r="H171" s="172"/>
      <c r="I171" s="172"/>
      <c r="J171" s="172"/>
    </row>
    <row r="172" s="2" customFormat="true" ht="18" hidden="false" customHeight="false" outlineLevel="0" collapsed="false">
      <c r="E172" s="418"/>
      <c r="H172" s="172"/>
      <c r="I172" s="172"/>
      <c r="J172" s="172"/>
    </row>
    <row r="173" s="2" customFormat="true" ht="18" hidden="false" customHeight="false" outlineLevel="0" collapsed="false">
      <c r="E173" s="418"/>
      <c r="H173" s="172"/>
      <c r="I173" s="172"/>
      <c r="J173" s="172"/>
    </row>
    <row r="174" s="2" customFormat="true" ht="18" hidden="false" customHeight="false" outlineLevel="0" collapsed="false">
      <c r="E174" s="418"/>
      <c r="H174" s="172"/>
      <c r="I174" s="172"/>
      <c r="J174" s="172"/>
    </row>
    <row r="175" s="2" customFormat="true" ht="18" hidden="false" customHeight="false" outlineLevel="0" collapsed="false">
      <c r="E175" s="418"/>
      <c r="H175" s="172"/>
      <c r="I175" s="172"/>
      <c r="J175" s="172"/>
    </row>
    <row r="176" s="2" customFormat="true" ht="18" hidden="false" customHeight="false" outlineLevel="0" collapsed="false">
      <c r="E176" s="418"/>
      <c r="H176" s="172"/>
      <c r="I176" s="172"/>
      <c r="J176" s="172"/>
    </row>
    <row r="177" s="2" customFormat="true" ht="18" hidden="false" customHeight="false" outlineLevel="0" collapsed="false">
      <c r="E177" s="418"/>
      <c r="H177" s="172"/>
      <c r="I177" s="172"/>
      <c r="J177" s="172"/>
    </row>
    <row r="178" s="2" customFormat="true" ht="18" hidden="false" customHeight="false" outlineLevel="0" collapsed="false">
      <c r="E178" s="418"/>
      <c r="H178" s="172"/>
      <c r="I178" s="172"/>
      <c r="J178" s="172"/>
    </row>
    <row r="179" s="2" customFormat="true" ht="18" hidden="false" customHeight="false" outlineLevel="0" collapsed="false">
      <c r="E179" s="418"/>
      <c r="H179" s="172"/>
      <c r="I179" s="172"/>
      <c r="J179" s="172"/>
    </row>
    <row r="180" s="2" customFormat="true" ht="18" hidden="false" customHeight="false" outlineLevel="0" collapsed="false">
      <c r="E180" s="418"/>
      <c r="H180" s="172"/>
      <c r="I180" s="172"/>
      <c r="J180" s="172"/>
    </row>
    <row r="181" s="2" customFormat="true" ht="18" hidden="false" customHeight="false" outlineLevel="0" collapsed="false">
      <c r="E181" s="418"/>
      <c r="H181" s="172"/>
      <c r="I181" s="172"/>
      <c r="J181" s="172"/>
    </row>
    <row r="182" s="2" customFormat="true" ht="18" hidden="false" customHeight="false" outlineLevel="0" collapsed="false">
      <c r="E182" s="418"/>
      <c r="H182" s="172"/>
      <c r="I182" s="172"/>
      <c r="J182" s="172"/>
    </row>
    <row r="183" s="2" customFormat="true" ht="18" hidden="false" customHeight="false" outlineLevel="0" collapsed="false">
      <c r="E183" s="418"/>
      <c r="H183" s="172"/>
      <c r="I183" s="172"/>
      <c r="J183" s="172"/>
    </row>
    <row r="184" s="2" customFormat="true" ht="18" hidden="false" customHeight="false" outlineLevel="0" collapsed="false">
      <c r="E184" s="418"/>
      <c r="H184" s="172"/>
      <c r="I184" s="172"/>
      <c r="J184" s="172"/>
    </row>
    <row r="185" s="2" customFormat="true" ht="18" hidden="false" customHeight="false" outlineLevel="0" collapsed="false">
      <c r="E185" s="418"/>
      <c r="H185" s="172"/>
      <c r="I185" s="172"/>
      <c r="J185" s="172"/>
    </row>
    <row r="186" s="2" customFormat="true" ht="18" hidden="false" customHeight="false" outlineLevel="0" collapsed="false">
      <c r="E186" s="418"/>
      <c r="H186" s="172"/>
      <c r="I186" s="172"/>
      <c r="J186" s="172"/>
    </row>
    <row r="187" s="2" customFormat="true" ht="18" hidden="false" customHeight="false" outlineLevel="0" collapsed="false">
      <c r="E187" s="418"/>
      <c r="H187" s="172"/>
      <c r="I187" s="172"/>
      <c r="J187" s="172"/>
    </row>
    <row r="188" s="2" customFormat="true" ht="18" hidden="false" customHeight="false" outlineLevel="0" collapsed="false">
      <c r="E188" s="418"/>
      <c r="H188" s="172"/>
      <c r="I188" s="172"/>
      <c r="J188" s="172"/>
    </row>
    <row r="189" s="2" customFormat="true" ht="18" hidden="false" customHeight="false" outlineLevel="0" collapsed="false">
      <c r="E189" s="418"/>
      <c r="H189" s="172"/>
      <c r="I189" s="172"/>
      <c r="J189" s="172"/>
    </row>
    <row r="190" s="2" customFormat="true" ht="18" hidden="false" customHeight="false" outlineLevel="0" collapsed="false">
      <c r="E190" s="418"/>
      <c r="H190" s="172"/>
      <c r="I190" s="172"/>
      <c r="J190" s="172"/>
    </row>
    <row r="191" s="2" customFormat="true" ht="18" hidden="false" customHeight="false" outlineLevel="0" collapsed="false">
      <c r="E191" s="418"/>
      <c r="H191" s="172"/>
      <c r="I191" s="172"/>
      <c r="J191" s="172"/>
    </row>
    <row r="192" s="2" customFormat="true" ht="18" hidden="false" customHeight="false" outlineLevel="0" collapsed="false">
      <c r="E192" s="418"/>
      <c r="H192" s="172"/>
      <c r="I192" s="172"/>
      <c r="J192" s="172"/>
    </row>
    <row r="193" s="2" customFormat="true" ht="18" hidden="false" customHeight="false" outlineLevel="0" collapsed="false">
      <c r="E193" s="418"/>
      <c r="H193" s="172"/>
      <c r="I193" s="172"/>
      <c r="J193" s="172"/>
    </row>
    <row r="194" s="2" customFormat="true" ht="18" hidden="false" customHeight="false" outlineLevel="0" collapsed="false">
      <c r="E194" s="418"/>
      <c r="H194" s="172"/>
      <c r="I194" s="172"/>
      <c r="J194" s="172"/>
    </row>
    <row r="195" s="2" customFormat="true" ht="18" hidden="false" customHeight="false" outlineLevel="0" collapsed="false">
      <c r="E195" s="418"/>
      <c r="H195" s="172"/>
      <c r="I195" s="172"/>
      <c r="J195" s="172"/>
    </row>
    <row r="196" s="2" customFormat="true" ht="18" hidden="false" customHeight="false" outlineLevel="0" collapsed="false">
      <c r="E196" s="418"/>
      <c r="H196" s="172"/>
      <c r="I196" s="172"/>
      <c r="J196" s="172"/>
    </row>
    <row r="197" s="2" customFormat="true" ht="18" hidden="false" customHeight="false" outlineLevel="0" collapsed="false">
      <c r="E197" s="418"/>
      <c r="H197" s="172"/>
      <c r="I197" s="172"/>
      <c r="J197" s="172"/>
    </row>
    <row r="198" s="2" customFormat="true" ht="18" hidden="false" customHeight="false" outlineLevel="0" collapsed="false">
      <c r="E198" s="418"/>
      <c r="H198" s="172"/>
      <c r="I198" s="172"/>
      <c r="J198" s="172"/>
    </row>
    <row r="199" s="2" customFormat="true" ht="18" hidden="false" customHeight="false" outlineLevel="0" collapsed="false">
      <c r="E199" s="418"/>
      <c r="H199" s="172"/>
      <c r="I199" s="172"/>
      <c r="J199" s="172"/>
    </row>
    <row r="200" s="2" customFormat="true" ht="18" hidden="false" customHeight="false" outlineLevel="0" collapsed="false">
      <c r="E200" s="418"/>
      <c r="H200" s="172"/>
      <c r="I200" s="172"/>
      <c r="J200" s="172"/>
    </row>
    <row r="201" s="2" customFormat="true" ht="18" hidden="false" customHeight="false" outlineLevel="0" collapsed="false">
      <c r="E201" s="418"/>
      <c r="H201" s="172"/>
      <c r="I201" s="172"/>
      <c r="J201" s="172"/>
    </row>
    <row r="202" s="2" customFormat="true" ht="18" hidden="false" customHeight="false" outlineLevel="0" collapsed="false">
      <c r="E202" s="418"/>
      <c r="H202" s="172"/>
      <c r="I202" s="172"/>
      <c r="J202" s="172"/>
    </row>
    <row r="203" s="2" customFormat="true" ht="18" hidden="false" customHeight="false" outlineLevel="0" collapsed="false">
      <c r="E203" s="418"/>
      <c r="H203" s="172"/>
      <c r="I203" s="172"/>
      <c r="J203" s="172"/>
    </row>
    <row r="204" s="2" customFormat="true" ht="18" hidden="false" customHeight="false" outlineLevel="0" collapsed="false">
      <c r="E204" s="418"/>
      <c r="H204" s="172"/>
      <c r="I204" s="172"/>
      <c r="J204" s="172"/>
    </row>
    <row r="205" s="2" customFormat="true" ht="18" hidden="false" customHeight="false" outlineLevel="0" collapsed="false">
      <c r="E205" s="418"/>
      <c r="H205" s="172"/>
      <c r="I205" s="172"/>
      <c r="J205" s="172"/>
    </row>
    <row r="206" s="2" customFormat="true" ht="18" hidden="false" customHeight="false" outlineLevel="0" collapsed="false">
      <c r="E206" s="418"/>
      <c r="H206" s="172"/>
      <c r="I206" s="172"/>
      <c r="J206" s="172"/>
    </row>
    <row r="207" s="2" customFormat="true" ht="18" hidden="false" customHeight="false" outlineLevel="0" collapsed="false">
      <c r="E207" s="418"/>
      <c r="H207" s="172"/>
      <c r="I207" s="172"/>
      <c r="J207" s="172"/>
    </row>
    <row r="208" s="2" customFormat="true" ht="18" hidden="false" customHeight="false" outlineLevel="0" collapsed="false">
      <c r="E208" s="418"/>
      <c r="H208" s="172"/>
      <c r="I208" s="172"/>
      <c r="J208" s="172"/>
    </row>
    <row r="209" s="2" customFormat="true" ht="18" hidden="false" customHeight="false" outlineLevel="0" collapsed="false">
      <c r="E209" s="418"/>
      <c r="H209" s="172"/>
      <c r="I209" s="172"/>
      <c r="J209" s="172"/>
    </row>
    <row r="210" s="2" customFormat="true" ht="18" hidden="false" customHeight="false" outlineLevel="0" collapsed="false">
      <c r="E210" s="418"/>
      <c r="H210" s="172"/>
      <c r="I210" s="172"/>
      <c r="J210" s="172"/>
    </row>
    <row r="211" s="2" customFormat="true" ht="18" hidden="false" customHeight="false" outlineLevel="0" collapsed="false">
      <c r="E211" s="418"/>
      <c r="H211" s="172"/>
      <c r="I211" s="172"/>
      <c r="J211" s="172"/>
    </row>
    <row r="212" s="2" customFormat="true" ht="18" hidden="false" customHeight="false" outlineLevel="0" collapsed="false">
      <c r="E212" s="418"/>
      <c r="H212" s="172"/>
      <c r="I212" s="172"/>
      <c r="J212" s="172"/>
    </row>
    <row r="213" s="2" customFormat="true" ht="18" hidden="false" customHeight="false" outlineLevel="0" collapsed="false">
      <c r="E213" s="418"/>
      <c r="H213" s="172"/>
      <c r="I213" s="172"/>
      <c r="J213" s="172"/>
    </row>
    <row r="214" s="2" customFormat="true" ht="18" hidden="false" customHeight="false" outlineLevel="0" collapsed="false">
      <c r="E214" s="418"/>
      <c r="H214" s="172"/>
      <c r="I214" s="172"/>
      <c r="J214" s="172"/>
    </row>
    <row r="215" s="2" customFormat="true" ht="18" hidden="false" customHeight="false" outlineLevel="0" collapsed="false">
      <c r="E215" s="418"/>
      <c r="H215" s="172"/>
      <c r="I215" s="172"/>
      <c r="J215" s="172"/>
    </row>
    <row r="216" s="2" customFormat="true" ht="18" hidden="false" customHeight="false" outlineLevel="0" collapsed="false">
      <c r="E216" s="418"/>
      <c r="H216" s="172"/>
      <c r="I216" s="172"/>
      <c r="J216" s="172"/>
    </row>
    <row r="217" s="2" customFormat="true" ht="18" hidden="false" customHeight="false" outlineLevel="0" collapsed="false">
      <c r="E217" s="418"/>
      <c r="H217" s="172"/>
      <c r="I217" s="172"/>
      <c r="J217" s="172"/>
    </row>
    <row r="218" s="2" customFormat="true" ht="18" hidden="false" customHeight="false" outlineLevel="0" collapsed="false">
      <c r="E218" s="418"/>
      <c r="H218" s="172"/>
      <c r="I218" s="172"/>
      <c r="J218" s="172"/>
    </row>
    <row r="219" s="2" customFormat="true" ht="18" hidden="false" customHeight="false" outlineLevel="0" collapsed="false">
      <c r="E219" s="418"/>
      <c r="H219" s="172"/>
      <c r="I219" s="172"/>
      <c r="J219" s="172"/>
    </row>
    <row r="220" s="2" customFormat="true" ht="18" hidden="false" customHeight="false" outlineLevel="0" collapsed="false">
      <c r="E220" s="418"/>
      <c r="H220" s="172"/>
      <c r="I220" s="172"/>
      <c r="J220" s="172"/>
    </row>
    <row r="221" s="2" customFormat="true" ht="18" hidden="false" customHeight="false" outlineLevel="0" collapsed="false">
      <c r="E221" s="418"/>
      <c r="H221" s="172"/>
      <c r="I221" s="172"/>
      <c r="J221" s="172"/>
    </row>
    <row r="222" s="2" customFormat="true" ht="18" hidden="false" customHeight="false" outlineLevel="0" collapsed="false">
      <c r="E222" s="418"/>
      <c r="H222" s="172"/>
      <c r="I222" s="172"/>
      <c r="J222" s="172"/>
    </row>
    <row r="223" s="2" customFormat="true" ht="18" hidden="false" customHeight="false" outlineLevel="0" collapsed="false">
      <c r="E223" s="418"/>
      <c r="H223" s="172"/>
      <c r="I223" s="172"/>
      <c r="J223" s="172"/>
    </row>
    <row r="224" s="2" customFormat="true" ht="18" hidden="false" customHeight="false" outlineLevel="0" collapsed="false">
      <c r="E224" s="418"/>
      <c r="H224" s="172"/>
      <c r="I224" s="172"/>
      <c r="J224" s="172"/>
    </row>
    <row r="225" s="2" customFormat="true" ht="18" hidden="false" customHeight="false" outlineLevel="0" collapsed="false">
      <c r="E225" s="418"/>
      <c r="H225" s="172"/>
      <c r="I225" s="172"/>
      <c r="J225" s="172"/>
    </row>
    <row r="226" s="2" customFormat="true" ht="18" hidden="false" customHeight="false" outlineLevel="0" collapsed="false">
      <c r="E226" s="418"/>
      <c r="H226" s="172"/>
      <c r="I226" s="172"/>
      <c r="J226" s="172"/>
    </row>
    <row r="227" s="2" customFormat="true" ht="18" hidden="false" customHeight="false" outlineLevel="0" collapsed="false">
      <c r="E227" s="418"/>
      <c r="H227" s="172"/>
      <c r="I227" s="172"/>
      <c r="J227" s="172"/>
    </row>
    <row r="228" s="2" customFormat="true" ht="18" hidden="false" customHeight="false" outlineLevel="0" collapsed="false">
      <c r="E228" s="418"/>
      <c r="H228" s="172"/>
      <c r="I228" s="172"/>
      <c r="J228" s="172"/>
    </row>
    <row r="229" s="2" customFormat="true" ht="18" hidden="false" customHeight="false" outlineLevel="0" collapsed="false">
      <c r="E229" s="418"/>
      <c r="H229" s="172"/>
      <c r="I229" s="172"/>
      <c r="J229" s="172"/>
    </row>
    <row r="230" s="2" customFormat="true" ht="18" hidden="false" customHeight="false" outlineLevel="0" collapsed="false">
      <c r="E230" s="418"/>
      <c r="H230" s="172"/>
      <c r="I230" s="172"/>
      <c r="J230" s="172"/>
    </row>
    <row r="231" s="2" customFormat="true" ht="18" hidden="false" customHeight="false" outlineLevel="0" collapsed="false">
      <c r="E231" s="418"/>
      <c r="H231" s="172"/>
      <c r="I231" s="172"/>
      <c r="J231" s="172"/>
    </row>
    <row r="232" s="2" customFormat="true" ht="18" hidden="false" customHeight="false" outlineLevel="0" collapsed="false">
      <c r="E232" s="418"/>
      <c r="H232" s="172"/>
      <c r="I232" s="172"/>
      <c r="J232" s="172"/>
    </row>
    <row r="233" s="2" customFormat="true" ht="18" hidden="false" customHeight="false" outlineLevel="0" collapsed="false">
      <c r="E233" s="418"/>
      <c r="H233" s="172"/>
      <c r="I233" s="172"/>
      <c r="J233" s="172"/>
    </row>
    <row r="234" s="2" customFormat="true" ht="18" hidden="false" customHeight="false" outlineLevel="0" collapsed="false">
      <c r="E234" s="418"/>
      <c r="H234" s="172"/>
      <c r="I234" s="172"/>
      <c r="J234" s="172"/>
    </row>
    <row r="235" s="2" customFormat="true" ht="18" hidden="false" customHeight="false" outlineLevel="0" collapsed="false">
      <c r="E235" s="418"/>
      <c r="H235" s="172"/>
      <c r="I235" s="172"/>
      <c r="J235" s="172"/>
    </row>
    <row r="236" s="2" customFormat="true" ht="18" hidden="false" customHeight="false" outlineLevel="0" collapsed="false">
      <c r="E236" s="418"/>
      <c r="H236" s="172"/>
      <c r="I236" s="172"/>
      <c r="J236" s="172"/>
    </row>
    <row r="237" s="2" customFormat="true" ht="18" hidden="false" customHeight="false" outlineLevel="0" collapsed="false">
      <c r="E237" s="418"/>
      <c r="H237" s="172"/>
      <c r="I237" s="172"/>
      <c r="J237" s="172"/>
    </row>
    <row r="238" s="2" customFormat="true" ht="18" hidden="false" customHeight="false" outlineLevel="0" collapsed="false">
      <c r="E238" s="418"/>
      <c r="H238" s="172"/>
      <c r="I238" s="172"/>
      <c r="J238" s="172"/>
    </row>
    <row r="239" s="2" customFormat="true" ht="18" hidden="false" customHeight="false" outlineLevel="0" collapsed="false">
      <c r="E239" s="418"/>
      <c r="H239" s="172"/>
      <c r="I239" s="172"/>
      <c r="J239" s="172"/>
    </row>
    <row r="240" s="2" customFormat="true" ht="18" hidden="false" customHeight="false" outlineLevel="0" collapsed="false">
      <c r="E240" s="418"/>
      <c r="H240" s="172"/>
      <c r="I240" s="172"/>
      <c r="J240" s="172"/>
    </row>
    <row r="241" s="2" customFormat="true" ht="18" hidden="false" customHeight="false" outlineLevel="0" collapsed="false">
      <c r="E241" s="418"/>
      <c r="H241" s="172"/>
      <c r="I241" s="172"/>
      <c r="J241" s="172"/>
    </row>
    <row r="242" s="2" customFormat="true" ht="18" hidden="false" customHeight="false" outlineLevel="0" collapsed="false">
      <c r="E242" s="418"/>
      <c r="H242" s="172"/>
      <c r="I242" s="172"/>
      <c r="J242" s="172"/>
    </row>
    <row r="243" s="2" customFormat="true" ht="18" hidden="false" customHeight="false" outlineLevel="0" collapsed="false">
      <c r="E243" s="418"/>
      <c r="H243" s="172"/>
      <c r="I243" s="172"/>
      <c r="J243" s="172"/>
    </row>
    <row r="244" s="2" customFormat="true" ht="18" hidden="false" customHeight="false" outlineLevel="0" collapsed="false">
      <c r="E244" s="418"/>
      <c r="H244" s="172"/>
      <c r="I244" s="172"/>
      <c r="J244" s="172"/>
    </row>
    <row r="245" s="2" customFormat="true" ht="18" hidden="false" customHeight="false" outlineLevel="0" collapsed="false">
      <c r="E245" s="418"/>
      <c r="H245" s="172"/>
      <c r="I245" s="172"/>
      <c r="J245" s="172"/>
    </row>
    <row r="246" s="2" customFormat="true" ht="18" hidden="false" customHeight="false" outlineLevel="0" collapsed="false">
      <c r="E246" s="418"/>
      <c r="H246" s="172"/>
      <c r="I246" s="172"/>
      <c r="J246" s="172"/>
    </row>
    <row r="247" s="2" customFormat="true" ht="18" hidden="false" customHeight="false" outlineLevel="0" collapsed="false">
      <c r="E247" s="418"/>
      <c r="H247" s="172"/>
      <c r="I247" s="172"/>
      <c r="J247" s="172"/>
    </row>
    <row r="248" s="2" customFormat="true" ht="18" hidden="false" customHeight="false" outlineLevel="0" collapsed="false">
      <c r="E248" s="418"/>
      <c r="H248" s="172"/>
      <c r="I248" s="172"/>
      <c r="J248" s="172"/>
    </row>
    <row r="249" s="2" customFormat="true" ht="18" hidden="false" customHeight="false" outlineLevel="0" collapsed="false">
      <c r="E249" s="418"/>
      <c r="H249" s="172"/>
      <c r="I249" s="172"/>
      <c r="J249" s="172"/>
    </row>
    <row r="250" s="2" customFormat="true" ht="18" hidden="false" customHeight="false" outlineLevel="0" collapsed="false">
      <c r="E250" s="418"/>
      <c r="H250" s="172"/>
      <c r="I250" s="172"/>
      <c r="J250" s="172"/>
    </row>
    <row r="251" s="2" customFormat="true" ht="18" hidden="false" customHeight="false" outlineLevel="0" collapsed="false">
      <c r="E251" s="418"/>
      <c r="H251" s="172"/>
      <c r="I251" s="172"/>
      <c r="J251" s="172"/>
    </row>
    <row r="252" s="2" customFormat="true" ht="18" hidden="false" customHeight="false" outlineLevel="0" collapsed="false">
      <c r="E252" s="418"/>
      <c r="H252" s="172"/>
      <c r="I252" s="172"/>
      <c r="J252" s="172"/>
    </row>
    <row r="253" s="2" customFormat="true" ht="18" hidden="false" customHeight="false" outlineLevel="0" collapsed="false">
      <c r="E253" s="418"/>
      <c r="H253" s="172"/>
      <c r="I253" s="172"/>
      <c r="J253" s="172"/>
    </row>
    <row r="254" s="2" customFormat="true" ht="18" hidden="false" customHeight="false" outlineLevel="0" collapsed="false">
      <c r="E254" s="418"/>
      <c r="H254" s="172"/>
      <c r="I254" s="172"/>
      <c r="J254" s="172"/>
    </row>
    <row r="255" s="2" customFormat="true" ht="18" hidden="false" customHeight="false" outlineLevel="0" collapsed="false">
      <c r="E255" s="418"/>
      <c r="H255" s="172"/>
      <c r="I255" s="172"/>
      <c r="J255" s="172"/>
    </row>
    <row r="256" s="2" customFormat="true" ht="18" hidden="false" customHeight="false" outlineLevel="0" collapsed="false">
      <c r="E256" s="418"/>
      <c r="H256" s="172"/>
      <c r="I256" s="172"/>
      <c r="J256" s="172"/>
    </row>
    <row r="257" s="2" customFormat="true" ht="18" hidden="false" customHeight="false" outlineLevel="0" collapsed="false">
      <c r="E257" s="418"/>
      <c r="H257" s="172"/>
      <c r="I257" s="172"/>
      <c r="J257" s="172"/>
    </row>
    <row r="258" s="2" customFormat="true" ht="18" hidden="false" customHeight="false" outlineLevel="0" collapsed="false">
      <c r="E258" s="418"/>
      <c r="H258" s="172"/>
      <c r="I258" s="172"/>
      <c r="J258" s="172"/>
    </row>
    <row r="259" s="2" customFormat="true" ht="18" hidden="false" customHeight="false" outlineLevel="0" collapsed="false">
      <c r="E259" s="418"/>
      <c r="H259" s="172"/>
      <c r="I259" s="172"/>
      <c r="J259" s="172"/>
    </row>
    <row r="260" s="2" customFormat="true" ht="18" hidden="false" customHeight="false" outlineLevel="0" collapsed="false">
      <c r="E260" s="418"/>
      <c r="H260" s="172"/>
      <c r="I260" s="172"/>
      <c r="J260" s="172"/>
    </row>
    <row r="261" s="2" customFormat="true" ht="18" hidden="false" customHeight="false" outlineLevel="0" collapsed="false">
      <c r="E261" s="418"/>
      <c r="H261" s="172"/>
      <c r="I261" s="172"/>
      <c r="J261" s="172"/>
    </row>
    <row r="262" s="2" customFormat="true" ht="18" hidden="false" customHeight="false" outlineLevel="0" collapsed="false">
      <c r="E262" s="418"/>
      <c r="H262" s="172"/>
      <c r="I262" s="172"/>
      <c r="J262" s="172"/>
    </row>
    <row r="263" s="2" customFormat="true" ht="18" hidden="false" customHeight="false" outlineLevel="0" collapsed="false">
      <c r="E263" s="418"/>
      <c r="H263" s="172"/>
      <c r="I263" s="172"/>
      <c r="J263" s="172"/>
    </row>
    <row r="264" s="2" customFormat="true" ht="18" hidden="false" customHeight="false" outlineLevel="0" collapsed="false">
      <c r="E264" s="418"/>
      <c r="H264" s="172"/>
      <c r="I264" s="172"/>
      <c r="J264" s="172"/>
    </row>
    <row r="265" s="2" customFormat="true" ht="18" hidden="false" customHeight="false" outlineLevel="0" collapsed="false">
      <c r="E265" s="418"/>
      <c r="H265" s="172"/>
      <c r="I265" s="172"/>
      <c r="J265" s="172"/>
    </row>
    <row r="266" s="2" customFormat="true" ht="18" hidden="false" customHeight="false" outlineLevel="0" collapsed="false">
      <c r="E266" s="418"/>
      <c r="H266" s="172"/>
      <c r="I266" s="172"/>
      <c r="J266" s="172"/>
    </row>
    <row r="267" s="2" customFormat="true" ht="18" hidden="false" customHeight="false" outlineLevel="0" collapsed="false">
      <c r="E267" s="418"/>
      <c r="H267" s="172"/>
      <c r="I267" s="172"/>
      <c r="J267" s="172"/>
    </row>
    <row r="268" s="2" customFormat="true" ht="18" hidden="false" customHeight="false" outlineLevel="0" collapsed="false">
      <c r="E268" s="418"/>
      <c r="H268" s="172"/>
      <c r="I268" s="172"/>
      <c r="J268" s="172"/>
    </row>
    <row r="269" s="2" customFormat="true" ht="18" hidden="false" customHeight="false" outlineLevel="0" collapsed="false">
      <c r="E269" s="418"/>
      <c r="H269" s="172"/>
      <c r="I269" s="172"/>
      <c r="J269" s="172"/>
    </row>
    <row r="270" s="2" customFormat="true" ht="18" hidden="false" customHeight="false" outlineLevel="0" collapsed="false">
      <c r="E270" s="418"/>
      <c r="H270" s="172"/>
      <c r="I270" s="172"/>
      <c r="J270" s="172"/>
    </row>
    <row r="271" s="2" customFormat="true" ht="18" hidden="false" customHeight="false" outlineLevel="0" collapsed="false">
      <c r="E271" s="418"/>
      <c r="H271" s="172"/>
      <c r="I271" s="172"/>
      <c r="J271" s="172"/>
    </row>
    <row r="272" s="2" customFormat="true" ht="18" hidden="false" customHeight="false" outlineLevel="0" collapsed="false">
      <c r="E272" s="418"/>
      <c r="H272" s="172"/>
      <c r="I272" s="172"/>
      <c r="J272" s="172"/>
    </row>
    <row r="273" s="2" customFormat="true" ht="18" hidden="false" customHeight="false" outlineLevel="0" collapsed="false">
      <c r="E273" s="418"/>
      <c r="H273" s="172"/>
      <c r="I273" s="172"/>
      <c r="J273" s="172"/>
    </row>
    <row r="274" s="2" customFormat="true" ht="18" hidden="false" customHeight="false" outlineLevel="0" collapsed="false">
      <c r="E274" s="418"/>
      <c r="H274" s="172"/>
      <c r="I274" s="172"/>
      <c r="J274" s="172"/>
    </row>
    <row r="275" s="2" customFormat="true" ht="18" hidden="false" customHeight="false" outlineLevel="0" collapsed="false">
      <c r="E275" s="418"/>
      <c r="H275" s="172"/>
      <c r="I275" s="172"/>
      <c r="J275" s="172"/>
    </row>
    <row r="276" s="2" customFormat="true" ht="18" hidden="false" customHeight="false" outlineLevel="0" collapsed="false">
      <c r="E276" s="418"/>
      <c r="H276" s="172"/>
      <c r="I276" s="172"/>
      <c r="J276" s="172"/>
    </row>
    <row r="277" s="2" customFormat="true" ht="18" hidden="false" customHeight="false" outlineLevel="0" collapsed="false">
      <c r="E277" s="418"/>
      <c r="H277" s="172"/>
      <c r="I277" s="172"/>
      <c r="J277" s="172"/>
    </row>
    <row r="278" s="2" customFormat="true" ht="18" hidden="false" customHeight="false" outlineLevel="0" collapsed="false">
      <c r="E278" s="418"/>
      <c r="H278" s="172"/>
      <c r="I278" s="172"/>
      <c r="J278" s="172"/>
    </row>
    <row r="279" s="2" customFormat="true" ht="18" hidden="false" customHeight="false" outlineLevel="0" collapsed="false">
      <c r="E279" s="418"/>
      <c r="H279" s="172"/>
      <c r="I279" s="172"/>
      <c r="J279" s="172"/>
    </row>
    <row r="280" s="2" customFormat="true" ht="18" hidden="false" customHeight="false" outlineLevel="0" collapsed="false">
      <c r="E280" s="418"/>
      <c r="H280" s="172"/>
      <c r="I280" s="172"/>
      <c r="J280" s="172"/>
    </row>
    <row r="281" s="2" customFormat="true" ht="18" hidden="false" customHeight="false" outlineLevel="0" collapsed="false">
      <c r="E281" s="418"/>
      <c r="H281" s="172"/>
      <c r="I281" s="172"/>
      <c r="J281" s="172"/>
    </row>
    <row r="282" s="2" customFormat="true" ht="18" hidden="false" customHeight="false" outlineLevel="0" collapsed="false">
      <c r="E282" s="418"/>
      <c r="H282" s="172"/>
      <c r="I282" s="172"/>
      <c r="J282" s="172"/>
    </row>
    <row r="283" s="2" customFormat="true" ht="18" hidden="false" customHeight="false" outlineLevel="0" collapsed="false">
      <c r="E283" s="418"/>
      <c r="H283" s="172"/>
      <c r="I283" s="172"/>
      <c r="J283" s="172"/>
    </row>
    <row r="284" s="2" customFormat="true" ht="18" hidden="false" customHeight="false" outlineLevel="0" collapsed="false">
      <c r="E284" s="418"/>
      <c r="H284" s="172"/>
      <c r="I284" s="172"/>
      <c r="J284" s="172"/>
    </row>
    <row r="285" s="2" customFormat="true" ht="18" hidden="false" customHeight="false" outlineLevel="0" collapsed="false">
      <c r="E285" s="418"/>
      <c r="H285" s="172"/>
      <c r="I285" s="172"/>
      <c r="J285" s="172"/>
    </row>
    <row r="286" s="2" customFormat="true" ht="18" hidden="false" customHeight="false" outlineLevel="0" collapsed="false">
      <c r="E286" s="418"/>
      <c r="H286" s="172"/>
      <c r="I286" s="172"/>
      <c r="J286" s="172"/>
    </row>
    <row r="287" s="2" customFormat="true" ht="18" hidden="false" customHeight="false" outlineLevel="0" collapsed="false">
      <c r="E287" s="418"/>
      <c r="H287" s="172"/>
      <c r="I287" s="172"/>
      <c r="J287" s="172"/>
    </row>
    <row r="288" s="2" customFormat="true" ht="18" hidden="false" customHeight="false" outlineLevel="0" collapsed="false">
      <c r="E288" s="418"/>
      <c r="H288" s="172"/>
      <c r="I288" s="172"/>
      <c r="J288" s="172"/>
    </row>
    <row r="289" s="2" customFormat="true" ht="18" hidden="false" customHeight="false" outlineLevel="0" collapsed="false">
      <c r="E289" s="418"/>
      <c r="H289" s="172"/>
      <c r="I289" s="172"/>
      <c r="J289" s="172"/>
    </row>
    <row r="290" s="2" customFormat="true" ht="18" hidden="false" customHeight="false" outlineLevel="0" collapsed="false">
      <c r="E290" s="418"/>
      <c r="H290" s="172"/>
      <c r="I290" s="172"/>
      <c r="J290" s="172"/>
    </row>
    <row r="291" s="2" customFormat="true" ht="18" hidden="false" customHeight="false" outlineLevel="0" collapsed="false">
      <c r="E291" s="418"/>
      <c r="H291" s="172"/>
      <c r="I291" s="172"/>
      <c r="J291" s="172"/>
    </row>
    <row r="292" s="2" customFormat="true" ht="18" hidden="false" customHeight="false" outlineLevel="0" collapsed="false">
      <c r="E292" s="418"/>
      <c r="H292" s="172"/>
      <c r="I292" s="172"/>
      <c r="J292" s="172"/>
    </row>
    <row r="293" s="2" customFormat="true" ht="18" hidden="false" customHeight="false" outlineLevel="0" collapsed="false">
      <c r="E293" s="418"/>
      <c r="H293" s="172"/>
      <c r="I293" s="172"/>
      <c r="J293" s="172"/>
    </row>
    <row r="294" s="2" customFormat="true" ht="18" hidden="false" customHeight="false" outlineLevel="0" collapsed="false">
      <c r="E294" s="418"/>
      <c r="H294" s="172"/>
      <c r="I294" s="172"/>
      <c r="J294" s="172"/>
    </row>
    <row r="295" s="2" customFormat="true" ht="18" hidden="false" customHeight="false" outlineLevel="0" collapsed="false">
      <c r="E295" s="418"/>
      <c r="H295" s="172"/>
      <c r="I295" s="172"/>
      <c r="J295" s="172"/>
    </row>
    <row r="296" s="2" customFormat="true" ht="18" hidden="false" customHeight="false" outlineLevel="0" collapsed="false">
      <c r="E296" s="418"/>
      <c r="H296" s="172"/>
      <c r="I296" s="172"/>
      <c r="J296" s="172"/>
    </row>
    <row r="297" s="2" customFormat="true" ht="18" hidden="false" customHeight="false" outlineLevel="0" collapsed="false">
      <c r="E297" s="418"/>
      <c r="H297" s="172"/>
      <c r="I297" s="172"/>
      <c r="J297" s="172"/>
    </row>
    <row r="298" s="2" customFormat="true" ht="18" hidden="false" customHeight="false" outlineLevel="0" collapsed="false">
      <c r="E298" s="418"/>
      <c r="H298" s="172"/>
      <c r="I298" s="172"/>
      <c r="J298" s="172"/>
    </row>
    <row r="299" s="2" customFormat="true" ht="18" hidden="false" customHeight="false" outlineLevel="0" collapsed="false">
      <c r="E299" s="418"/>
      <c r="H299" s="172"/>
      <c r="I299" s="172"/>
      <c r="J299" s="172"/>
    </row>
    <row r="300" s="2" customFormat="true" ht="18" hidden="false" customHeight="false" outlineLevel="0" collapsed="false">
      <c r="E300" s="418"/>
      <c r="H300" s="172"/>
      <c r="I300" s="172"/>
      <c r="J300" s="172"/>
    </row>
    <row r="301" s="2" customFormat="true" ht="18" hidden="false" customHeight="false" outlineLevel="0" collapsed="false">
      <c r="E301" s="418"/>
      <c r="H301" s="172"/>
      <c r="I301" s="172"/>
      <c r="J301" s="172"/>
    </row>
    <row r="302" s="2" customFormat="true" ht="18" hidden="false" customHeight="false" outlineLevel="0" collapsed="false">
      <c r="E302" s="418"/>
      <c r="H302" s="172"/>
      <c r="I302" s="172"/>
      <c r="J302" s="172"/>
    </row>
    <row r="303" s="2" customFormat="true" ht="18" hidden="false" customHeight="false" outlineLevel="0" collapsed="false">
      <c r="E303" s="418"/>
      <c r="H303" s="172"/>
      <c r="I303" s="172"/>
      <c r="J303" s="172"/>
    </row>
    <row r="304" s="2" customFormat="true" ht="18" hidden="false" customHeight="false" outlineLevel="0" collapsed="false">
      <c r="E304" s="418"/>
      <c r="H304" s="172"/>
      <c r="I304" s="172"/>
      <c r="J304" s="172"/>
    </row>
    <row r="305" s="2" customFormat="true" ht="18" hidden="false" customHeight="false" outlineLevel="0" collapsed="false">
      <c r="E305" s="418"/>
      <c r="H305" s="172"/>
      <c r="I305" s="172"/>
      <c r="J305" s="172"/>
    </row>
    <row r="306" s="2" customFormat="true" ht="18" hidden="false" customHeight="false" outlineLevel="0" collapsed="false">
      <c r="E306" s="418"/>
      <c r="H306" s="172"/>
      <c r="I306" s="172"/>
      <c r="J306" s="172"/>
    </row>
    <row r="307" s="2" customFormat="true" ht="18" hidden="false" customHeight="false" outlineLevel="0" collapsed="false">
      <c r="E307" s="418"/>
      <c r="H307" s="172"/>
      <c r="I307" s="172"/>
      <c r="J307" s="172"/>
    </row>
    <row r="308" s="2" customFormat="true" ht="18" hidden="false" customHeight="false" outlineLevel="0" collapsed="false">
      <c r="E308" s="418"/>
      <c r="H308" s="172"/>
      <c r="I308" s="172"/>
      <c r="J308" s="172"/>
    </row>
    <row r="309" s="2" customFormat="true" ht="18" hidden="false" customHeight="false" outlineLevel="0" collapsed="false">
      <c r="E309" s="418"/>
      <c r="H309" s="172"/>
      <c r="I309" s="172"/>
      <c r="J309" s="172"/>
    </row>
    <row r="310" s="2" customFormat="true" ht="18" hidden="false" customHeight="false" outlineLevel="0" collapsed="false">
      <c r="E310" s="418"/>
      <c r="H310" s="172"/>
      <c r="I310" s="172"/>
      <c r="J310" s="172"/>
    </row>
    <row r="311" s="2" customFormat="true" ht="18" hidden="false" customHeight="false" outlineLevel="0" collapsed="false">
      <c r="E311" s="418"/>
      <c r="H311" s="172"/>
      <c r="I311" s="172"/>
      <c r="J311" s="172"/>
    </row>
    <row r="312" s="2" customFormat="true" ht="18" hidden="false" customHeight="false" outlineLevel="0" collapsed="false">
      <c r="E312" s="418"/>
      <c r="H312" s="172"/>
      <c r="I312" s="172"/>
      <c r="J312" s="172"/>
    </row>
    <row r="313" s="2" customFormat="true" ht="18" hidden="false" customHeight="false" outlineLevel="0" collapsed="false">
      <c r="E313" s="418"/>
      <c r="H313" s="172"/>
      <c r="I313" s="172"/>
      <c r="J313" s="172"/>
    </row>
    <row r="314" s="2" customFormat="true" ht="18" hidden="false" customHeight="false" outlineLevel="0" collapsed="false">
      <c r="E314" s="418"/>
      <c r="H314" s="172"/>
      <c r="I314" s="172"/>
      <c r="J314" s="172"/>
    </row>
    <row r="315" s="2" customFormat="true" ht="18" hidden="false" customHeight="false" outlineLevel="0" collapsed="false">
      <c r="E315" s="418"/>
      <c r="H315" s="172"/>
      <c r="I315" s="172"/>
      <c r="J315" s="172"/>
    </row>
    <row r="316" s="2" customFormat="true" ht="18" hidden="false" customHeight="false" outlineLevel="0" collapsed="false">
      <c r="E316" s="418"/>
      <c r="H316" s="172"/>
      <c r="I316" s="172"/>
      <c r="J316" s="172"/>
    </row>
    <row r="317" s="2" customFormat="true" ht="18" hidden="false" customHeight="false" outlineLevel="0" collapsed="false">
      <c r="E317" s="418"/>
      <c r="H317" s="172"/>
      <c r="I317" s="172"/>
      <c r="J317" s="172"/>
    </row>
    <row r="318" s="2" customFormat="true" ht="18" hidden="false" customHeight="false" outlineLevel="0" collapsed="false">
      <c r="E318" s="418"/>
      <c r="H318" s="172"/>
      <c r="I318" s="172"/>
      <c r="J318" s="172"/>
    </row>
    <row r="319" s="2" customFormat="true" ht="18" hidden="false" customHeight="false" outlineLevel="0" collapsed="false">
      <c r="E319" s="418"/>
      <c r="H319" s="172"/>
      <c r="I319" s="172"/>
      <c r="J319" s="172"/>
    </row>
    <row r="320" s="2" customFormat="true" ht="18" hidden="false" customHeight="false" outlineLevel="0" collapsed="false">
      <c r="E320" s="418"/>
      <c r="H320" s="172"/>
      <c r="I320" s="172"/>
      <c r="J320" s="172"/>
    </row>
    <row r="321" s="2" customFormat="true" ht="18" hidden="false" customHeight="false" outlineLevel="0" collapsed="false">
      <c r="E321" s="418"/>
      <c r="H321" s="172"/>
      <c r="I321" s="172"/>
      <c r="J321" s="172"/>
    </row>
    <row r="322" s="2" customFormat="true" ht="18" hidden="false" customHeight="false" outlineLevel="0" collapsed="false">
      <c r="E322" s="418"/>
      <c r="H322" s="172"/>
      <c r="I322" s="172"/>
      <c r="J322" s="172"/>
    </row>
    <row r="323" s="2" customFormat="true" ht="18" hidden="false" customHeight="false" outlineLevel="0" collapsed="false">
      <c r="E323" s="418"/>
      <c r="H323" s="172"/>
      <c r="I323" s="172"/>
      <c r="J323" s="172"/>
    </row>
    <row r="324" s="2" customFormat="true" ht="18" hidden="false" customHeight="false" outlineLevel="0" collapsed="false">
      <c r="E324" s="418"/>
      <c r="H324" s="172"/>
      <c r="I324" s="172"/>
      <c r="J324" s="172"/>
    </row>
    <row r="325" s="2" customFormat="true" ht="18" hidden="false" customHeight="false" outlineLevel="0" collapsed="false">
      <c r="E325" s="418"/>
      <c r="H325" s="172"/>
      <c r="I325" s="172"/>
      <c r="J325" s="172"/>
    </row>
    <row r="326" s="2" customFormat="true" ht="18" hidden="false" customHeight="false" outlineLevel="0" collapsed="false">
      <c r="E326" s="418"/>
      <c r="H326" s="172"/>
      <c r="I326" s="172"/>
      <c r="J326" s="172"/>
    </row>
    <row r="327" s="2" customFormat="true" ht="18" hidden="false" customHeight="false" outlineLevel="0" collapsed="false">
      <c r="E327" s="418"/>
      <c r="H327" s="172"/>
      <c r="I327" s="172"/>
      <c r="J327" s="172"/>
    </row>
    <row r="328" s="2" customFormat="true" ht="18" hidden="false" customHeight="false" outlineLevel="0" collapsed="false">
      <c r="E328" s="418"/>
      <c r="H328" s="172"/>
      <c r="I328" s="172"/>
      <c r="J328" s="172"/>
    </row>
    <row r="329" s="2" customFormat="true" ht="18" hidden="false" customHeight="false" outlineLevel="0" collapsed="false">
      <c r="E329" s="418"/>
      <c r="H329" s="172"/>
      <c r="I329" s="172"/>
      <c r="J329" s="172"/>
    </row>
    <row r="330" s="2" customFormat="true" ht="18" hidden="false" customHeight="false" outlineLevel="0" collapsed="false">
      <c r="E330" s="418"/>
      <c r="H330" s="172"/>
      <c r="I330" s="172"/>
      <c r="J330" s="172"/>
    </row>
    <row r="331" s="2" customFormat="true" ht="18" hidden="false" customHeight="false" outlineLevel="0" collapsed="false">
      <c r="E331" s="418"/>
      <c r="H331" s="172"/>
      <c r="I331" s="172"/>
      <c r="J331" s="172"/>
    </row>
    <row r="332" s="2" customFormat="true" ht="18" hidden="false" customHeight="false" outlineLevel="0" collapsed="false">
      <c r="E332" s="418"/>
      <c r="H332" s="172"/>
      <c r="I332" s="172"/>
      <c r="J332" s="172"/>
    </row>
    <row r="333" s="2" customFormat="true" ht="18" hidden="false" customHeight="false" outlineLevel="0" collapsed="false">
      <c r="E333" s="418"/>
      <c r="H333" s="172"/>
      <c r="I333" s="172"/>
      <c r="J333" s="172"/>
    </row>
    <row r="334" s="2" customFormat="true" ht="18" hidden="false" customHeight="false" outlineLevel="0" collapsed="false">
      <c r="E334" s="418"/>
      <c r="H334" s="172"/>
      <c r="I334" s="172"/>
      <c r="J334" s="172"/>
    </row>
    <row r="335" s="2" customFormat="true" ht="18" hidden="false" customHeight="false" outlineLevel="0" collapsed="false">
      <c r="E335" s="418"/>
      <c r="H335" s="172"/>
      <c r="I335" s="172"/>
      <c r="J335" s="172"/>
    </row>
    <row r="336" s="2" customFormat="true" ht="18" hidden="false" customHeight="false" outlineLevel="0" collapsed="false">
      <c r="E336" s="418"/>
      <c r="H336" s="172"/>
      <c r="I336" s="172"/>
      <c r="J336" s="172"/>
    </row>
    <row r="337" s="2" customFormat="true" ht="18" hidden="false" customHeight="false" outlineLevel="0" collapsed="false">
      <c r="E337" s="418"/>
      <c r="H337" s="172"/>
      <c r="I337" s="172"/>
      <c r="J337" s="172"/>
    </row>
    <row r="338" s="2" customFormat="true" ht="18" hidden="false" customHeight="false" outlineLevel="0" collapsed="false">
      <c r="E338" s="418"/>
      <c r="H338" s="172"/>
      <c r="I338" s="172"/>
      <c r="J338" s="172"/>
    </row>
    <row r="339" s="2" customFormat="true" ht="18" hidden="false" customHeight="false" outlineLevel="0" collapsed="false">
      <c r="E339" s="418"/>
      <c r="H339" s="172"/>
      <c r="I339" s="172"/>
      <c r="J339" s="172"/>
    </row>
    <row r="340" s="2" customFormat="true" ht="18" hidden="false" customHeight="false" outlineLevel="0" collapsed="false">
      <c r="E340" s="418"/>
      <c r="H340" s="172"/>
      <c r="I340" s="172"/>
      <c r="J340" s="172"/>
    </row>
    <row r="341" s="2" customFormat="true" ht="18" hidden="false" customHeight="false" outlineLevel="0" collapsed="false">
      <c r="E341" s="418"/>
      <c r="H341" s="172"/>
      <c r="I341" s="172"/>
      <c r="J341" s="172"/>
    </row>
    <row r="342" s="2" customFormat="true" ht="18" hidden="false" customHeight="false" outlineLevel="0" collapsed="false">
      <c r="E342" s="418"/>
      <c r="H342" s="172"/>
      <c r="I342" s="172"/>
      <c r="J342" s="172"/>
    </row>
    <row r="343" s="2" customFormat="true" ht="18" hidden="false" customHeight="false" outlineLevel="0" collapsed="false">
      <c r="E343" s="418"/>
      <c r="H343" s="172"/>
      <c r="I343" s="172"/>
      <c r="J343" s="172"/>
    </row>
    <row r="344" s="2" customFormat="true" ht="18" hidden="false" customHeight="false" outlineLevel="0" collapsed="false">
      <c r="E344" s="418"/>
      <c r="H344" s="172"/>
      <c r="I344" s="172"/>
      <c r="J344" s="172"/>
    </row>
    <row r="345" s="2" customFormat="true" ht="18" hidden="false" customHeight="false" outlineLevel="0" collapsed="false">
      <c r="E345" s="418"/>
      <c r="H345" s="172"/>
      <c r="I345" s="172"/>
      <c r="J345" s="172"/>
    </row>
    <row r="346" s="2" customFormat="true" ht="18" hidden="false" customHeight="false" outlineLevel="0" collapsed="false">
      <c r="E346" s="418"/>
      <c r="H346" s="172"/>
      <c r="I346" s="172"/>
      <c r="J346" s="172"/>
    </row>
    <row r="347" s="2" customFormat="true" ht="18" hidden="false" customHeight="false" outlineLevel="0" collapsed="false">
      <c r="E347" s="418"/>
      <c r="H347" s="172"/>
      <c r="I347" s="172"/>
      <c r="J347" s="172"/>
    </row>
    <row r="348" s="2" customFormat="true" ht="18" hidden="false" customHeight="false" outlineLevel="0" collapsed="false">
      <c r="E348" s="418"/>
      <c r="H348" s="172"/>
      <c r="I348" s="172"/>
      <c r="J348" s="172"/>
    </row>
    <row r="349" s="2" customFormat="true" ht="18" hidden="false" customHeight="false" outlineLevel="0" collapsed="false">
      <c r="E349" s="418"/>
      <c r="H349" s="172"/>
      <c r="I349" s="172"/>
      <c r="J349" s="172"/>
    </row>
    <row r="350" s="2" customFormat="true" ht="18" hidden="false" customHeight="false" outlineLevel="0" collapsed="false">
      <c r="E350" s="418"/>
      <c r="H350" s="172"/>
      <c r="I350" s="172"/>
      <c r="J350" s="172"/>
    </row>
    <row r="351" s="2" customFormat="true" ht="18" hidden="false" customHeight="false" outlineLevel="0" collapsed="false">
      <c r="E351" s="418"/>
      <c r="H351" s="172"/>
      <c r="I351" s="172"/>
      <c r="J351" s="172"/>
    </row>
    <row r="352" s="2" customFormat="true" ht="18" hidden="false" customHeight="false" outlineLevel="0" collapsed="false">
      <c r="E352" s="418"/>
      <c r="H352" s="172"/>
      <c r="I352" s="172"/>
      <c r="J352" s="172"/>
    </row>
    <row r="353" s="2" customFormat="true" ht="18" hidden="false" customHeight="false" outlineLevel="0" collapsed="false">
      <c r="E353" s="418"/>
      <c r="H353" s="172"/>
      <c r="I353" s="172"/>
      <c r="J353" s="172"/>
    </row>
    <row r="354" s="2" customFormat="true" ht="18" hidden="false" customHeight="false" outlineLevel="0" collapsed="false">
      <c r="E354" s="418"/>
      <c r="H354" s="172"/>
      <c r="I354" s="172"/>
      <c r="J354" s="172"/>
    </row>
    <row r="355" s="2" customFormat="true" ht="18" hidden="false" customHeight="false" outlineLevel="0" collapsed="false">
      <c r="E355" s="418"/>
      <c r="H355" s="172"/>
      <c r="I355" s="172"/>
      <c r="J355" s="172"/>
    </row>
    <row r="356" s="2" customFormat="true" ht="18" hidden="false" customHeight="false" outlineLevel="0" collapsed="false">
      <c r="E356" s="418"/>
      <c r="H356" s="172"/>
      <c r="I356" s="172"/>
      <c r="J356" s="172"/>
    </row>
    <row r="357" s="2" customFormat="true" ht="18" hidden="false" customHeight="false" outlineLevel="0" collapsed="false">
      <c r="E357" s="418"/>
      <c r="H357" s="172"/>
      <c r="I357" s="172"/>
      <c r="J357" s="172"/>
    </row>
    <row r="358" s="2" customFormat="true" ht="18" hidden="false" customHeight="false" outlineLevel="0" collapsed="false">
      <c r="E358" s="418"/>
      <c r="H358" s="172"/>
      <c r="I358" s="172"/>
      <c r="J358" s="172"/>
    </row>
    <row r="359" s="2" customFormat="true" ht="18" hidden="false" customHeight="false" outlineLevel="0" collapsed="false">
      <c r="E359" s="418"/>
      <c r="H359" s="172"/>
      <c r="I359" s="172"/>
      <c r="J359" s="172"/>
    </row>
    <row r="360" s="2" customFormat="true" ht="18" hidden="false" customHeight="false" outlineLevel="0" collapsed="false">
      <c r="E360" s="418"/>
      <c r="H360" s="172"/>
      <c r="I360" s="172"/>
      <c r="J360" s="172"/>
    </row>
    <row r="361" s="2" customFormat="true" ht="18" hidden="false" customHeight="false" outlineLevel="0" collapsed="false">
      <c r="E361" s="418"/>
      <c r="H361" s="172"/>
      <c r="I361" s="172"/>
      <c r="J361" s="172"/>
    </row>
    <row r="362" s="2" customFormat="true" ht="18" hidden="false" customHeight="false" outlineLevel="0" collapsed="false">
      <c r="E362" s="418"/>
      <c r="H362" s="172"/>
      <c r="I362" s="172"/>
      <c r="J362" s="172"/>
    </row>
    <row r="363" s="2" customFormat="true" ht="18" hidden="false" customHeight="false" outlineLevel="0" collapsed="false">
      <c r="E363" s="418"/>
      <c r="H363" s="172"/>
      <c r="I363" s="172"/>
      <c r="J363" s="172"/>
    </row>
    <row r="364" s="2" customFormat="true" ht="18" hidden="false" customHeight="false" outlineLevel="0" collapsed="false">
      <c r="E364" s="418"/>
      <c r="H364" s="172"/>
      <c r="I364" s="172"/>
      <c r="J364" s="172"/>
    </row>
    <row r="365" s="2" customFormat="true" ht="18" hidden="false" customHeight="false" outlineLevel="0" collapsed="false">
      <c r="E365" s="418"/>
      <c r="H365" s="172"/>
      <c r="I365" s="172"/>
      <c r="J365" s="172"/>
    </row>
    <row r="366" s="2" customFormat="true" ht="18" hidden="false" customHeight="false" outlineLevel="0" collapsed="false">
      <c r="E366" s="418"/>
      <c r="H366" s="172"/>
      <c r="I366" s="172"/>
      <c r="J366" s="172"/>
    </row>
    <row r="367" s="2" customFormat="true" ht="18" hidden="false" customHeight="false" outlineLevel="0" collapsed="false">
      <c r="E367" s="418"/>
      <c r="H367" s="172"/>
      <c r="I367" s="172"/>
      <c r="J367" s="172"/>
    </row>
    <row r="368" s="2" customFormat="true" ht="18" hidden="false" customHeight="false" outlineLevel="0" collapsed="false">
      <c r="E368" s="418"/>
      <c r="H368" s="172"/>
      <c r="I368" s="172"/>
      <c r="J368" s="172"/>
    </row>
    <row r="369" s="2" customFormat="true" ht="18" hidden="false" customHeight="false" outlineLevel="0" collapsed="false">
      <c r="E369" s="418"/>
      <c r="H369" s="172"/>
      <c r="I369" s="172"/>
      <c r="J369" s="172"/>
    </row>
    <row r="370" s="2" customFormat="true" ht="18" hidden="false" customHeight="false" outlineLevel="0" collapsed="false">
      <c r="E370" s="418"/>
      <c r="H370" s="172"/>
      <c r="I370" s="172"/>
      <c r="J370" s="172"/>
    </row>
    <row r="371" s="2" customFormat="true" ht="18" hidden="false" customHeight="false" outlineLevel="0" collapsed="false">
      <c r="E371" s="418"/>
      <c r="H371" s="172"/>
      <c r="I371" s="172"/>
      <c r="J371" s="172"/>
    </row>
    <row r="372" s="2" customFormat="true" ht="18" hidden="false" customHeight="false" outlineLevel="0" collapsed="false">
      <c r="E372" s="418"/>
      <c r="H372" s="172"/>
      <c r="I372" s="172"/>
      <c r="J372" s="172"/>
    </row>
    <row r="373" s="2" customFormat="true" ht="18" hidden="false" customHeight="false" outlineLevel="0" collapsed="false">
      <c r="E373" s="418"/>
      <c r="H373" s="172"/>
      <c r="I373" s="172"/>
      <c r="J373" s="172"/>
    </row>
    <row r="374" s="2" customFormat="true" ht="18" hidden="false" customHeight="false" outlineLevel="0" collapsed="false">
      <c r="E374" s="418"/>
      <c r="H374" s="172"/>
      <c r="I374" s="172"/>
      <c r="J374" s="172"/>
    </row>
    <row r="375" s="2" customFormat="true" ht="18" hidden="false" customHeight="false" outlineLevel="0" collapsed="false">
      <c r="E375" s="418"/>
      <c r="H375" s="172"/>
      <c r="I375" s="172"/>
      <c r="J375" s="172"/>
    </row>
    <row r="376" s="2" customFormat="true" ht="18" hidden="false" customHeight="false" outlineLevel="0" collapsed="false">
      <c r="E376" s="418"/>
      <c r="H376" s="172"/>
      <c r="I376" s="172"/>
      <c r="J376" s="172"/>
    </row>
    <row r="377" s="2" customFormat="true" ht="18" hidden="false" customHeight="false" outlineLevel="0" collapsed="false">
      <c r="E377" s="418"/>
      <c r="H377" s="172"/>
      <c r="I377" s="172"/>
      <c r="J377" s="172"/>
    </row>
    <row r="378" s="2" customFormat="true" ht="18" hidden="false" customHeight="false" outlineLevel="0" collapsed="false">
      <c r="E378" s="418"/>
      <c r="H378" s="172"/>
      <c r="I378" s="172"/>
      <c r="J378" s="172"/>
    </row>
    <row r="379" s="2" customFormat="true" ht="18" hidden="false" customHeight="false" outlineLevel="0" collapsed="false">
      <c r="E379" s="418"/>
      <c r="H379" s="172"/>
      <c r="I379" s="172"/>
      <c r="J379" s="172"/>
    </row>
    <row r="380" s="2" customFormat="true" ht="18" hidden="false" customHeight="false" outlineLevel="0" collapsed="false">
      <c r="E380" s="418"/>
      <c r="H380" s="172"/>
      <c r="I380" s="172"/>
      <c r="J380" s="172"/>
    </row>
    <row r="381" s="2" customFormat="true" ht="18" hidden="false" customHeight="false" outlineLevel="0" collapsed="false">
      <c r="E381" s="418"/>
      <c r="H381" s="172"/>
      <c r="I381" s="172"/>
      <c r="J381" s="172"/>
    </row>
    <row r="382" s="2" customFormat="true" ht="18" hidden="false" customHeight="false" outlineLevel="0" collapsed="false">
      <c r="E382" s="418"/>
      <c r="H382" s="172"/>
      <c r="I382" s="172"/>
      <c r="J382" s="172"/>
    </row>
    <row r="383" s="2" customFormat="true" ht="18" hidden="false" customHeight="false" outlineLevel="0" collapsed="false">
      <c r="E383" s="418"/>
      <c r="H383" s="172"/>
      <c r="I383" s="172"/>
      <c r="J383" s="172"/>
    </row>
    <row r="384" s="2" customFormat="true" ht="18" hidden="false" customHeight="false" outlineLevel="0" collapsed="false">
      <c r="E384" s="418"/>
      <c r="H384" s="172"/>
      <c r="I384" s="172"/>
      <c r="J384" s="172"/>
    </row>
    <row r="385" s="2" customFormat="true" ht="18" hidden="false" customHeight="false" outlineLevel="0" collapsed="false">
      <c r="E385" s="418"/>
      <c r="H385" s="172"/>
      <c r="I385" s="172"/>
      <c r="J385" s="172"/>
    </row>
    <row r="386" s="2" customFormat="true" ht="18" hidden="false" customHeight="false" outlineLevel="0" collapsed="false">
      <c r="E386" s="418"/>
      <c r="H386" s="172"/>
      <c r="I386" s="172"/>
      <c r="J386" s="172"/>
    </row>
    <row r="387" s="2" customFormat="true" ht="18" hidden="false" customHeight="false" outlineLevel="0" collapsed="false">
      <c r="E387" s="418"/>
      <c r="H387" s="172"/>
      <c r="I387" s="172"/>
      <c r="J387" s="172"/>
    </row>
    <row r="388" s="2" customFormat="true" ht="18" hidden="false" customHeight="false" outlineLevel="0" collapsed="false">
      <c r="E388" s="418"/>
      <c r="H388" s="172"/>
      <c r="I388" s="172"/>
      <c r="J388" s="172"/>
    </row>
    <row r="389" s="2" customFormat="true" ht="18" hidden="false" customHeight="false" outlineLevel="0" collapsed="false">
      <c r="E389" s="418"/>
      <c r="H389" s="172"/>
      <c r="I389" s="172"/>
      <c r="J389" s="172"/>
    </row>
    <row r="390" s="2" customFormat="true" ht="18" hidden="false" customHeight="false" outlineLevel="0" collapsed="false">
      <c r="E390" s="418"/>
      <c r="H390" s="172"/>
      <c r="I390" s="172"/>
      <c r="J390" s="172"/>
    </row>
    <row r="391" s="2" customFormat="true" ht="18" hidden="false" customHeight="false" outlineLevel="0" collapsed="false">
      <c r="E391" s="418"/>
      <c r="H391" s="172"/>
      <c r="I391" s="172"/>
      <c r="J391" s="172"/>
    </row>
    <row r="392" s="2" customFormat="true" ht="18" hidden="false" customHeight="false" outlineLevel="0" collapsed="false">
      <c r="E392" s="418"/>
      <c r="H392" s="172"/>
      <c r="I392" s="172"/>
      <c r="J392" s="172"/>
    </row>
    <row r="393" s="2" customFormat="true" ht="18" hidden="false" customHeight="false" outlineLevel="0" collapsed="false">
      <c r="E393" s="418"/>
      <c r="H393" s="172"/>
      <c r="I393" s="172"/>
      <c r="J393" s="172"/>
    </row>
    <row r="394" s="2" customFormat="true" ht="18" hidden="false" customHeight="false" outlineLevel="0" collapsed="false">
      <c r="E394" s="418"/>
      <c r="H394" s="172"/>
      <c r="I394" s="172"/>
      <c r="J394" s="172"/>
    </row>
    <row r="395" s="2" customFormat="true" ht="18" hidden="false" customHeight="false" outlineLevel="0" collapsed="false">
      <c r="E395" s="418"/>
      <c r="H395" s="172"/>
      <c r="I395" s="172"/>
      <c r="J395" s="172"/>
    </row>
    <row r="396" s="2" customFormat="true" ht="18" hidden="false" customHeight="false" outlineLevel="0" collapsed="false">
      <c r="E396" s="418"/>
      <c r="H396" s="172"/>
      <c r="I396" s="172"/>
      <c r="J396" s="172"/>
    </row>
    <row r="397" s="2" customFormat="true" ht="18" hidden="false" customHeight="false" outlineLevel="0" collapsed="false">
      <c r="E397" s="418"/>
      <c r="H397" s="172"/>
      <c r="I397" s="172"/>
      <c r="J397" s="172"/>
    </row>
    <row r="398" s="2" customFormat="true" ht="18" hidden="false" customHeight="false" outlineLevel="0" collapsed="false">
      <c r="E398" s="418"/>
      <c r="H398" s="172"/>
      <c r="I398" s="172"/>
      <c r="J398" s="172"/>
    </row>
    <row r="399" s="2" customFormat="true" ht="18" hidden="false" customHeight="false" outlineLevel="0" collapsed="false">
      <c r="E399" s="418"/>
      <c r="H399" s="172"/>
      <c r="I399" s="172"/>
      <c r="J399" s="172"/>
    </row>
    <row r="400" s="2" customFormat="true" ht="18" hidden="false" customHeight="false" outlineLevel="0" collapsed="false">
      <c r="E400" s="418"/>
      <c r="H400" s="172"/>
      <c r="I400" s="172"/>
      <c r="J400" s="172"/>
    </row>
    <row r="401" s="2" customFormat="true" ht="18" hidden="false" customHeight="false" outlineLevel="0" collapsed="false">
      <c r="E401" s="418"/>
      <c r="H401" s="172"/>
      <c r="I401" s="172"/>
      <c r="J401" s="172"/>
    </row>
    <row r="402" s="2" customFormat="true" ht="18" hidden="false" customHeight="false" outlineLevel="0" collapsed="false">
      <c r="E402" s="418"/>
      <c r="H402" s="172"/>
      <c r="I402" s="172"/>
      <c r="J402" s="172"/>
    </row>
    <row r="403" s="2" customFormat="true" ht="18" hidden="false" customHeight="false" outlineLevel="0" collapsed="false">
      <c r="E403" s="418"/>
      <c r="H403" s="172"/>
      <c r="I403" s="172"/>
      <c r="J403" s="172"/>
    </row>
    <row r="404" s="2" customFormat="true" ht="18" hidden="false" customHeight="false" outlineLevel="0" collapsed="false">
      <c r="E404" s="418"/>
      <c r="H404" s="172"/>
      <c r="I404" s="172"/>
      <c r="J404" s="172"/>
    </row>
    <row r="405" s="2" customFormat="true" ht="18" hidden="false" customHeight="false" outlineLevel="0" collapsed="false">
      <c r="E405" s="418"/>
      <c r="H405" s="172"/>
      <c r="I405" s="172"/>
      <c r="J405" s="172"/>
    </row>
    <row r="406" s="2" customFormat="true" ht="18" hidden="false" customHeight="false" outlineLevel="0" collapsed="false">
      <c r="E406" s="418"/>
      <c r="H406" s="172"/>
      <c r="I406" s="172"/>
      <c r="J406" s="172"/>
    </row>
    <row r="407" s="2" customFormat="true" ht="18" hidden="false" customHeight="false" outlineLevel="0" collapsed="false">
      <c r="E407" s="418"/>
      <c r="H407" s="172"/>
      <c r="I407" s="172"/>
      <c r="J407" s="172"/>
    </row>
    <row r="408" s="2" customFormat="true" ht="18" hidden="false" customHeight="false" outlineLevel="0" collapsed="false">
      <c r="E408" s="418"/>
      <c r="H408" s="172"/>
      <c r="I408" s="172"/>
      <c r="J408" s="172"/>
    </row>
    <row r="409" s="2" customFormat="true" ht="18" hidden="false" customHeight="false" outlineLevel="0" collapsed="false">
      <c r="E409" s="418"/>
      <c r="H409" s="172"/>
      <c r="I409" s="172"/>
      <c r="J409" s="172"/>
    </row>
    <row r="410" s="2" customFormat="true" ht="18" hidden="false" customHeight="false" outlineLevel="0" collapsed="false">
      <c r="E410" s="418"/>
      <c r="H410" s="172"/>
      <c r="I410" s="172"/>
      <c r="J410" s="172"/>
    </row>
    <row r="411" s="2" customFormat="true" ht="18" hidden="false" customHeight="false" outlineLevel="0" collapsed="false">
      <c r="E411" s="418"/>
      <c r="H411" s="172"/>
      <c r="I411" s="172"/>
      <c r="J411" s="172"/>
    </row>
    <row r="412" s="2" customFormat="true" ht="18" hidden="false" customHeight="false" outlineLevel="0" collapsed="false">
      <c r="E412" s="418"/>
      <c r="H412" s="172"/>
      <c r="I412" s="172"/>
      <c r="J412" s="172"/>
    </row>
    <row r="413" s="2" customFormat="true" ht="18" hidden="false" customHeight="false" outlineLevel="0" collapsed="false">
      <c r="E413" s="418"/>
      <c r="H413" s="172"/>
      <c r="I413" s="172"/>
      <c r="J413" s="172"/>
    </row>
    <row r="414" s="2" customFormat="true" ht="18" hidden="false" customHeight="false" outlineLevel="0" collapsed="false">
      <c r="E414" s="418"/>
      <c r="H414" s="172"/>
      <c r="I414" s="172"/>
      <c r="J414" s="172"/>
    </row>
    <row r="415" s="2" customFormat="true" ht="18" hidden="false" customHeight="false" outlineLevel="0" collapsed="false">
      <c r="E415" s="418"/>
      <c r="H415" s="172"/>
      <c r="I415" s="172"/>
      <c r="J415" s="172"/>
    </row>
    <row r="416" s="2" customFormat="true" ht="18" hidden="false" customHeight="false" outlineLevel="0" collapsed="false">
      <c r="E416" s="418"/>
      <c r="H416" s="172"/>
      <c r="I416" s="172"/>
      <c r="J416" s="172"/>
    </row>
    <row r="417" s="2" customFormat="true" ht="18" hidden="false" customHeight="false" outlineLevel="0" collapsed="false">
      <c r="E417" s="418"/>
      <c r="H417" s="172"/>
      <c r="I417" s="172"/>
      <c r="J417" s="172"/>
    </row>
    <row r="418" s="2" customFormat="true" ht="18" hidden="false" customHeight="false" outlineLevel="0" collapsed="false">
      <c r="E418" s="418"/>
      <c r="H418" s="172"/>
      <c r="I418" s="172"/>
      <c r="J418" s="172"/>
    </row>
    <row r="419" s="2" customFormat="true" ht="18" hidden="false" customHeight="false" outlineLevel="0" collapsed="false">
      <c r="E419" s="418"/>
      <c r="H419" s="172"/>
      <c r="I419" s="172"/>
      <c r="J419" s="172"/>
    </row>
    <row r="420" s="2" customFormat="true" ht="18" hidden="false" customHeight="false" outlineLevel="0" collapsed="false">
      <c r="E420" s="418"/>
      <c r="H420" s="172"/>
      <c r="I420" s="172"/>
      <c r="J420" s="172"/>
    </row>
    <row r="421" s="2" customFormat="true" ht="18" hidden="false" customHeight="false" outlineLevel="0" collapsed="false">
      <c r="E421" s="418"/>
      <c r="H421" s="172"/>
      <c r="I421" s="172"/>
      <c r="J421" s="172"/>
    </row>
    <row r="422" s="2" customFormat="true" ht="18" hidden="false" customHeight="false" outlineLevel="0" collapsed="false">
      <c r="E422" s="418"/>
      <c r="H422" s="172"/>
      <c r="I422" s="172"/>
      <c r="J422" s="172"/>
    </row>
    <row r="423" s="2" customFormat="true" ht="18" hidden="false" customHeight="false" outlineLevel="0" collapsed="false">
      <c r="E423" s="418"/>
      <c r="H423" s="172"/>
      <c r="I423" s="172"/>
      <c r="J423" s="172"/>
    </row>
    <row r="424" s="2" customFormat="true" ht="18" hidden="false" customHeight="false" outlineLevel="0" collapsed="false">
      <c r="E424" s="418"/>
      <c r="H424" s="172"/>
      <c r="I424" s="172"/>
      <c r="J424" s="172"/>
    </row>
    <row r="425" s="2" customFormat="true" ht="18" hidden="false" customHeight="false" outlineLevel="0" collapsed="false">
      <c r="E425" s="418"/>
      <c r="H425" s="172"/>
      <c r="I425" s="172"/>
      <c r="J425" s="172"/>
    </row>
    <row r="426" s="2" customFormat="true" ht="18" hidden="false" customHeight="false" outlineLevel="0" collapsed="false">
      <c r="E426" s="418"/>
      <c r="H426" s="172"/>
      <c r="I426" s="172"/>
      <c r="J426" s="172"/>
    </row>
    <row r="427" s="2" customFormat="true" ht="18" hidden="false" customHeight="false" outlineLevel="0" collapsed="false">
      <c r="E427" s="418"/>
      <c r="H427" s="172"/>
      <c r="I427" s="172"/>
      <c r="J427" s="172"/>
    </row>
    <row r="428" s="2" customFormat="true" ht="18" hidden="false" customHeight="false" outlineLevel="0" collapsed="false">
      <c r="E428" s="418"/>
      <c r="H428" s="172"/>
      <c r="I428" s="172"/>
      <c r="J428" s="172"/>
    </row>
    <row r="429" s="2" customFormat="true" ht="18" hidden="false" customHeight="false" outlineLevel="0" collapsed="false">
      <c r="E429" s="418"/>
      <c r="H429" s="172"/>
      <c r="I429" s="172"/>
      <c r="J429" s="172"/>
    </row>
    <row r="430" s="2" customFormat="true" ht="18" hidden="false" customHeight="false" outlineLevel="0" collapsed="false">
      <c r="E430" s="418"/>
      <c r="H430" s="172"/>
      <c r="I430" s="172"/>
      <c r="J430" s="172"/>
    </row>
    <row r="431" s="2" customFormat="true" ht="18" hidden="false" customHeight="false" outlineLevel="0" collapsed="false">
      <c r="E431" s="418"/>
      <c r="H431" s="172"/>
      <c r="I431" s="172"/>
      <c r="J431" s="172"/>
    </row>
    <row r="432" s="2" customFormat="true" ht="18" hidden="false" customHeight="false" outlineLevel="0" collapsed="false">
      <c r="E432" s="418"/>
      <c r="H432" s="172"/>
      <c r="I432" s="172"/>
      <c r="J432" s="172"/>
    </row>
    <row r="433" s="2" customFormat="true" ht="18" hidden="false" customHeight="false" outlineLevel="0" collapsed="false">
      <c r="E433" s="418"/>
      <c r="H433" s="172"/>
      <c r="I433" s="172"/>
      <c r="J433" s="172"/>
    </row>
    <row r="434" s="2" customFormat="true" ht="18" hidden="false" customHeight="false" outlineLevel="0" collapsed="false">
      <c r="E434" s="418"/>
      <c r="H434" s="172"/>
      <c r="I434" s="172"/>
      <c r="J434" s="172"/>
    </row>
    <row r="435" s="2" customFormat="true" ht="18" hidden="false" customHeight="false" outlineLevel="0" collapsed="false">
      <c r="E435" s="418"/>
      <c r="H435" s="172"/>
      <c r="I435" s="172"/>
      <c r="J435" s="172"/>
    </row>
    <row r="436" s="2" customFormat="true" ht="18" hidden="false" customHeight="false" outlineLevel="0" collapsed="false">
      <c r="E436" s="418"/>
      <c r="H436" s="172"/>
      <c r="I436" s="172"/>
      <c r="J436" s="172"/>
    </row>
    <row r="437" s="2" customFormat="true" ht="18" hidden="false" customHeight="false" outlineLevel="0" collapsed="false">
      <c r="E437" s="418"/>
      <c r="H437" s="172"/>
      <c r="I437" s="172"/>
      <c r="J437" s="172"/>
    </row>
    <row r="438" s="2" customFormat="true" ht="18" hidden="false" customHeight="false" outlineLevel="0" collapsed="false">
      <c r="E438" s="418"/>
      <c r="H438" s="172"/>
      <c r="I438" s="172"/>
      <c r="J438" s="172"/>
    </row>
    <row r="439" s="2" customFormat="true" ht="18" hidden="false" customHeight="false" outlineLevel="0" collapsed="false">
      <c r="E439" s="418"/>
      <c r="H439" s="172"/>
      <c r="I439" s="172"/>
      <c r="J439" s="172"/>
    </row>
    <row r="440" s="2" customFormat="true" ht="18" hidden="false" customHeight="false" outlineLevel="0" collapsed="false">
      <c r="E440" s="418"/>
      <c r="H440" s="172"/>
      <c r="I440" s="172"/>
      <c r="J440" s="172"/>
    </row>
    <row r="441" s="2" customFormat="true" ht="18" hidden="false" customHeight="false" outlineLevel="0" collapsed="false">
      <c r="E441" s="418"/>
      <c r="H441" s="172"/>
      <c r="I441" s="172"/>
      <c r="J441" s="172"/>
    </row>
    <row r="442" s="2" customFormat="true" ht="18" hidden="false" customHeight="false" outlineLevel="0" collapsed="false">
      <c r="E442" s="418"/>
      <c r="H442" s="172"/>
      <c r="I442" s="172"/>
      <c r="J442" s="172"/>
    </row>
    <row r="443" s="2" customFormat="true" ht="18" hidden="false" customHeight="false" outlineLevel="0" collapsed="false">
      <c r="E443" s="418"/>
      <c r="H443" s="172"/>
      <c r="I443" s="172"/>
      <c r="J443" s="172"/>
    </row>
    <row r="444" s="2" customFormat="true" ht="18" hidden="false" customHeight="false" outlineLevel="0" collapsed="false">
      <c r="E444" s="418"/>
      <c r="H444" s="172"/>
      <c r="I444" s="172"/>
      <c r="J444" s="172"/>
    </row>
    <row r="445" s="2" customFormat="true" ht="18" hidden="false" customHeight="false" outlineLevel="0" collapsed="false">
      <c r="E445" s="418"/>
      <c r="H445" s="172"/>
      <c r="I445" s="172"/>
      <c r="J445" s="172"/>
    </row>
    <row r="446" s="2" customFormat="true" ht="18" hidden="false" customHeight="false" outlineLevel="0" collapsed="false">
      <c r="E446" s="418"/>
      <c r="H446" s="172"/>
      <c r="I446" s="172"/>
      <c r="J446" s="172"/>
    </row>
    <row r="447" s="2" customFormat="true" ht="18" hidden="false" customHeight="false" outlineLevel="0" collapsed="false">
      <c r="E447" s="418"/>
      <c r="H447" s="172"/>
      <c r="I447" s="172"/>
      <c r="J447" s="172"/>
    </row>
    <row r="448" s="2" customFormat="true" ht="18" hidden="false" customHeight="false" outlineLevel="0" collapsed="false">
      <c r="E448" s="418"/>
      <c r="H448" s="172"/>
      <c r="I448" s="172"/>
      <c r="J448" s="172"/>
    </row>
    <row r="449" s="2" customFormat="true" ht="18" hidden="false" customHeight="false" outlineLevel="0" collapsed="false">
      <c r="E449" s="418"/>
      <c r="H449" s="172"/>
      <c r="I449" s="172"/>
      <c r="J449" s="172"/>
    </row>
    <row r="450" s="2" customFormat="true" ht="18" hidden="false" customHeight="false" outlineLevel="0" collapsed="false">
      <c r="E450" s="418"/>
      <c r="H450" s="172"/>
      <c r="I450" s="172"/>
      <c r="J450" s="172"/>
    </row>
    <row r="451" s="2" customFormat="true" ht="18" hidden="false" customHeight="false" outlineLevel="0" collapsed="false">
      <c r="E451" s="418"/>
      <c r="H451" s="172"/>
      <c r="I451" s="172"/>
      <c r="J451" s="172"/>
    </row>
    <row r="452" s="2" customFormat="true" ht="18" hidden="false" customHeight="false" outlineLevel="0" collapsed="false">
      <c r="E452" s="418"/>
      <c r="H452" s="172"/>
      <c r="I452" s="172"/>
      <c r="J452" s="172"/>
    </row>
    <row r="453" s="2" customFormat="true" ht="18" hidden="false" customHeight="false" outlineLevel="0" collapsed="false">
      <c r="E453" s="418"/>
      <c r="H453" s="172"/>
      <c r="I453" s="172"/>
      <c r="J453" s="172"/>
    </row>
    <row r="454" s="2" customFormat="true" ht="18" hidden="false" customHeight="false" outlineLevel="0" collapsed="false">
      <c r="E454" s="418"/>
      <c r="H454" s="172"/>
      <c r="I454" s="172"/>
      <c r="J454" s="172"/>
    </row>
    <row r="455" s="2" customFormat="true" ht="18" hidden="false" customHeight="false" outlineLevel="0" collapsed="false">
      <c r="E455" s="418"/>
      <c r="H455" s="172"/>
      <c r="I455" s="172"/>
      <c r="J455" s="172"/>
    </row>
    <row r="456" s="2" customFormat="true" ht="18" hidden="false" customHeight="false" outlineLevel="0" collapsed="false">
      <c r="E456" s="418"/>
      <c r="H456" s="172"/>
      <c r="I456" s="172"/>
      <c r="J456" s="172"/>
    </row>
    <row r="457" s="2" customFormat="true" ht="18" hidden="false" customHeight="false" outlineLevel="0" collapsed="false">
      <c r="E457" s="418"/>
      <c r="H457" s="172"/>
      <c r="I457" s="172"/>
      <c r="J457" s="172"/>
    </row>
    <row r="458" s="2" customFormat="true" ht="18" hidden="false" customHeight="false" outlineLevel="0" collapsed="false">
      <c r="E458" s="418"/>
      <c r="H458" s="172"/>
      <c r="I458" s="172"/>
      <c r="J458" s="172"/>
    </row>
    <row r="459" s="2" customFormat="true" ht="18" hidden="false" customHeight="false" outlineLevel="0" collapsed="false">
      <c r="E459" s="418"/>
      <c r="H459" s="172"/>
      <c r="I459" s="172"/>
      <c r="J459" s="172"/>
    </row>
    <row r="460" s="2" customFormat="true" ht="18" hidden="false" customHeight="false" outlineLevel="0" collapsed="false">
      <c r="E460" s="418"/>
      <c r="H460" s="172"/>
      <c r="I460" s="172"/>
      <c r="J460" s="172"/>
    </row>
    <row r="461" s="2" customFormat="true" ht="18" hidden="false" customHeight="false" outlineLevel="0" collapsed="false">
      <c r="E461" s="418"/>
      <c r="H461" s="172"/>
      <c r="I461" s="172"/>
      <c r="J461" s="172"/>
    </row>
    <row r="462" s="2" customFormat="true" ht="18" hidden="false" customHeight="false" outlineLevel="0" collapsed="false">
      <c r="E462" s="418"/>
      <c r="H462" s="172"/>
      <c r="I462" s="172"/>
      <c r="J462" s="172"/>
    </row>
    <row r="463" s="2" customFormat="true" ht="18" hidden="false" customHeight="false" outlineLevel="0" collapsed="false">
      <c r="E463" s="418"/>
      <c r="H463" s="172"/>
      <c r="I463" s="172"/>
      <c r="J463" s="172"/>
    </row>
    <row r="464" s="2" customFormat="true" ht="18" hidden="false" customHeight="false" outlineLevel="0" collapsed="false">
      <c r="E464" s="418"/>
      <c r="H464" s="172"/>
      <c r="I464" s="172"/>
      <c r="J464" s="172"/>
    </row>
    <row r="465" s="2" customFormat="true" ht="18" hidden="false" customHeight="false" outlineLevel="0" collapsed="false">
      <c r="E465" s="418"/>
      <c r="H465" s="172"/>
      <c r="I465" s="172"/>
      <c r="J465" s="172"/>
    </row>
    <row r="466" s="2" customFormat="true" ht="18" hidden="false" customHeight="false" outlineLevel="0" collapsed="false">
      <c r="E466" s="418"/>
      <c r="H466" s="172"/>
      <c r="I466" s="172"/>
      <c r="J466" s="172"/>
    </row>
    <row r="467" s="2" customFormat="true" ht="18" hidden="false" customHeight="false" outlineLevel="0" collapsed="false">
      <c r="E467" s="418"/>
      <c r="H467" s="172"/>
      <c r="I467" s="172"/>
      <c r="J467" s="172"/>
    </row>
    <row r="468" s="2" customFormat="true" ht="18" hidden="false" customHeight="false" outlineLevel="0" collapsed="false">
      <c r="E468" s="418"/>
      <c r="H468" s="172"/>
      <c r="I468" s="172"/>
      <c r="J468" s="172"/>
    </row>
    <row r="469" s="2" customFormat="true" ht="18" hidden="false" customHeight="false" outlineLevel="0" collapsed="false">
      <c r="E469" s="418"/>
      <c r="H469" s="172"/>
      <c r="I469" s="172"/>
      <c r="J469" s="172"/>
    </row>
    <row r="470" s="2" customFormat="true" ht="18" hidden="false" customHeight="false" outlineLevel="0" collapsed="false">
      <c r="E470" s="418"/>
      <c r="H470" s="172"/>
      <c r="I470" s="172"/>
      <c r="J470" s="172"/>
    </row>
    <row r="471" s="2" customFormat="true" ht="18" hidden="false" customHeight="false" outlineLevel="0" collapsed="false">
      <c r="E471" s="418"/>
      <c r="H471" s="172"/>
      <c r="I471" s="172"/>
      <c r="J471" s="172"/>
    </row>
    <row r="472" s="2" customFormat="true" ht="18" hidden="false" customHeight="false" outlineLevel="0" collapsed="false">
      <c r="E472" s="418"/>
      <c r="H472" s="172"/>
      <c r="I472" s="172"/>
      <c r="J472" s="172"/>
    </row>
    <row r="473" s="2" customFormat="true" ht="18" hidden="false" customHeight="false" outlineLevel="0" collapsed="false">
      <c r="E473" s="418"/>
      <c r="H473" s="172"/>
      <c r="I473" s="172"/>
      <c r="J473" s="172"/>
    </row>
    <row r="474" s="2" customFormat="true" ht="18" hidden="false" customHeight="false" outlineLevel="0" collapsed="false">
      <c r="E474" s="418"/>
      <c r="H474" s="172"/>
      <c r="I474" s="172"/>
      <c r="J474" s="172"/>
    </row>
    <row r="475" s="2" customFormat="true" ht="18" hidden="false" customHeight="false" outlineLevel="0" collapsed="false">
      <c r="E475" s="418"/>
      <c r="H475" s="172"/>
      <c r="I475" s="172"/>
      <c r="J475" s="172"/>
    </row>
    <row r="476" s="2" customFormat="true" ht="18" hidden="false" customHeight="false" outlineLevel="0" collapsed="false">
      <c r="E476" s="418"/>
      <c r="H476" s="172"/>
      <c r="I476" s="172"/>
      <c r="J476" s="172"/>
    </row>
    <row r="477" s="2" customFormat="true" ht="18" hidden="false" customHeight="false" outlineLevel="0" collapsed="false">
      <c r="E477" s="418"/>
      <c r="H477" s="172"/>
      <c r="I477" s="172"/>
      <c r="J477" s="172"/>
    </row>
    <row r="478" s="2" customFormat="true" ht="18" hidden="false" customHeight="false" outlineLevel="0" collapsed="false">
      <c r="E478" s="418"/>
      <c r="H478" s="172"/>
      <c r="I478" s="172"/>
      <c r="J478" s="172"/>
    </row>
    <row r="479" s="2" customFormat="true" ht="18" hidden="false" customHeight="false" outlineLevel="0" collapsed="false">
      <c r="E479" s="418"/>
      <c r="H479" s="172"/>
      <c r="I479" s="172"/>
      <c r="J479" s="172"/>
    </row>
    <row r="480" s="2" customFormat="true" ht="18" hidden="false" customHeight="false" outlineLevel="0" collapsed="false">
      <c r="E480" s="418"/>
      <c r="H480" s="172"/>
      <c r="I480" s="172"/>
      <c r="J480" s="172"/>
    </row>
    <row r="481" s="2" customFormat="true" ht="18" hidden="false" customHeight="false" outlineLevel="0" collapsed="false">
      <c r="E481" s="418"/>
      <c r="H481" s="172"/>
      <c r="I481" s="172"/>
      <c r="J481" s="172"/>
    </row>
    <row r="482" s="2" customFormat="true" ht="18" hidden="false" customHeight="false" outlineLevel="0" collapsed="false">
      <c r="E482" s="418"/>
      <c r="H482" s="172"/>
      <c r="I482" s="172"/>
      <c r="J482" s="172"/>
    </row>
    <row r="483" s="2" customFormat="true" ht="18" hidden="false" customHeight="false" outlineLevel="0" collapsed="false">
      <c r="E483" s="418"/>
      <c r="H483" s="172"/>
      <c r="I483" s="172"/>
      <c r="J483" s="172"/>
    </row>
    <row r="484" s="2" customFormat="true" ht="18" hidden="false" customHeight="false" outlineLevel="0" collapsed="false">
      <c r="E484" s="418"/>
      <c r="H484" s="172"/>
      <c r="I484" s="172"/>
      <c r="J484" s="172"/>
    </row>
    <row r="485" s="2" customFormat="true" ht="18" hidden="false" customHeight="false" outlineLevel="0" collapsed="false">
      <c r="E485" s="418"/>
      <c r="H485" s="172"/>
      <c r="I485" s="172"/>
      <c r="J485" s="172"/>
    </row>
    <row r="486" s="2" customFormat="true" ht="18" hidden="false" customHeight="false" outlineLevel="0" collapsed="false">
      <c r="E486" s="418"/>
      <c r="H486" s="172"/>
      <c r="I486" s="172"/>
      <c r="J486" s="172"/>
    </row>
    <row r="487" s="2" customFormat="true" ht="18" hidden="false" customHeight="false" outlineLevel="0" collapsed="false">
      <c r="E487" s="418"/>
      <c r="H487" s="172"/>
      <c r="I487" s="172"/>
      <c r="J487" s="172"/>
    </row>
    <row r="488" s="2" customFormat="true" ht="18" hidden="false" customHeight="false" outlineLevel="0" collapsed="false">
      <c r="E488" s="418"/>
      <c r="H488" s="172"/>
      <c r="I488" s="172"/>
      <c r="J488" s="172"/>
    </row>
    <row r="489" s="2" customFormat="true" ht="18" hidden="false" customHeight="false" outlineLevel="0" collapsed="false">
      <c r="E489" s="418"/>
      <c r="H489" s="172"/>
      <c r="I489" s="172"/>
      <c r="J489" s="172"/>
    </row>
    <row r="490" s="2" customFormat="true" ht="18" hidden="false" customHeight="false" outlineLevel="0" collapsed="false">
      <c r="E490" s="418"/>
      <c r="H490" s="172"/>
      <c r="I490" s="172"/>
      <c r="J490" s="172"/>
    </row>
    <row r="491" s="2" customFormat="true" ht="18" hidden="false" customHeight="false" outlineLevel="0" collapsed="false">
      <c r="E491" s="418"/>
      <c r="H491" s="172"/>
      <c r="I491" s="172"/>
      <c r="J491" s="172"/>
    </row>
    <row r="492" s="2" customFormat="true" ht="18" hidden="false" customHeight="false" outlineLevel="0" collapsed="false">
      <c r="E492" s="418"/>
      <c r="H492" s="172"/>
      <c r="I492" s="172"/>
      <c r="J492" s="172"/>
    </row>
    <row r="493" s="2" customFormat="true" ht="18" hidden="false" customHeight="false" outlineLevel="0" collapsed="false">
      <c r="E493" s="418"/>
      <c r="H493" s="172"/>
      <c r="I493" s="172"/>
      <c r="J493" s="172"/>
    </row>
    <row r="494" s="2" customFormat="true" ht="18" hidden="false" customHeight="false" outlineLevel="0" collapsed="false">
      <c r="E494" s="418"/>
      <c r="H494" s="172"/>
      <c r="I494" s="172"/>
      <c r="J494" s="172"/>
    </row>
    <row r="495" s="2" customFormat="true" ht="18" hidden="false" customHeight="false" outlineLevel="0" collapsed="false">
      <c r="E495" s="418"/>
      <c r="H495" s="172"/>
      <c r="I495" s="172"/>
      <c r="J495" s="172"/>
    </row>
    <row r="496" s="2" customFormat="true" ht="18" hidden="false" customHeight="false" outlineLevel="0" collapsed="false">
      <c r="E496" s="418"/>
      <c r="H496" s="172"/>
      <c r="I496" s="172"/>
      <c r="J496" s="172"/>
    </row>
    <row r="497" s="2" customFormat="true" ht="18" hidden="false" customHeight="false" outlineLevel="0" collapsed="false">
      <c r="E497" s="418"/>
      <c r="H497" s="172"/>
      <c r="I497" s="172"/>
      <c r="J497" s="172"/>
    </row>
    <row r="498" s="2" customFormat="true" ht="18" hidden="false" customHeight="false" outlineLevel="0" collapsed="false">
      <c r="E498" s="418"/>
      <c r="H498" s="172"/>
      <c r="I498" s="172"/>
      <c r="J498" s="172"/>
    </row>
    <row r="499" s="2" customFormat="true" ht="18" hidden="false" customHeight="false" outlineLevel="0" collapsed="false">
      <c r="E499" s="418"/>
      <c r="H499" s="172"/>
      <c r="I499" s="172"/>
      <c r="J499" s="172"/>
    </row>
    <row r="500" s="2" customFormat="true" ht="18" hidden="false" customHeight="false" outlineLevel="0" collapsed="false">
      <c r="E500" s="418"/>
      <c r="H500" s="172"/>
      <c r="I500" s="172"/>
      <c r="J500" s="172"/>
    </row>
    <row r="501" s="2" customFormat="true" ht="18" hidden="false" customHeight="false" outlineLevel="0" collapsed="false">
      <c r="E501" s="418"/>
      <c r="H501" s="172"/>
      <c r="I501" s="172"/>
      <c r="J501" s="172"/>
    </row>
    <row r="502" s="2" customFormat="true" ht="18" hidden="false" customHeight="false" outlineLevel="0" collapsed="false">
      <c r="E502" s="418"/>
      <c r="H502" s="172"/>
      <c r="I502" s="172"/>
      <c r="J502" s="172"/>
    </row>
    <row r="503" s="2" customFormat="true" ht="18" hidden="false" customHeight="false" outlineLevel="0" collapsed="false">
      <c r="E503" s="418"/>
      <c r="H503" s="172"/>
      <c r="I503" s="172"/>
      <c r="J503" s="172"/>
    </row>
    <row r="504" s="2" customFormat="true" ht="18" hidden="false" customHeight="false" outlineLevel="0" collapsed="false">
      <c r="E504" s="418"/>
      <c r="H504" s="172"/>
      <c r="I504" s="172"/>
      <c r="J504" s="172"/>
    </row>
    <row r="505" s="2" customFormat="true" ht="18" hidden="false" customHeight="false" outlineLevel="0" collapsed="false">
      <c r="E505" s="418"/>
      <c r="H505" s="172"/>
      <c r="I505" s="172"/>
      <c r="J505" s="172"/>
    </row>
    <row r="506" s="2" customFormat="true" ht="18" hidden="false" customHeight="false" outlineLevel="0" collapsed="false">
      <c r="E506" s="418"/>
      <c r="H506" s="172"/>
      <c r="I506" s="172"/>
      <c r="J506" s="172"/>
    </row>
    <row r="507" s="2" customFormat="true" ht="18" hidden="false" customHeight="false" outlineLevel="0" collapsed="false">
      <c r="E507" s="418"/>
      <c r="H507" s="172"/>
      <c r="I507" s="172"/>
      <c r="J507" s="172"/>
    </row>
    <row r="508" s="2" customFormat="true" ht="18" hidden="false" customHeight="false" outlineLevel="0" collapsed="false">
      <c r="E508" s="418"/>
      <c r="H508" s="172"/>
      <c r="I508" s="172"/>
      <c r="J508" s="172"/>
    </row>
    <row r="509" s="2" customFormat="true" ht="18" hidden="false" customHeight="false" outlineLevel="0" collapsed="false">
      <c r="E509" s="418"/>
      <c r="H509" s="172"/>
      <c r="I509" s="172"/>
      <c r="J509" s="172"/>
    </row>
    <row r="510" s="2" customFormat="true" ht="18" hidden="false" customHeight="false" outlineLevel="0" collapsed="false">
      <c r="E510" s="418"/>
      <c r="H510" s="172"/>
      <c r="I510" s="172"/>
      <c r="J510" s="172"/>
    </row>
    <row r="511" s="2" customFormat="true" ht="18" hidden="false" customHeight="false" outlineLevel="0" collapsed="false">
      <c r="E511" s="418"/>
      <c r="H511" s="172"/>
      <c r="I511" s="172"/>
      <c r="J511" s="172"/>
    </row>
    <row r="512" s="2" customFormat="true" ht="18" hidden="false" customHeight="false" outlineLevel="0" collapsed="false">
      <c r="E512" s="418"/>
      <c r="H512" s="172"/>
      <c r="I512" s="172"/>
      <c r="J512" s="172"/>
    </row>
    <row r="513" s="2" customFormat="true" ht="18" hidden="false" customHeight="false" outlineLevel="0" collapsed="false">
      <c r="E513" s="418"/>
      <c r="H513" s="172"/>
      <c r="I513" s="172"/>
      <c r="J513" s="172"/>
    </row>
    <row r="514" s="2" customFormat="true" ht="18" hidden="false" customHeight="false" outlineLevel="0" collapsed="false">
      <c r="E514" s="418"/>
      <c r="H514" s="172"/>
      <c r="I514" s="172"/>
      <c r="J514" s="172"/>
    </row>
    <row r="515" s="2" customFormat="true" ht="18" hidden="false" customHeight="false" outlineLevel="0" collapsed="false">
      <c r="E515" s="418"/>
      <c r="H515" s="172"/>
      <c r="I515" s="172"/>
      <c r="J515" s="172"/>
    </row>
    <row r="516" s="2" customFormat="true" ht="18" hidden="false" customHeight="false" outlineLevel="0" collapsed="false">
      <c r="E516" s="418"/>
      <c r="H516" s="172"/>
      <c r="I516" s="172"/>
      <c r="J516" s="172"/>
    </row>
    <row r="517" s="2" customFormat="true" ht="18" hidden="false" customHeight="false" outlineLevel="0" collapsed="false">
      <c r="E517" s="418"/>
      <c r="H517" s="172"/>
      <c r="I517" s="172"/>
      <c r="J517" s="172"/>
    </row>
    <row r="518" s="2" customFormat="true" ht="18" hidden="false" customHeight="false" outlineLevel="0" collapsed="false">
      <c r="E518" s="418"/>
      <c r="H518" s="172"/>
      <c r="I518" s="172"/>
      <c r="J518" s="172"/>
    </row>
    <row r="519" s="2" customFormat="true" ht="18" hidden="false" customHeight="false" outlineLevel="0" collapsed="false">
      <c r="E519" s="418"/>
      <c r="H519" s="172"/>
      <c r="I519" s="172"/>
      <c r="J519" s="172"/>
    </row>
    <row r="520" s="2" customFormat="true" ht="18" hidden="false" customHeight="false" outlineLevel="0" collapsed="false">
      <c r="E520" s="418"/>
      <c r="H520" s="172"/>
      <c r="I520" s="172"/>
      <c r="J520" s="172"/>
    </row>
    <row r="521" s="2" customFormat="true" ht="18" hidden="false" customHeight="false" outlineLevel="0" collapsed="false">
      <c r="E521" s="418"/>
      <c r="H521" s="172"/>
      <c r="I521" s="172"/>
      <c r="J521" s="172"/>
    </row>
    <row r="522" s="2" customFormat="true" ht="18" hidden="false" customHeight="false" outlineLevel="0" collapsed="false">
      <c r="E522" s="418"/>
      <c r="H522" s="172"/>
      <c r="I522" s="172"/>
      <c r="J522" s="172"/>
    </row>
    <row r="523" s="2" customFormat="true" ht="18" hidden="false" customHeight="false" outlineLevel="0" collapsed="false">
      <c r="E523" s="418"/>
      <c r="H523" s="172"/>
      <c r="I523" s="172"/>
      <c r="J523" s="172"/>
    </row>
    <row r="524" s="2" customFormat="true" ht="18" hidden="false" customHeight="false" outlineLevel="0" collapsed="false">
      <c r="E524" s="418"/>
      <c r="H524" s="172"/>
      <c r="I524" s="172"/>
      <c r="J524" s="172"/>
    </row>
    <row r="525" s="2" customFormat="true" ht="18" hidden="false" customHeight="false" outlineLevel="0" collapsed="false">
      <c r="E525" s="418"/>
      <c r="H525" s="172"/>
      <c r="I525" s="172"/>
      <c r="J525" s="172"/>
    </row>
    <row r="526" s="2" customFormat="true" ht="18" hidden="false" customHeight="false" outlineLevel="0" collapsed="false">
      <c r="E526" s="418"/>
      <c r="H526" s="172"/>
      <c r="I526" s="172"/>
      <c r="J526" s="172"/>
    </row>
    <row r="527" s="2" customFormat="true" ht="18" hidden="false" customHeight="false" outlineLevel="0" collapsed="false">
      <c r="E527" s="418"/>
      <c r="H527" s="172"/>
      <c r="I527" s="172"/>
      <c r="J527" s="172"/>
    </row>
    <row r="528" s="2" customFormat="true" ht="18" hidden="false" customHeight="false" outlineLevel="0" collapsed="false">
      <c r="E528" s="418"/>
      <c r="H528" s="172"/>
      <c r="I528" s="172"/>
      <c r="J528" s="172"/>
    </row>
    <row r="529" s="2" customFormat="true" ht="18" hidden="false" customHeight="false" outlineLevel="0" collapsed="false">
      <c r="E529" s="418"/>
      <c r="H529" s="172"/>
      <c r="I529" s="172"/>
      <c r="J529" s="172"/>
    </row>
    <row r="530" s="2" customFormat="true" ht="18" hidden="false" customHeight="false" outlineLevel="0" collapsed="false">
      <c r="E530" s="418"/>
      <c r="H530" s="172"/>
      <c r="I530" s="172"/>
      <c r="J530" s="172"/>
    </row>
    <row r="531" s="2" customFormat="true" ht="18" hidden="false" customHeight="false" outlineLevel="0" collapsed="false">
      <c r="E531" s="418"/>
      <c r="H531" s="172"/>
      <c r="I531" s="172"/>
      <c r="J531" s="172"/>
    </row>
    <row r="532" s="2" customFormat="true" ht="18" hidden="false" customHeight="false" outlineLevel="0" collapsed="false">
      <c r="E532" s="418"/>
      <c r="H532" s="172"/>
      <c r="I532" s="172"/>
      <c r="J532" s="172"/>
    </row>
    <row r="533" s="2" customFormat="true" ht="18" hidden="false" customHeight="false" outlineLevel="0" collapsed="false">
      <c r="E533" s="418"/>
      <c r="H533" s="172"/>
      <c r="I533" s="172"/>
      <c r="J533" s="172"/>
    </row>
    <row r="534" s="2" customFormat="true" ht="18" hidden="false" customHeight="false" outlineLevel="0" collapsed="false">
      <c r="E534" s="418"/>
      <c r="H534" s="172"/>
      <c r="I534" s="172"/>
      <c r="J534" s="172"/>
    </row>
    <row r="535" s="2" customFormat="true" ht="18" hidden="false" customHeight="false" outlineLevel="0" collapsed="false">
      <c r="E535" s="418"/>
      <c r="H535" s="172"/>
      <c r="I535" s="172"/>
      <c r="J535" s="172"/>
    </row>
    <row r="536" s="2" customFormat="true" ht="18" hidden="false" customHeight="false" outlineLevel="0" collapsed="false">
      <c r="E536" s="418"/>
      <c r="H536" s="172"/>
      <c r="I536" s="172"/>
      <c r="J536" s="172"/>
    </row>
    <row r="537" s="2" customFormat="true" ht="18" hidden="false" customHeight="false" outlineLevel="0" collapsed="false">
      <c r="E537" s="418"/>
      <c r="H537" s="172"/>
      <c r="I537" s="172"/>
      <c r="J537" s="172"/>
    </row>
    <row r="538" s="2" customFormat="true" ht="18" hidden="false" customHeight="false" outlineLevel="0" collapsed="false">
      <c r="E538" s="418"/>
      <c r="H538" s="172"/>
      <c r="I538" s="172"/>
      <c r="J538" s="172"/>
    </row>
    <row r="539" s="2" customFormat="true" ht="18" hidden="false" customHeight="false" outlineLevel="0" collapsed="false">
      <c r="E539" s="418"/>
      <c r="H539" s="172"/>
      <c r="I539" s="172"/>
      <c r="J539" s="172"/>
    </row>
    <row r="540" s="2" customFormat="true" ht="18" hidden="false" customHeight="false" outlineLevel="0" collapsed="false">
      <c r="E540" s="418"/>
      <c r="H540" s="172"/>
      <c r="I540" s="172"/>
      <c r="J540" s="172"/>
    </row>
    <row r="541" s="2" customFormat="true" ht="18" hidden="false" customHeight="false" outlineLevel="0" collapsed="false">
      <c r="E541" s="418"/>
      <c r="H541" s="172"/>
      <c r="I541" s="172"/>
      <c r="J541" s="172"/>
    </row>
    <row r="542" s="2" customFormat="true" ht="18" hidden="false" customHeight="false" outlineLevel="0" collapsed="false">
      <c r="E542" s="418"/>
      <c r="H542" s="172"/>
      <c r="I542" s="172"/>
      <c r="J542" s="172"/>
    </row>
    <row r="543" s="2" customFormat="true" ht="18" hidden="false" customHeight="false" outlineLevel="0" collapsed="false">
      <c r="E543" s="418"/>
      <c r="H543" s="172"/>
      <c r="I543" s="172"/>
      <c r="J543" s="172"/>
    </row>
    <row r="544" s="2" customFormat="true" ht="18" hidden="false" customHeight="false" outlineLevel="0" collapsed="false">
      <c r="E544" s="418"/>
      <c r="H544" s="172"/>
      <c r="I544" s="172"/>
      <c r="J544" s="172"/>
    </row>
    <row r="545" s="2" customFormat="true" ht="18" hidden="false" customHeight="false" outlineLevel="0" collapsed="false">
      <c r="E545" s="418"/>
      <c r="H545" s="172"/>
      <c r="I545" s="172"/>
      <c r="J545" s="172"/>
    </row>
    <row r="546" s="2" customFormat="true" ht="18" hidden="false" customHeight="false" outlineLevel="0" collapsed="false">
      <c r="E546" s="418"/>
      <c r="H546" s="172"/>
      <c r="I546" s="172"/>
      <c r="J546" s="172"/>
    </row>
    <row r="547" s="2" customFormat="true" ht="18" hidden="false" customHeight="false" outlineLevel="0" collapsed="false">
      <c r="E547" s="418"/>
      <c r="H547" s="172"/>
      <c r="I547" s="172"/>
      <c r="J547" s="172"/>
    </row>
    <row r="548" s="2" customFormat="true" ht="18" hidden="false" customHeight="false" outlineLevel="0" collapsed="false">
      <c r="E548" s="418"/>
      <c r="H548" s="172"/>
      <c r="I548" s="172"/>
      <c r="J548" s="172"/>
    </row>
    <row r="549" s="2" customFormat="true" ht="18" hidden="false" customHeight="false" outlineLevel="0" collapsed="false">
      <c r="E549" s="418"/>
      <c r="H549" s="172"/>
      <c r="I549" s="172"/>
      <c r="J549" s="172"/>
    </row>
    <row r="550" s="2" customFormat="true" ht="18" hidden="false" customHeight="false" outlineLevel="0" collapsed="false">
      <c r="E550" s="418"/>
      <c r="H550" s="172"/>
      <c r="I550" s="172"/>
      <c r="J550" s="172"/>
    </row>
    <row r="551" s="2" customFormat="true" ht="18" hidden="false" customHeight="false" outlineLevel="0" collapsed="false">
      <c r="E551" s="418"/>
      <c r="H551" s="172"/>
      <c r="I551" s="172"/>
      <c r="J551" s="172"/>
    </row>
    <row r="552" s="2" customFormat="true" ht="18" hidden="false" customHeight="false" outlineLevel="0" collapsed="false">
      <c r="E552" s="418"/>
      <c r="H552" s="172"/>
      <c r="I552" s="172"/>
      <c r="J552" s="172"/>
    </row>
    <row r="553" s="2" customFormat="true" ht="18" hidden="false" customHeight="false" outlineLevel="0" collapsed="false">
      <c r="E553" s="418"/>
      <c r="H553" s="172"/>
      <c r="I553" s="172"/>
      <c r="J553" s="172"/>
    </row>
    <row r="554" s="2" customFormat="true" ht="18" hidden="false" customHeight="false" outlineLevel="0" collapsed="false">
      <c r="E554" s="418"/>
      <c r="H554" s="172"/>
      <c r="I554" s="172"/>
      <c r="J554" s="172"/>
    </row>
    <row r="555" s="2" customFormat="true" ht="18" hidden="false" customHeight="false" outlineLevel="0" collapsed="false">
      <c r="E555" s="418"/>
      <c r="H555" s="172"/>
      <c r="I555" s="172"/>
      <c r="J555" s="172"/>
    </row>
    <row r="556" s="2" customFormat="true" ht="18" hidden="false" customHeight="false" outlineLevel="0" collapsed="false">
      <c r="E556" s="418"/>
      <c r="H556" s="172"/>
      <c r="I556" s="172"/>
      <c r="J556" s="172"/>
    </row>
    <row r="557" s="2" customFormat="true" ht="18" hidden="false" customHeight="false" outlineLevel="0" collapsed="false">
      <c r="E557" s="418"/>
      <c r="H557" s="172"/>
      <c r="I557" s="172"/>
      <c r="J557" s="172"/>
    </row>
    <row r="558" s="2" customFormat="true" ht="18" hidden="false" customHeight="false" outlineLevel="0" collapsed="false">
      <c r="E558" s="418"/>
      <c r="H558" s="172"/>
      <c r="I558" s="172"/>
      <c r="J558" s="172"/>
    </row>
    <row r="559" s="2" customFormat="true" ht="18" hidden="false" customHeight="false" outlineLevel="0" collapsed="false">
      <c r="E559" s="418"/>
      <c r="H559" s="172"/>
      <c r="I559" s="172"/>
      <c r="J559" s="172"/>
    </row>
    <row r="560" s="2" customFormat="true" ht="18" hidden="false" customHeight="false" outlineLevel="0" collapsed="false">
      <c r="E560" s="418"/>
      <c r="H560" s="172"/>
      <c r="I560" s="172"/>
      <c r="J560" s="172"/>
    </row>
    <row r="561" s="2" customFormat="true" ht="18" hidden="false" customHeight="false" outlineLevel="0" collapsed="false">
      <c r="E561" s="418"/>
      <c r="H561" s="172"/>
      <c r="I561" s="172"/>
      <c r="J561" s="172"/>
    </row>
    <row r="562" s="2" customFormat="true" ht="18" hidden="false" customHeight="false" outlineLevel="0" collapsed="false">
      <c r="E562" s="418"/>
      <c r="H562" s="172"/>
      <c r="I562" s="172"/>
      <c r="J562" s="172"/>
    </row>
    <row r="563" s="2" customFormat="true" ht="18" hidden="false" customHeight="false" outlineLevel="0" collapsed="false">
      <c r="E563" s="418"/>
      <c r="H563" s="172"/>
      <c r="I563" s="172"/>
      <c r="J563" s="172"/>
    </row>
    <row r="564" s="2" customFormat="true" ht="18" hidden="false" customHeight="false" outlineLevel="0" collapsed="false">
      <c r="E564" s="418"/>
      <c r="H564" s="172"/>
      <c r="I564" s="172"/>
      <c r="J564" s="172"/>
    </row>
    <row r="565" s="2" customFormat="true" ht="18" hidden="false" customHeight="false" outlineLevel="0" collapsed="false">
      <c r="E565" s="418"/>
      <c r="H565" s="172"/>
      <c r="I565" s="172"/>
      <c r="J565" s="172"/>
    </row>
    <row r="566" s="2" customFormat="true" ht="18" hidden="false" customHeight="false" outlineLevel="0" collapsed="false">
      <c r="E566" s="418"/>
      <c r="H566" s="172"/>
      <c r="I566" s="172"/>
      <c r="J566" s="172"/>
    </row>
    <row r="567" s="2" customFormat="true" ht="18" hidden="false" customHeight="false" outlineLevel="0" collapsed="false">
      <c r="E567" s="418"/>
      <c r="H567" s="172"/>
      <c r="I567" s="172"/>
      <c r="J567" s="172"/>
    </row>
    <row r="568" s="2" customFormat="true" ht="18" hidden="false" customHeight="false" outlineLevel="0" collapsed="false">
      <c r="E568" s="418"/>
      <c r="H568" s="172"/>
      <c r="I568" s="172"/>
      <c r="J568" s="172"/>
    </row>
    <row r="569" s="2" customFormat="true" ht="18" hidden="false" customHeight="false" outlineLevel="0" collapsed="false">
      <c r="E569" s="418"/>
      <c r="H569" s="172"/>
      <c r="I569" s="172"/>
      <c r="J569" s="172"/>
    </row>
    <row r="570" s="2" customFormat="true" ht="18" hidden="false" customHeight="false" outlineLevel="0" collapsed="false">
      <c r="E570" s="418"/>
      <c r="H570" s="172"/>
      <c r="I570" s="172"/>
      <c r="J570" s="172"/>
    </row>
    <row r="571" s="2" customFormat="true" ht="18" hidden="false" customHeight="false" outlineLevel="0" collapsed="false">
      <c r="E571" s="418"/>
      <c r="H571" s="172"/>
      <c r="I571" s="172"/>
      <c r="J571" s="172"/>
    </row>
    <row r="572" s="2" customFormat="true" ht="18" hidden="false" customHeight="false" outlineLevel="0" collapsed="false">
      <c r="E572" s="418"/>
      <c r="H572" s="172"/>
      <c r="I572" s="172"/>
      <c r="J572" s="172"/>
    </row>
    <row r="573" s="2" customFormat="true" ht="18" hidden="false" customHeight="false" outlineLevel="0" collapsed="false">
      <c r="E573" s="418"/>
      <c r="H573" s="172"/>
      <c r="I573" s="172"/>
      <c r="J573" s="172"/>
    </row>
    <row r="574" s="2" customFormat="true" ht="18" hidden="false" customHeight="false" outlineLevel="0" collapsed="false">
      <c r="E574" s="418"/>
      <c r="H574" s="172"/>
      <c r="I574" s="172"/>
      <c r="J574" s="172"/>
    </row>
    <row r="575" s="2" customFormat="true" ht="18" hidden="false" customHeight="false" outlineLevel="0" collapsed="false">
      <c r="E575" s="418"/>
      <c r="H575" s="172"/>
      <c r="I575" s="172"/>
      <c r="J575" s="172"/>
    </row>
    <row r="576" s="2" customFormat="true" ht="18" hidden="false" customHeight="false" outlineLevel="0" collapsed="false">
      <c r="E576" s="418"/>
      <c r="H576" s="172"/>
      <c r="I576" s="172"/>
      <c r="J576" s="172"/>
    </row>
    <row r="577" s="2" customFormat="true" ht="18" hidden="false" customHeight="false" outlineLevel="0" collapsed="false">
      <c r="E577" s="418"/>
      <c r="H577" s="172"/>
      <c r="I577" s="172"/>
      <c r="J577" s="172"/>
    </row>
    <row r="578" s="2" customFormat="true" ht="18" hidden="false" customHeight="false" outlineLevel="0" collapsed="false">
      <c r="E578" s="418"/>
      <c r="H578" s="172"/>
      <c r="I578" s="172"/>
      <c r="J578" s="172"/>
    </row>
    <row r="579" s="2" customFormat="true" ht="18" hidden="false" customHeight="false" outlineLevel="0" collapsed="false">
      <c r="E579" s="418"/>
      <c r="H579" s="172"/>
      <c r="I579" s="172"/>
      <c r="J579" s="172"/>
    </row>
    <row r="580" s="2" customFormat="true" ht="18" hidden="false" customHeight="false" outlineLevel="0" collapsed="false">
      <c r="E580" s="418"/>
      <c r="H580" s="172"/>
      <c r="I580" s="172"/>
      <c r="J580" s="172"/>
    </row>
    <row r="581" s="2" customFormat="true" ht="18" hidden="false" customHeight="false" outlineLevel="0" collapsed="false">
      <c r="E581" s="418"/>
      <c r="H581" s="172"/>
      <c r="I581" s="172"/>
      <c r="J581" s="172"/>
    </row>
    <row r="582" s="2" customFormat="true" ht="18" hidden="false" customHeight="false" outlineLevel="0" collapsed="false">
      <c r="E582" s="418"/>
      <c r="H582" s="172"/>
      <c r="I582" s="172"/>
      <c r="J582" s="172"/>
    </row>
    <row r="583" s="2" customFormat="true" ht="18" hidden="false" customHeight="false" outlineLevel="0" collapsed="false">
      <c r="E583" s="418"/>
      <c r="H583" s="172"/>
      <c r="I583" s="172"/>
      <c r="J583" s="172"/>
    </row>
    <row r="584" s="2" customFormat="true" ht="18" hidden="false" customHeight="false" outlineLevel="0" collapsed="false">
      <c r="E584" s="418"/>
      <c r="H584" s="172"/>
      <c r="I584" s="172"/>
      <c r="J584" s="172"/>
    </row>
    <row r="585" s="2" customFormat="true" ht="18" hidden="false" customHeight="false" outlineLevel="0" collapsed="false">
      <c r="E585" s="418"/>
      <c r="H585" s="172"/>
      <c r="I585" s="172"/>
      <c r="J585" s="172"/>
    </row>
    <row r="586" s="2" customFormat="true" ht="18" hidden="false" customHeight="false" outlineLevel="0" collapsed="false">
      <c r="E586" s="418"/>
      <c r="H586" s="172"/>
      <c r="I586" s="172"/>
      <c r="J586" s="172"/>
    </row>
    <row r="587" s="2" customFormat="true" ht="18" hidden="false" customHeight="false" outlineLevel="0" collapsed="false">
      <c r="E587" s="418"/>
      <c r="H587" s="172"/>
      <c r="I587" s="172"/>
      <c r="J587" s="172"/>
    </row>
    <row r="588" s="2" customFormat="true" ht="18" hidden="false" customHeight="false" outlineLevel="0" collapsed="false">
      <c r="E588" s="418"/>
      <c r="H588" s="172"/>
      <c r="I588" s="172"/>
      <c r="J588" s="172"/>
    </row>
    <row r="589" s="2" customFormat="true" ht="18" hidden="false" customHeight="false" outlineLevel="0" collapsed="false">
      <c r="E589" s="418"/>
      <c r="H589" s="172"/>
      <c r="I589" s="172"/>
      <c r="J589" s="172"/>
    </row>
    <row r="590" s="2" customFormat="true" ht="18" hidden="false" customHeight="false" outlineLevel="0" collapsed="false">
      <c r="E590" s="418"/>
      <c r="H590" s="172"/>
      <c r="I590" s="172"/>
      <c r="J590" s="172"/>
    </row>
    <row r="591" s="2" customFormat="true" ht="18" hidden="false" customHeight="false" outlineLevel="0" collapsed="false">
      <c r="E591" s="418"/>
      <c r="H591" s="172"/>
      <c r="I591" s="172"/>
      <c r="J591" s="172"/>
    </row>
    <row r="592" s="2" customFormat="true" ht="18" hidden="false" customHeight="false" outlineLevel="0" collapsed="false">
      <c r="E592" s="418"/>
      <c r="H592" s="172"/>
      <c r="I592" s="172"/>
      <c r="J592" s="172"/>
    </row>
    <row r="593" s="2" customFormat="true" ht="18" hidden="false" customHeight="false" outlineLevel="0" collapsed="false">
      <c r="E593" s="418"/>
      <c r="H593" s="172"/>
      <c r="I593" s="172"/>
      <c r="J593" s="172"/>
    </row>
    <row r="594" s="2" customFormat="true" ht="18" hidden="false" customHeight="false" outlineLevel="0" collapsed="false">
      <c r="E594" s="418"/>
      <c r="H594" s="172"/>
      <c r="I594" s="172"/>
      <c r="J594" s="172"/>
    </row>
    <row r="595" s="2" customFormat="true" ht="18" hidden="false" customHeight="false" outlineLevel="0" collapsed="false">
      <c r="E595" s="418"/>
      <c r="H595" s="172"/>
      <c r="I595" s="172"/>
      <c r="J595" s="172"/>
    </row>
    <row r="596" s="2" customFormat="true" ht="18" hidden="false" customHeight="false" outlineLevel="0" collapsed="false">
      <c r="E596" s="418"/>
      <c r="H596" s="172"/>
      <c r="I596" s="172"/>
      <c r="J596" s="172"/>
    </row>
    <row r="597" s="2" customFormat="true" ht="18" hidden="false" customHeight="false" outlineLevel="0" collapsed="false">
      <c r="E597" s="418"/>
      <c r="H597" s="172"/>
      <c r="I597" s="172"/>
      <c r="J597" s="172"/>
    </row>
    <row r="598" s="2" customFormat="true" ht="18" hidden="false" customHeight="false" outlineLevel="0" collapsed="false">
      <c r="E598" s="418"/>
      <c r="H598" s="172"/>
      <c r="I598" s="172"/>
      <c r="J598" s="172"/>
    </row>
    <row r="599" s="2" customFormat="true" ht="18" hidden="false" customHeight="false" outlineLevel="0" collapsed="false">
      <c r="E599" s="418"/>
      <c r="H599" s="172"/>
      <c r="I599" s="172"/>
      <c r="J599" s="172"/>
    </row>
    <row r="600" s="2" customFormat="true" ht="18" hidden="false" customHeight="false" outlineLevel="0" collapsed="false">
      <c r="E600" s="418"/>
      <c r="H600" s="172"/>
      <c r="I600" s="172"/>
      <c r="J600" s="172"/>
    </row>
    <row r="601" s="2" customFormat="true" ht="18" hidden="false" customHeight="false" outlineLevel="0" collapsed="false">
      <c r="E601" s="418"/>
      <c r="H601" s="172"/>
      <c r="I601" s="172"/>
      <c r="J601" s="172"/>
    </row>
    <row r="602" s="2" customFormat="true" ht="18" hidden="false" customHeight="false" outlineLevel="0" collapsed="false">
      <c r="E602" s="418"/>
      <c r="H602" s="172"/>
      <c r="I602" s="172"/>
      <c r="J602" s="172"/>
    </row>
    <row r="603" s="2" customFormat="true" ht="18" hidden="false" customHeight="false" outlineLevel="0" collapsed="false">
      <c r="E603" s="418"/>
      <c r="H603" s="172"/>
      <c r="I603" s="172"/>
      <c r="J603" s="172"/>
    </row>
    <row r="604" s="2" customFormat="true" ht="18" hidden="false" customHeight="false" outlineLevel="0" collapsed="false">
      <c r="E604" s="418"/>
      <c r="H604" s="172"/>
      <c r="I604" s="172"/>
      <c r="J604" s="172"/>
    </row>
    <row r="605" s="2" customFormat="true" ht="18" hidden="false" customHeight="false" outlineLevel="0" collapsed="false">
      <c r="E605" s="418"/>
      <c r="H605" s="172"/>
      <c r="I605" s="172"/>
      <c r="J605" s="172"/>
    </row>
    <row r="606" s="2" customFormat="true" ht="18" hidden="false" customHeight="false" outlineLevel="0" collapsed="false">
      <c r="E606" s="418"/>
      <c r="H606" s="172"/>
      <c r="I606" s="172"/>
      <c r="J606" s="172"/>
    </row>
    <row r="607" s="2" customFormat="true" ht="18" hidden="false" customHeight="false" outlineLevel="0" collapsed="false">
      <c r="E607" s="418"/>
      <c r="H607" s="172"/>
      <c r="I607" s="172"/>
      <c r="J607" s="172"/>
    </row>
    <row r="608" s="2" customFormat="true" ht="18" hidden="false" customHeight="false" outlineLevel="0" collapsed="false">
      <c r="E608" s="418"/>
      <c r="H608" s="172"/>
      <c r="I608" s="172"/>
      <c r="J608" s="172"/>
    </row>
    <row r="609" s="2" customFormat="true" ht="18" hidden="false" customHeight="false" outlineLevel="0" collapsed="false">
      <c r="E609" s="418"/>
      <c r="H609" s="172"/>
      <c r="I609" s="172"/>
      <c r="J609" s="172"/>
    </row>
    <row r="610" s="2" customFormat="true" ht="18" hidden="false" customHeight="false" outlineLevel="0" collapsed="false">
      <c r="E610" s="418"/>
      <c r="H610" s="172"/>
      <c r="I610" s="172"/>
      <c r="J610" s="172"/>
    </row>
    <row r="611" s="2" customFormat="true" ht="18" hidden="false" customHeight="false" outlineLevel="0" collapsed="false">
      <c r="E611" s="418"/>
      <c r="H611" s="172"/>
      <c r="I611" s="172"/>
      <c r="J611" s="172"/>
    </row>
    <row r="612" s="2" customFormat="true" ht="18" hidden="false" customHeight="false" outlineLevel="0" collapsed="false">
      <c r="E612" s="418"/>
      <c r="H612" s="172"/>
      <c r="I612" s="172"/>
      <c r="J612" s="172"/>
    </row>
    <row r="613" s="2" customFormat="true" ht="18" hidden="false" customHeight="false" outlineLevel="0" collapsed="false">
      <c r="E613" s="418"/>
      <c r="H613" s="172"/>
      <c r="I613" s="172"/>
      <c r="J613" s="172"/>
    </row>
    <row r="614" s="2" customFormat="true" ht="18" hidden="false" customHeight="false" outlineLevel="0" collapsed="false">
      <c r="E614" s="418"/>
      <c r="H614" s="172"/>
      <c r="I614" s="172"/>
      <c r="J614" s="172"/>
    </row>
    <row r="615" s="2" customFormat="true" ht="18" hidden="false" customHeight="false" outlineLevel="0" collapsed="false">
      <c r="E615" s="418"/>
      <c r="H615" s="172"/>
      <c r="I615" s="172"/>
      <c r="J615" s="172"/>
    </row>
    <row r="616" s="2" customFormat="true" ht="18" hidden="false" customHeight="false" outlineLevel="0" collapsed="false">
      <c r="E616" s="418"/>
      <c r="H616" s="172"/>
      <c r="I616" s="172"/>
      <c r="J616" s="172"/>
    </row>
    <row r="617" s="2" customFormat="true" ht="18" hidden="false" customHeight="false" outlineLevel="0" collapsed="false">
      <c r="E617" s="418"/>
      <c r="H617" s="172"/>
      <c r="I617" s="172"/>
      <c r="J617" s="172"/>
    </row>
    <row r="618" s="2" customFormat="true" ht="18" hidden="false" customHeight="false" outlineLevel="0" collapsed="false">
      <c r="E618" s="418"/>
      <c r="H618" s="172"/>
      <c r="I618" s="172"/>
      <c r="J618" s="172"/>
    </row>
    <row r="619" s="2" customFormat="true" ht="18" hidden="false" customHeight="false" outlineLevel="0" collapsed="false">
      <c r="E619" s="418"/>
      <c r="H619" s="172"/>
      <c r="I619" s="172"/>
      <c r="J619" s="172"/>
    </row>
    <row r="620" s="2" customFormat="true" ht="18" hidden="false" customHeight="false" outlineLevel="0" collapsed="false">
      <c r="E620" s="418"/>
      <c r="H620" s="172"/>
      <c r="I620" s="172"/>
      <c r="J620" s="172"/>
    </row>
    <row r="621" s="2" customFormat="true" ht="18" hidden="false" customHeight="false" outlineLevel="0" collapsed="false">
      <c r="E621" s="418"/>
      <c r="H621" s="172"/>
      <c r="I621" s="172"/>
      <c r="J621" s="172"/>
    </row>
    <row r="622" s="2" customFormat="true" ht="18" hidden="false" customHeight="false" outlineLevel="0" collapsed="false">
      <c r="E622" s="418"/>
      <c r="H622" s="172"/>
      <c r="I622" s="172"/>
      <c r="J622" s="172"/>
    </row>
    <row r="623" s="2" customFormat="true" ht="18" hidden="false" customHeight="false" outlineLevel="0" collapsed="false">
      <c r="E623" s="418"/>
      <c r="H623" s="172"/>
      <c r="I623" s="172"/>
      <c r="J623" s="172"/>
    </row>
    <row r="624" s="2" customFormat="true" ht="18" hidden="false" customHeight="false" outlineLevel="0" collapsed="false">
      <c r="E624" s="418"/>
      <c r="H624" s="172"/>
      <c r="I624" s="172"/>
      <c r="J624" s="172"/>
    </row>
    <row r="625" s="2" customFormat="true" ht="18" hidden="false" customHeight="false" outlineLevel="0" collapsed="false">
      <c r="E625" s="418"/>
      <c r="H625" s="172"/>
      <c r="I625" s="172"/>
      <c r="J625" s="172"/>
    </row>
    <row r="626" s="2" customFormat="true" ht="18" hidden="false" customHeight="false" outlineLevel="0" collapsed="false">
      <c r="E626" s="418"/>
      <c r="H626" s="172"/>
      <c r="I626" s="172"/>
      <c r="J626" s="172"/>
    </row>
    <row r="627" s="2" customFormat="true" ht="18" hidden="false" customHeight="false" outlineLevel="0" collapsed="false">
      <c r="E627" s="418"/>
      <c r="H627" s="172"/>
      <c r="I627" s="172"/>
      <c r="J627" s="172"/>
    </row>
    <row r="628" s="2" customFormat="true" ht="18" hidden="false" customHeight="false" outlineLevel="0" collapsed="false">
      <c r="E628" s="418"/>
      <c r="H628" s="172"/>
      <c r="I628" s="172"/>
      <c r="J628" s="172"/>
    </row>
    <row r="629" s="2" customFormat="true" ht="18" hidden="false" customHeight="false" outlineLevel="0" collapsed="false">
      <c r="E629" s="418"/>
      <c r="H629" s="172"/>
      <c r="I629" s="172"/>
      <c r="J629" s="172"/>
    </row>
    <row r="630" s="2" customFormat="true" ht="18" hidden="false" customHeight="false" outlineLevel="0" collapsed="false">
      <c r="E630" s="418"/>
      <c r="H630" s="172"/>
      <c r="I630" s="172"/>
      <c r="J630" s="172"/>
    </row>
    <row r="631" s="2" customFormat="true" ht="18" hidden="false" customHeight="false" outlineLevel="0" collapsed="false">
      <c r="E631" s="418"/>
      <c r="H631" s="172"/>
      <c r="I631" s="172"/>
      <c r="J631" s="172"/>
    </row>
    <row r="632" s="2" customFormat="true" ht="18" hidden="false" customHeight="false" outlineLevel="0" collapsed="false">
      <c r="E632" s="418"/>
      <c r="H632" s="172"/>
      <c r="I632" s="172"/>
      <c r="J632" s="172"/>
    </row>
    <row r="633" s="2" customFormat="true" ht="18" hidden="false" customHeight="false" outlineLevel="0" collapsed="false">
      <c r="E633" s="418"/>
      <c r="H633" s="172"/>
      <c r="I633" s="172"/>
      <c r="J633" s="172"/>
    </row>
    <row r="634" s="2" customFormat="true" ht="18" hidden="false" customHeight="false" outlineLevel="0" collapsed="false">
      <c r="E634" s="418"/>
      <c r="H634" s="172"/>
      <c r="I634" s="172"/>
      <c r="J634" s="172"/>
    </row>
    <row r="635" s="2" customFormat="true" ht="18" hidden="false" customHeight="false" outlineLevel="0" collapsed="false">
      <c r="E635" s="418"/>
      <c r="H635" s="172"/>
      <c r="I635" s="172"/>
      <c r="J635" s="172"/>
    </row>
    <row r="636" s="2" customFormat="true" ht="18" hidden="false" customHeight="false" outlineLevel="0" collapsed="false">
      <c r="E636" s="418"/>
      <c r="H636" s="172"/>
      <c r="I636" s="172"/>
      <c r="J636" s="172"/>
    </row>
    <row r="637" s="2" customFormat="true" ht="18" hidden="false" customHeight="false" outlineLevel="0" collapsed="false">
      <c r="E637" s="418"/>
      <c r="H637" s="172"/>
      <c r="I637" s="172"/>
      <c r="J637" s="172"/>
    </row>
    <row r="638" s="2" customFormat="true" ht="18" hidden="false" customHeight="false" outlineLevel="0" collapsed="false">
      <c r="E638" s="418"/>
      <c r="H638" s="172"/>
      <c r="I638" s="172"/>
      <c r="J638" s="172"/>
    </row>
    <row r="639" s="2" customFormat="true" ht="18" hidden="false" customHeight="false" outlineLevel="0" collapsed="false">
      <c r="E639" s="418"/>
      <c r="H639" s="172"/>
      <c r="I639" s="172"/>
      <c r="J639" s="172"/>
    </row>
    <row r="640" s="2" customFormat="true" ht="18" hidden="false" customHeight="false" outlineLevel="0" collapsed="false">
      <c r="E640" s="418"/>
      <c r="H640" s="172"/>
      <c r="I640" s="172"/>
      <c r="J640" s="172"/>
    </row>
    <row r="641" s="2" customFormat="true" ht="18" hidden="false" customHeight="false" outlineLevel="0" collapsed="false">
      <c r="E641" s="418"/>
      <c r="H641" s="172"/>
      <c r="I641" s="172"/>
      <c r="J641" s="172"/>
    </row>
    <row r="642" s="2" customFormat="true" ht="18" hidden="false" customHeight="false" outlineLevel="0" collapsed="false">
      <c r="E642" s="418"/>
      <c r="H642" s="172"/>
      <c r="I642" s="172"/>
      <c r="J642" s="172"/>
    </row>
    <row r="643" s="2" customFormat="true" ht="18" hidden="false" customHeight="false" outlineLevel="0" collapsed="false">
      <c r="E643" s="418"/>
      <c r="H643" s="172"/>
      <c r="I643" s="172"/>
      <c r="J643" s="172"/>
    </row>
    <row r="644" s="2" customFormat="true" ht="18" hidden="false" customHeight="false" outlineLevel="0" collapsed="false">
      <c r="E644" s="418"/>
      <c r="H644" s="172"/>
      <c r="I644" s="172"/>
      <c r="J644" s="172"/>
    </row>
    <row r="645" s="2" customFormat="true" ht="18" hidden="false" customHeight="false" outlineLevel="0" collapsed="false">
      <c r="E645" s="418"/>
      <c r="H645" s="172"/>
      <c r="I645" s="172"/>
      <c r="J645" s="172"/>
    </row>
    <row r="646" s="2" customFormat="true" ht="18" hidden="false" customHeight="false" outlineLevel="0" collapsed="false">
      <c r="E646" s="418"/>
      <c r="H646" s="172"/>
      <c r="I646" s="172"/>
      <c r="J646" s="172"/>
    </row>
    <row r="647" s="2" customFormat="true" ht="18" hidden="false" customHeight="false" outlineLevel="0" collapsed="false">
      <c r="E647" s="418"/>
      <c r="H647" s="172"/>
      <c r="I647" s="172"/>
      <c r="J647" s="172"/>
    </row>
    <row r="648" s="2" customFormat="true" ht="18" hidden="false" customHeight="false" outlineLevel="0" collapsed="false">
      <c r="E648" s="418"/>
      <c r="H648" s="172"/>
      <c r="I648" s="172"/>
      <c r="J648" s="172"/>
    </row>
    <row r="649" s="2" customFormat="true" ht="18" hidden="false" customHeight="false" outlineLevel="0" collapsed="false">
      <c r="E649" s="418"/>
      <c r="H649" s="172"/>
      <c r="I649" s="172"/>
      <c r="J649" s="172"/>
    </row>
    <row r="650" s="2" customFormat="true" ht="18" hidden="false" customHeight="false" outlineLevel="0" collapsed="false">
      <c r="E650" s="418"/>
      <c r="H650" s="172"/>
      <c r="I650" s="172"/>
      <c r="J650" s="172"/>
    </row>
    <row r="651" s="2" customFormat="true" ht="18" hidden="false" customHeight="false" outlineLevel="0" collapsed="false">
      <c r="E651" s="418"/>
      <c r="H651" s="172"/>
      <c r="I651" s="172"/>
      <c r="J651" s="172"/>
    </row>
    <row r="652" s="2" customFormat="true" ht="18" hidden="false" customHeight="false" outlineLevel="0" collapsed="false">
      <c r="E652" s="418"/>
      <c r="H652" s="172"/>
      <c r="I652" s="172"/>
      <c r="J652" s="172"/>
    </row>
    <row r="653" s="2" customFormat="true" ht="18" hidden="false" customHeight="false" outlineLevel="0" collapsed="false">
      <c r="E653" s="418"/>
      <c r="H653" s="172"/>
      <c r="I653" s="172"/>
      <c r="J653" s="172"/>
    </row>
    <row r="654" s="2" customFormat="true" ht="18" hidden="false" customHeight="false" outlineLevel="0" collapsed="false">
      <c r="E654" s="418"/>
      <c r="H654" s="172"/>
      <c r="I654" s="172"/>
      <c r="J654" s="172"/>
    </row>
    <row r="655" s="2" customFormat="true" ht="18" hidden="false" customHeight="false" outlineLevel="0" collapsed="false">
      <c r="E655" s="418"/>
      <c r="H655" s="172"/>
      <c r="I655" s="172"/>
      <c r="J655" s="172"/>
    </row>
    <row r="656" s="2" customFormat="true" ht="18" hidden="false" customHeight="false" outlineLevel="0" collapsed="false">
      <c r="E656" s="418"/>
      <c r="H656" s="172"/>
      <c r="I656" s="172"/>
      <c r="J656" s="172"/>
    </row>
    <row r="657" s="2" customFormat="true" ht="18" hidden="false" customHeight="false" outlineLevel="0" collapsed="false">
      <c r="E657" s="418"/>
      <c r="H657" s="172"/>
      <c r="I657" s="172"/>
      <c r="J657" s="172"/>
    </row>
    <row r="658" s="2" customFormat="true" ht="18" hidden="false" customHeight="false" outlineLevel="0" collapsed="false">
      <c r="E658" s="418"/>
      <c r="H658" s="172"/>
      <c r="I658" s="172"/>
      <c r="J658" s="172"/>
    </row>
    <row r="659" s="2" customFormat="true" ht="18" hidden="false" customHeight="false" outlineLevel="0" collapsed="false">
      <c r="E659" s="418"/>
      <c r="H659" s="172"/>
      <c r="I659" s="172"/>
      <c r="J659" s="172"/>
    </row>
    <row r="660" s="2" customFormat="true" ht="18" hidden="false" customHeight="false" outlineLevel="0" collapsed="false">
      <c r="E660" s="418"/>
      <c r="H660" s="172"/>
      <c r="I660" s="172"/>
      <c r="J660" s="172"/>
    </row>
    <row r="661" s="2" customFormat="true" ht="18" hidden="false" customHeight="false" outlineLevel="0" collapsed="false">
      <c r="E661" s="418"/>
      <c r="H661" s="172"/>
      <c r="I661" s="172"/>
      <c r="J661" s="172"/>
    </row>
    <row r="662" s="2" customFormat="true" ht="18" hidden="false" customHeight="false" outlineLevel="0" collapsed="false">
      <c r="E662" s="418"/>
      <c r="H662" s="172"/>
      <c r="I662" s="172"/>
      <c r="J662" s="172"/>
    </row>
    <row r="663" s="2" customFormat="true" ht="18" hidden="false" customHeight="false" outlineLevel="0" collapsed="false">
      <c r="E663" s="418"/>
      <c r="H663" s="172"/>
      <c r="I663" s="172"/>
      <c r="J663" s="172"/>
    </row>
    <row r="664" s="2" customFormat="true" ht="18" hidden="false" customHeight="false" outlineLevel="0" collapsed="false">
      <c r="E664" s="418"/>
      <c r="H664" s="172"/>
      <c r="I664" s="172"/>
      <c r="J664" s="172"/>
    </row>
    <row r="665" s="2" customFormat="true" ht="18" hidden="false" customHeight="false" outlineLevel="0" collapsed="false">
      <c r="E665" s="418"/>
      <c r="H665" s="172"/>
      <c r="I665" s="172"/>
      <c r="J665" s="172"/>
    </row>
    <row r="666" s="2" customFormat="true" ht="18" hidden="false" customHeight="false" outlineLevel="0" collapsed="false">
      <c r="E666" s="418"/>
      <c r="H666" s="172"/>
      <c r="I666" s="172"/>
      <c r="J666" s="172"/>
    </row>
    <row r="667" s="2" customFormat="true" ht="18" hidden="false" customHeight="false" outlineLevel="0" collapsed="false">
      <c r="E667" s="418"/>
      <c r="H667" s="172"/>
      <c r="I667" s="172"/>
      <c r="J667" s="172"/>
    </row>
    <row r="668" s="2" customFormat="true" ht="18" hidden="false" customHeight="false" outlineLevel="0" collapsed="false">
      <c r="E668" s="418"/>
      <c r="H668" s="172"/>
      <c r="I668" s="172"/>
      <c r="J668" s="172"/>
    </row>
    <row r="669" s="2" customFormat="true" ht="18" hidden="false" customHeight="false" outlineLevel="0" collapsed="false">
      <c r="E669" s="418"/>
      <c r="H669" s="172"/>
      <c r="I669" s="172"/>
      <c r="J669" s="172"/>
    </row>
    <row r="670" s="2" customFormat="true" ht="18" hidden="false" customHeight="false" outlineLevel="0" collapsed="false">
      <c r="E670" s="418"/>
      <c r="H670" s="172"/>
      <c r="I670" s="172"/>
      <c r="J670" s="172"/>
    </row>
    <row r="671" s="2" customFormat="true" ht="18" hidden="false" customHeight="false" outlineLevel="0" collapsed="false">
      <c r="E671" s="418"/>
      <c r="H671" s="172"/>
      <c r="I671" s="172"/>
      <c r="J671" s="172"/>
    </row>
    <row r="672" s="2" customFormat="true" ht="18" hidden="false" customHeight="false" outlineLevel="0" collapsed="false">
      <c r="E672" s="418"/>
      <c r="H672" s="172"/>
      <c r="I672" s="172"/>
      <c r="J672" s="172"/>
    </row>
    <row r="673" s="2" customFormat="true" ht="18" hidden="false" customHeight="false" outlineLevel="0" collapsed="false">
      <c r="E673" s="418"/>
      <c r="H673" s="172"/>
      <c r="I673" s="172"/>
      <c r="J673" s="172"/>
    </row>
    <row r="674" s="2" customFormat="true" ht="18" hidden="false" customHeight="false" outlineLevel="0" collapsed="false">
      <c r="E674" s="418"/>
      <c r="H674" s="172"/>
      <c r="I674" s="172"/>
      <c r="J674" s="172"/>
    </row>
    <row r="675" s="2" customFormat="true" ht="18" hidden="false" customHeight="false" outlineLevel="0" collapsed="false">
      <c r="E675" s="418"/>
      <c r="H675" s="172"/>
      <c r="I675" s="172"/>
      <c r="J675" s="172"/>
    </row>
    <row r="676" s="2" customFormat="true" ht="18" hidden="false" customHeight="false" outlineLevel="0" collapsed="false">
      <c r="E676" s="418"/>
      <c r="H676" s="172"/>
      <c r="I676" s="172"/>
      <c r="J676" s="172"/>
    </row>
    <row r="677" s="2" customFormat="true" ht="18" hidden="false" customHeight="false" outlineLevel="0" collapsed="false">
      <c r="E677" s="418"/>
      <c r="H677" s="172"/>
      <c r="I677" s="172"/>
      <c r="J677" s="172"/>
    </row>
    <row r="678" s="2" customFormat="true" ht="18" hidden="false" customHeight="false" outlineLevel="0" collapsed="false">
      <c r="E678" s="418"/>
      <c r="H678" s="172"/>
      <c r="I678" s="172"/>
      <c r="J678" s="172"/>
    </row>
    <row r="679" s="2" customFormat="true" ht="18" hidden="false" customHeight="false" outlineLevel="0" collapsed="false">
      <c r="E679" s="418"/>
      <c r="H679" s="172"/>
      <c r="I679" s="172"/>
      <c r="J679" s="172"/>
    </row>
    <row r="680" s="2" customFormat="true" ht="18" hidden="false" customHeight="false" outlineLevel="0" collapsed="false">
      <c r="E680" s="418"/>
      <c r="H680" s="172"/>
      <c r="I680" s="172"/>
      <c r="J680" s="172"/>
    </row>
    <row r="681" s="2" customFormat="true" ht="18" hidden="false" customHeight="false" outlineLevel="0" collapsed="false">
      <c r="E681" s="418"/>
      <c r="H681" s="172"/>
      <c r="I681" s="172"/>
      <c r="J681" s="172"/>
    </row>
    <row r="682" s="2" customFormat="true" ht="18" hidden="false" customHeight="false" outlineLevel="0" collapsed="false">
      <c r="E682" s="418"/>
      <c r="H682" s="172"/>
      <c r="I682" s="172"/>
      <c r="J682" s="172"/>
    </row>
    <row r="683" s="2" customFormat="true" ht="18" hidden="false" customHeight="false" outlineLevel="0" collapsed="false">
      <c r="E683" s="418"/>
      <c r="H683" s="172"/>
      <c r="I683" s="172"/>
      <c r="J683" s="172"/>
    </row>
    <row r="684" s="2" customFormat="true" ht="18" hidden="false" customHeight="false" outlineLevel="0" collapsed="false">
      <c r="E684" s="418"/>
      <c r="H684" s="172"/>
      <c r="I684" s="172"/>
      <c r="J684" s="172"/>
    </row>
    <row r="685" s="2" customFormat="true" ht="18" hidden="false" customHeight="false" outlineLevel="0" collapsed="false">
      <c r="E685" s="418"/>
      <c r="H685" s="172"/>
      <c r="I685" s="172"/>
      <c r="J685" s="172"/>
    </row>
    <row r="686" s="2" customFormat="true" ht="18" hidden="false" customHeight="false" outlineLevel="0" collapsed="false">
      <c r="E686" s="418"/>
      <c r="H686" s="172"/>
      <c r="I686" s="172"/>
      <c r="J686" s="172"/>
    </row>
    <row r="687" s="2" customFormat="true" ht="18" hidden="false" customHeight="false" outlineLevel="0" collapsed="false">
      <c r="E687" s="418"/>
      <c r="H687" s="172"/>
      <c r="I687" s="172"/>
      <c r="J687" s="172"/>
    </row>
    <row r="688" s="2" customFormat="true" ht="18" hidden="false" customHeight="false" outlineLevel="0" collapsed="false">
      <c r="E688" s="418"/>
      <c r="H688" s="172"/>
      <c r="I688" s="172"/>
      <c r="J688" s="172"/>
    </row>
    <row r="689" s="2" customFormat="true" ht="18" hidden="false" customHeight="false" outlineLevel="0" collapsed="false">
      <c r="E689" s="418"/>
      <c r="H689" s="172"/>
      <c r="I689" s="172"/>
      <c r="J689" s="172"/>
    </row>
    <row r="690" s="2" customFormat="true" ht="18" hidden="false" customHeight="false" outlineLevel="0" collapsed="false">
      <c r="E690" s="418"/>
      <c r="H690" s="172"/>
      <c r="I690" s="172"/>
      <c r="J690" s="172"/>
    </row>
    <row r="691" s="2" customFormat="true" ht="18" hidden="false" customHeight="false" outlineLevel="0" collapsed="false">
      <c r="E691" s="418"/>
      <c r="H691" s="172"/>
      <c r="I691" s="172"/>
      <c r="J691" s="172"/>
    </row>
    <row r="692" s="2" customFormat="true" ht="18" hidden="false" customHeight="false" outlineLevel="0" collapsed="false">
      <c r="E692" s="418"/>
      <c r="H692" s="172"/>
      <c r="I692" s="172"/>
      <c r="J692" s="172"/>
    </row>
    <row r="693" s="2" customFormat="true" ht="18" hidden="false" customHeight="false" outlineLevel="0" collapsed="false">
      <c r="E693" s="418"/>
      <c r="H693" s="172"/>
      <c r="I693" s="172"/>
      <c r="J693" s="172"/>
    </row>
    <row r="694" s="2" customFormat="true" ht="18" hidden="false" customHeight="false" outlineLevel="0" collapsed="false">
      <c r="E694" s="418"/>
      <c r="H694" s="172"/>
      <c r="I694" s="172"/>
      <c r="J694" s="172"/>
    </row>
    <row r="695" s="2" customFormat="true" ht="18" hidden="false" customHeight="false" outlineLevel="0" collapsed="false">
      <c r="E695" s="418"/>
      <c r="H695" s="172"/>
      <c r="I695" s="172"/>
      <c r="J695" s="172"/>
    </row>
    <row r="696" s="2" customFormat="true" ht="18" hidden="false" customHeight="false" outlineLevel="0" collapsed="false">
      <c r="E696" s="418"/>
      <c r="H696" s="172"/>
      <c r="I696" s="172"/>
      <c r="J696" s="172"/>
    </row>
    <row r="697" s="2" customFormat="true" ht="18" hidden="false" customHeight="false" outlineLevel="0" collapsed="false">
      <c r="E697" s="418"/>
      <c r="H697" s="172"/>
      <c r="I697" s="172"/>
      <c r="J697" s="172"/>
    </row>
    <row r="698" s="2" customFormat="true" ht="18" hidden="false" customHeight="false" outlineLevel="0" collapsed="false">
      <c r="E698" s="418"/>
      <c r="H698" s="172"/>
      <c r="I698" s="172"/>
      <c r="J698" s="172"/>
    </row>
    <row r="699" s="2" customFormat="true" ht="18" hidden="false" customHeight="false" outlineLevel="0" collapsed="false">
      <c r="E699" s="418"/>
      <c r="H699" s="172"/>
      <c r="I699" s="172"/>
      <c r="J699" s="172"/>
    </row>
    <row r="700" s="2" customFormat="true" ht="18" hidden="false" customHeight="false" outlineLevel="0" collapsed="false">
      <c r="E700" s="418"/>
      <c r="H700" s="172"/>
      <c r="I700" s="172"/>
      <c r="J700" s="172"/>
    </row>
    <row r="701" s="2" customFormat="true" ht="18" hidden="false" customHeight="false" outlineLevel="0" collapsed="false">
      <c r="E701" s="418"/>
      <c r="H701" s="172"/>
      <c r="I701" s="172"/>
      <c r="J701" s="172"/>
    </row>
    <row r="702" s="2" customFormat="true" ht="18" hidden="false" customHeight="false" outlineLevel="0" collapsed="false">
      <c r="E702" s="418"/>
      <c r="H702" s="172"/>
      <c r="I702" s="172"/>
      <c r="J702" s="172"/>
    </row>
    <row r="703" s="2" customFormat="true" ht="18" hidden="false" customHeight="false" outlineLevel="0" collapsed="false">
      <c r="E703" s="418"/>
      <c r="H703" s="172"/>
      <c r="I703" s="172"/>
      <c r="J703" s="172"/>
    </row>
    <row r="704" s="2" customFormat="true" ht="18" hidden="false" customHeight="false" outlineLevel="0" collapsed="false">
      <c r="E704" s="418"/>
      <c r="H704" s="172"/>
      <c r="I704" s="172"/>
      <c r="J704" s="172"/>
    </row>
    <row r="705" s="2" customFormat="true" ht="18" hidden="false" customHeight="false" outlineLevel="0" collapsed="false">
      <c r="E705" s="418"/>
      <c r="H705" s="172"/>
      <c r="I705" s="172"/>
      <c r="J705" s="172"/>
    </row>
    <row r="706" s="2" customFormat="true" ht="18" hidden="false" customHeight="false" outlineLevel="0" collapsed="false">
      <c r="E706" s="418"/>
      <c r="H706" s="172"/>
      <c r="I706" s="172"/>
      <c r="J706" s="172"/>
    </row>
    <row r="707" s="2" customFormat="true" ht="18" hidden="false" customHeight="false" outlineLevel="0" collapsed="false">
      <c r="E707" s="418"/>
      <c r="H707" s="172"/>
      <c r="I707" s="172"/>
      <c r="J707" s="172"/>
    </row>
    <row r="708" s="2" customFormat="true" ht="18" hidden="false" customHeight="false" outlineLevel="0" collapsed="false">
      <c r="E708" s="418"/>
      <c r="H708" s="172"/>
      <c r="I708" s="172"/>
      <c r="J708" s="172"/>
    </row>
    <row r="709" s="2" customFormat="true" ht="18" hidden="false" customHeight="false" outlineLevel="0" collapsed="false">
      <c r="E709" s="418"/>
      <c r="H709" s="172"/>
      <c r="I709" s="172"/>
      <c r="J709" s="172"/>
    </row>
    <row r="710" s="2" customFormat="true" ht="18" hidden="false" customHeight="false" outlineLevel="0" collapsed="false">
      <c r="E710" s="418"/>
      <c r="H710" s="172"/>
      <c r="I710" s="172"/>
      <c r="J710" s="172"/>
    </row>
    <row r="711" s="2" customFormat="true" ht="18" hidden="false" customHeight="false" outlineLevel="0" collapsed="false">
      <c r="E711" s="418"/>
      <c r="H711" s="172"/>
      <c r="I711" s="172"/>
      <c r="J711" s="172"/>
    </row>
    <row r="712" s="2" customFormat="true" ht="18" hidden="false" customHeight="false" outlineLevel="0" collapsed="false">
      <c r="E712" s="418"/>
      <c r="H712" s="172"/>
      <c r="I712" s="172"/>
      <c r="J712" s="172"/>
    </row>
    <row r="713" s="2" customFormat="true" ht="18" hidden="false" customHeight="false" outlineLevel="0" collapsed="false">
      <c r="E713" s="418"/>
      <c r="H713" s="172"/>
      <c r="I713" s="172"/>
      <c r="J713" s="172"/>
    </row>
    <row r="714" s="2" customFormat="true" ht="18" hidden="false" customHeight="false" outlineLevel="0" collapsed="false">
      <c r="E714" s="418"/>
      <c r="H714" s="172"/>
      <c r="I714" s="172"/>
      <c r="J714" s="172"/>
    </row>
    <row r="715" s="2" customFormat="true" ht="18" hidden="false" customHeight="false" outlineLevel="0" collapsed="false">
      <c r="E715" s="418"/>
      <c r="H715" s="172"/>
      <c r="I715" s="172"/>
      <c r="J715" s="172"/>
    </row>
    <row r="716" s="2" customFormat="true" ht="18" hidden="false" customHeight="false" outlineLevel="0" collapsed="false">
      <c r="E716" s="418"/>
      <c r="H716" s="172"/>
      <c r="I716" s="172"/>
      <c r="J716" s="172"/>
    </row>
    <row r="717" s="2" customFormat="true" ht="18" hidden="false" customHeight="false" outlineLevel="0" collapsed="false">
      <c r="E717" s="418"/>
      <c r="H717" s="172"/>
      <c r="I717" s="172"/>
      <c r="J717" s="172"/>
    </row>
    <row r="718" s="2" customFormat="true" ht="18" hidden="false" customHeight="false" outlineLevel="0" collapsed="false">
      <c r="E718" s="418"/>
      <c r="H718" s="172"/>
      <c r="I718" s="172"/>
      <c r="J718" s="172"/>
    </row>
    <row r="719" s="2" customFormat="true" ht="18" hidden="false" customHeight="false" outlineLevel="0" collapsed="false">
      <c r="E719" s="418"/>
      <c r="H719" s="172"/>
      <c r="I719" s="172"/>
      <c r="J719" s="172"/>
    </row>
    <row r="720" s="2" customFormat="true" ht="18" hidden="false" customHeight="false" outlineLevel="0" collapsed="false">
      <c r="E720" s="418"/>
      <c r="H720" s="172"/>
      <c r="I720" s="172"/>
      <c r="J720" s="172"/>
    </row>
    <row r="721" s="2" customFormat="true" ht="18" hidden="false" customHeight="false" outlineLevel="0" collapsed="false">
      <c r="E721" s="418"/>
      <c r="H721" s="172"/>
      <c r="I721" s="172"/>
      <c r="J721" s="172"/>
    </row>
    <row r="722" s="2" customFormat="true" ht="18" hidden="false" customHeight="false" outlineLevel="0" collapsed="false">
      <c r="E722" s="418"/>
      <c r="H722" s="172"/>
      <c r="I722" s="172"/>
      <c r="J722" s="172"/>
    </row>
    <row r="723" s="2" customFormat="true" ht="18" hidden="false" customHeight="false" outlineLevel="0" collapsed="false">
      <c r="E723" s="418"/>
      <c r="H723" s="172"/>
      <c r="I723" s="172"/>
      <c r="J723" s="172"/>
    </row>
    <row r="724" s="2" customFormat="true" ht="18" hidden="false" customHeight="false" outlineLevel="0" collapsed="false">
      <c r="E724" s="418"/>
      <c r="H724" s="172"/>
      <c r="I724" s="172"/>
      <c r="J724" s="172"/>
    </row>
    <row r="725" s="2" customFormat="true" ht="18" hidden="false" customHeight="false" outlineLevel="0" collapsed="false">
      <c r="E725" s="418"/>
      <c r="H725" s="172"/>
      <c r="I725" s="172"/>
      <c r="J725" s="172"/>
    </row>
    <row r="726" s="2" customFormat="true" ht="18" hidden="false" customHeight="false" outlineLevel="0" collapsed="false">
      <c r="E726" s="418"/>
      <c r="H726" s="172"/>
      <c r="I726" s="172"/>
      <c r="J726" s="172"/>
    </row>
    <row r="727" s="2" customFormat="true" ht="18" hidden="false" customHeight="false" outlineLevel="0" collapsed="false">
      <c r="E727" s="418"/>
      <c r="H727" s="172"/>
      <c r="I727" s="172"/>
      <c r="J727" s="172"/>
    </row>
    <row r="728" s="2" customFormat="true" ht="18" hidden="false" customHeight="false" outlineLevel="0" collapsed="false">
      <c r="E728" s="418"/>
      <c r="H728" s="172"/>
      <c r="I728" s="172"/>
      <c r="J728" s="172"/>
    </row>
    <row r="729" s="2" customFormat="true" ht="18" hidden="false" customHeight="false" outlineLevel="0" collapsed="false">
      <c r="E729" s="418"/>
      <c r="H729" s="172"/>
      <c r="I729" s="172"/>
      <c r="J729" s="172"/>
    </row>
    <row r="730" s="2" customFormat="true" ht="18" hidden="false" customHeight="false" outlineLevel="0" collapsed="false">
      <c r="E730" s="418"/>
      <c r="H730" s="172"/>
      <c r="I730" s="172"/>
      <c r="J730" s="172"/>
    </row>
    <row r="731" s="2" customFormat="true" ht="18" hidden="false" customHeight="false" outlineLevel="0" collapsed="false">
      <c r="E731" s="418"/>
      <c r="H731" s="172"/>
      <c r="I731" s="172"/>
      <c r="J731" s="172"/>
    </row>
    <row r="732" s="2" customFormat="true" ht="18" hidden="false" customHeight="false" outlineLevel="0" collapsed="false">
      <c r="E732" s="418"/>
      <c r="H732" s="172"/>
      <c r="I732" s="172"/>
      <c r="J732" s="172"/>
    </row>
    <row r="733" s="2" customFormat="true" ht="18" hidden="false" customHeight="false" outlineLevel="0" collapsed="false">
      <c r="E733" s="418"/>
      <c r="H733" s="172"/>
      <c r="I733" s="172"/>
      <c r="J733" s="172"/>
    </row>
    <row r="734" s="2" customFormat="true" ht="18" hidden="false" customHeight="false" outlineLevel="0" collapsed="false">
      <c r="E734" s="418"/>
      <c r="H734" s="172"/>
      <c r="I734" s="172"/>
      <c r="J734" s="172"/>
    </row>
    <row r="735" s="2" customFormat="true" ht="18" hidden="false" customHeight="false" outlineLevel="0" collapsed="false">
      <c r="E735" s="418"/>
      <c r="H735" s="172"/>
      <c r="I735" s="172"/>
      <c r="J735" s="172"/>
    </row>
    <row r="736" s="2" customFormat="true" ht="18" hidden="false" customHeight="false" outlineLevel="0" collapsed="false">
      <c r="E736" s="418"/>
      <c r="H736" s="172"/>
      <c r="I736" s="172"/>
      <c r="J736" s="172"/>
    </row>
    <row r="737" s="2" customFormat="true" ht="18" hidden="false" customHeight="false" outlineLevel="0" collapsed="false">
      <c r="E737" s="418"/>
      <c r="H737" s="172"/>
      <c r="I737" s="172"/>
      <c r="J737" s="172"/>
    </row>
    <row r="738" s="2" customFormat="true" ht="18" hidden="false" customHeight="false" outlineLevel="0" collapsed="false">
      <c r="E738" s="418"/>
      <c r="H738" s="172"/>
      <c r="I738" s="172"/>
      <c r="J738" s="172"/>
    </row>
    <row r="739" s="2" customFormat="true" ht="18" hidden="false" customHeight="false" outlineLevel="0" collapsed="false">
      <c r="E739" s="418"/>
      <c r="H739" s="172"/>
      <c r="I739" s="172"/>
      <c r="J739" s="172"/>
    </row>
    <row r="740" s="2" customFormat="true" ht="18" hidden="false" customHeight="false" outlineLevel="0" collapsed="false">
      <c r="E740" s="418"/>
      <c r="H740" s="172"/>
      <c r="I740" s="172"/>
      <c r="J740" s="172"/>
    </row>
    <row r="741" s="2" customFormat="true" ht="18" hidden="false" customHeight="false" outlineLevel="0" collapsed="false">
      <c r="E741" s="418"/>
      <c r="H741" s="172"/>
      <c r="I741" s="172"/>
      <c r="J741" s="172"/>
    </row>
    <row r="742" s="2" customFormat="true" ht="18" hidden="false" customHeight="false" outlineLevel="0" collapsed="false">
      <c r="E742" s="418"/>
      <c r="H742" s="172"/>
      <c r="I742" s="172"/>
      <c r="J742" s="172"/>
    </row>
    <row r="743" s="2" customFormat="true" ht="18" hidden="false" customHeight="false" outlineLevel="0" collapsed="false">
      <c r="E743" s="418"/>
      <c r="H743" s="172"/>
      <c r="I743" s="172"/>
      <c r="J743" s="172"/>
    </row>
    <row r="744" s="2" customFormat="true" ht="18" hidden="false" customHeight="false" outlineLevel="0" collapsed="false">
      <c r="E744" s="418"/>
      <c r="H744" s="172"/>
      <c r="I744" s="172"/>
      <c r="J744" s="172"/>
    </row>
    <row r="745" s="2" customFormat="true" ht="18" hidden="false" customHeight="false" outlineLevel="0" collapsed="false">
      <c r="E745" s="418"/>
      <c r="H745" s="172"/>
      <c r="I745" s="172"/>
      <c r="J745" s="172"/>
    </row>
    <row r="746" s="2" customFormat="true" ht="18" hidden="false" customHeight="false" outlineLevel="0" collapsed="false">
      <c r="E746" s="418"/>
      <c r="H746" s="172"/>
      <c r="I746" s="172"/>
      <c r="J746" s="172"/>
    </row>
    <row r="747" s="2" customFormat="true" ht="18" hidden="false" customHeight="false" outlineLevel="0" collapsed="false">
      <c r="E747" s="418"/>
      <c r="H747" s="172"/>
      <c r="I747" s="172"/>
      <c r="J747" s="172"/>
    </row>
    <row r="748" s="2" customFormat="true" ht="18" hidden="false" customHeight="false" outlineLevel="0" collapsed="false">
      <c r="E748" s="418"/>
      <c r="H748" s="172"/>
      <c r="I748" s="172"/>
      <c r="J748" s="172"/>
    </row>
    <row r="749" s="2" customFormat="true" ht="18" hidden="false" customHeight="false" outlineLevel="0" collapsed="false">
      <c r="E749" s="418"/>
      <c r="H749" s="172"/>
      <c r="I749" s="172"/>
      <c r="J749" s="172"/>
    </row>
    <row r="750" s="2" customFormat="true" ht="18" hidden="false" customHeight="false" outlineLevel="0" collapsed="false">
      <c r="E750" s="418"/>
      <c r="H750" s="172"/>
      <c r="I750" s="172"/>
      <c r="J750" s="172"/>
    </row>
    <row r="751" s="2" customFormat="true" ht="18" hidden="false" customHeight="false" outlineLevel="0" collapsed="false">
      <c r="E751" s="418"/>
      <c r="H751" s="172"/>
      <c r="I751" s="172"/>
      <c r="J751" s="172"/>
    </row>
    <row r="752" s="2" customFormat="true" ht="18" hidden="false" customHeight="false" outlineLevel="0" collapsed="false">
      <c r="E752" s="418"/>
      <c r="H752" s="172"/>
      <c r="I752" s="172"/>
      <c r="J752" s="172"/>
    </row>
    <row r="753" s="2" customFormat="true" ht="18" hidden="false" customHeight="false" outlineLevel="0" collapsed="false">
      <c r="E753" s="418"/>
      <c r="H753" s="172"/>
      <c r="I753" s="172"/>
      <c r="J753" s="172"/>
    </row>
    <row r="754" s="2" customFormat="true" ht="18" hidden="false" customHeight="false" outlineLevel="0" collapsed="false">
      <c r="E754" s="418"/>
      <c r="H754" s="172"/>
      <c r="I754" s="172"/>
      <c r="J754" s="172"/>
    </row>
    <row r="755" s="2" customFormat="true" ht="18" hidden="false" customHeight="false" outlineLevel="0" collapsed="false">
      <c r="E755" s="418"/>
      <c r="H755" s="172"/>
      <c r="I755" s="172"/>
      <c r="J755" s="172"/>
    </row>
    <row r="756" s="2" customFormat="true" ht="18" hidden="false" customHeight="false" outlineLevel="0" collapsed="false">
      <c r="E756" s="418"/>
      <c r="H756" s="172"/>
      <c r="I756" s="172"/>
      <c r="J756" s="172"/>
    </row>
    <row r="757" s="2" customFormat="true" ht="18" hidden="false" customHeight="false" outlineLevel="0" collapsed="false">
      <c r="E757" s="418"/>
      <c r="H757" s="172"/>
      <c r="I757" s="172"/>
      <c r="J757" s="172"/>
    </row>
    <row r="758" s="2" customFormat="true" ht="18" hidden="false" customHeight="false" outlineLevel="0" collapsed="false">
      <c r="E758" s="418"/>
      <c r="H758" s="172"/>
      <c r="I758" s="172"/>
      <c r="J758" s="172"/>
    </row>
    <row r="759" s="2" customFormat="true" ht="18" hidden="false" customHeight="false" outlineLevel="0" collapsed="false">
      <c r="E759" s="418"/>
      <c r="H759" s="172"/>
      <c r="I759" s="172"/>
      <c r="J759" s="172"/>
    </row>
    <row r="760" s="2" customFormat="true" ht="18" hidden="false" customHeight="false" outlineLevel="0" collapsed="false">
      <c r="E760" s="418"/>
      <c r="H760" s="172"/>
      <c r="I760" s="172"/>
      <c r="J760" s="172"/>
    </row>
    <row r="761" s="2" customFormat="true" ht="18" hidden="false" customHeight="false" outlineLevel="0" collapsed="false">
      <c r="E761" s="418"/>
      <c r="H761" s="172"/>
      <c r="I761" s="172"/>
      <c r="J761" s="172"/>
    </row>
    <row r="762" s="2" customFormat="true" ht="18" hidden="false" customHeight="false" outlineLevel="0" collapsed="false">
      <c r="E762" s="418"/>
      <c r="H762" s="172"/>
      <c r="I762" s="172"/>
      <c r="J762" s="172"/>
    </row>
    <row r="763" s="2" customFormat="true" ht="18" hidden="false" customHeight="false" outlineLevel="0" collapsed="false">
      <c r="E763" s="418"/>
      <c r="H763" s="172"/>
      <c r="I763" s="172"/>
      <c r="J763" s="172"/>
    </row>
    <row r="764" s="2" customFormat="true" ht="18" hidden="false" customHeight="false" outlineLevel="0" collapsed="false">
      <c r="E764" s="418"/>
      <c r="H764" s="172"/>
      <c r="I764" s="172"/>
      <c r="J764" s="172"/>
    </row>
    <row r="765" s="2" customFormat="true" ht="18" hidden="false" customHeight="false" outlineLevel="0" collapsed="false">
      <c r="E765" s="418"/>
      <c r="H765" s="172"/>
      <c r="I765" s="172"/>
      <c r="J765" s="172"/>
    </row>
    <row r="766" s="2" customFormat="true" ht="18" hidden="false" customHeight="false" outlineLevel="0" collapsed="false">
      <c r="E766" s="418"/>
      <c r="H766" s="172"/>
      <c r="I766" s="172"/>
      <c r="J766" s="172"/>
    </row>
    <row r="767" s="2" customFormat="true" ht="18" hidden="false" customHeight="false" outlineLevel="0" collapsed="false">
      <c r="E767" s="418"/>
      <c r="H767" s="172"/>
      <c r="I767" s="172"/>
      <c r="J767" s="172"/>
    </row>
    <row r="768" s="2" customFormat="true" ht="18" hidden="false" customHeight="false" outlineLevel="0" collapsed="false">
      <c r="E768" s="418"/>
      <c r="H768" s="172"/>
      <c r="I768" s="172"/>
      <c r="J768" s="172"/>
    </row>
    <row r="769" s="2" customFormat="true" ht="18" hidden="false" customHeight="false" outlineLevel="0" collapsed="false">
      <c r="E769" s="418"/>
      <c r="H769" s="172"/>
      <c r="I769" s="172"/>
      <c r="J769" s="172"/>
    </row>
    <row r="770" s="2" customFormat="true" ht="18" hidden="false" customHeight="false" outlineLevel="0" collapsed="false">
      <c r="E770" s="418"/>
      <c r="H770" s="172"/>
      <c r="I770" s="172"/>
      <c r="J770" s="172"/>
    </row>
    <row r="771" s="2" customFormat="true" ht="18" hidden="false" customHeight="false" outlineLevel="0" collapsed="false">
      <c r="E771" s="418"/>
      <c r="H771" s="172"/>
      <c r="I771" s="172"/>
      <c r="J771" s="172"/>
    </row>
    <row r="772" s="2" customFormat="true" ht="18" hidden="false" customHeight="false" outlineLevel="0" collapsed="false">
      <c r="E772" s="418"/>
      <c r="H772" s="172"/>
      <c r="I772" s="172"/>
      <c r="J772" s="172"/>
    </row>
    <row r="773" s="2" customFormat="true" ht="18" hidden="false" customHeight="false" outlineLevel="0" collapsed="false">
      <c r="E773" s="418"/>
      <c r="H773" s="172"/>
      <c r="I773" s="172"/>
      <c r="J773" s="172"/>
    </row>
    <row r="774" s="2" customFormat="true" ht="18" hidden="false" customHeight="false" outlineLevel="0" collapsed="false">
      <c r="E774" s="418"/>
      <c r="H774" s="172"/>
      <c r="I774" s="172"/>
      <c r="J774" s="172"/>
    </row>
    <row r="775" s="2" customFormat="true" ht="18" hidden="false" customHeight="false" outlineLevel="0" collapsed="false">
      <c r="E775" s="418"/>
      <c r="H775" s="172"/>
      <c r="I775" s="172"/>
      <c r="J775" s="172"/>
    </row>
    <row r="776" s="2" customFormat="true" ht="18" hidden="false" customHeight="false" outlineLevel="0" collapsed="false">
      <c r="E776" s="418"/>
      <c r="H776" s="172"/>
      <c r="I776" s="172"/>
      <c r="J776" s="172"/>
    </row>
    <row r="777" s="2" customFormat="true" ht="18" hidden="false" customHeight="false" outlineLevel="0" collapsed="false">
      <c r="E777" s="418"/>
      <c r="H777" s="172"/>
      <c r="I777" s="172"/>
      <c r="J777" s="172"/>
    </row>
    <row r="778" s="2" customFormat="true" ht="18" hidden="false" customHeight="false" outlineLevel="0" collapsed="false">
      <c r="E778" s="418"/>
      <c r="H778" s="172"/>
      <c r="I778" s="172"/>
      <c r="J778" s="172"/>
    </row>
    <row r="779" s="2" customFormat="true" ht="18" hidden="false" customHeight="false" outlineLevel="0" collapsed="false">
      <c r="E779" s="418"/>
      <c r="H779" s="172"/>
      <c r="I779" s="172"/>
      <c r="J779" s="172"/>
    </row>
    <row r="780" s="2" customFormat="true" ht="18" hidden="false" customHeight="false" outlineLevel="0" collapsed="false">
      <c r="E780" s="418"/>
      <c r="H780" s="172"/>
      <c r="I780" s="172"/>
      <c r="J780" s="172"/>
    </row>
    <row r="781" s="2" customFormat="true" ht="18" hidden="false" customHeight="false" outlineLevel="0" collapsed="false">
      <c r="E781" s="418"/>
      <c r="H781" s="172"/>
      <c r="I781" s="172"/>
      <c r="J781" s="172"/>
    </row>
    <row r="782" s="2" customFormat="true" ht="18" hidden="false" customHeight="false" outlineLevel="0" collapsed="false">
      <c r="E782" s="418"/>
      <c r="H782" s="172"/>
      <c r="I782" s="172"/>
      <c r="J782" s="172"/>
    </row>
    <row r="783" s="2" customFormat="true" ht="18" hidden="false" customHeight="false" outlineLevel="0" collapsed="false">
      <c r="E783" s="418"/>
      <c r="H783" s="172"/>
      <c r="I783" s="172"/>
      <c r="J783" s="172"/>
    </row>
    <row r="784" s="2" customFormat="true" ht="18" hidden="false" customHeight="false" outlineLevel="0" collapsed="false">
      <c r="E784" s="418"/>
      <c r="H784" s="172"/>
      <c r="I784" s="172"/>
      <c r="J784" s="172"/>
    </row>
    <row r="785" s="2" customFormat="true" ht="18" hidden="false" customHeight="false" outlineLevel="0" collapsed="false">
      <c r="E785" s="418"/>
      <c r="H785" s="172"/>
      <c r="I785" s="172"/>
      <c r="J785" s="172"/>
    </row>
    <row r="786" s="2" customFormat="true" ht="18" hidden="false" customHeight="false" outlineLevel="0" collapsed="false">
      <c r="E786" s="418"/>
      <c r="H786" s="172"/>
      <c r="I786" s="172"/>
      <c r="J786" s="172"/>
    </row>
    <row r="787" s="2" customFormat="true" ht="18" hidden="false" customHeight="false" outlineLevel="0" collapsed="false">
      <c r="E787" s="418"/>
      <c r="H787" s="172"/>
      <c r="I787" s="172"/>
      <c r="J787" s="172"/>
    </row>
    <row r="788" s="2" customFormat="true" ht="18" hidden="false" customHeight="false" outlineLevel="0" collapsed="false">
      <c r="E788" s="418"/>
      <c r="H788" s="172"/>
      <c r="I788" s="172"/>
      <c r="J788" s="172"/>
    </row>
    <row r="789" s="2" customFormat="true" ht="18" hidden="false" customHeight="false" outlineLevel="0" collapsed="false">
      <c r="E789" s="418"/>
      <c r="H789" s="172"/>
      <c r="I789" s="172"/>
      <c r="J789" s="172"/>
    </row>
    <row r="790" s="2" customFormat="true" ht="18" hidden="false" customHeight="false" outlineLevel="0" collapsed="false">
      <c r="E790" s="418"/>
      <c r="H790" s="172"/>
      <c r="I790" s="172"/>
      <c r="J790" s="172"/>
    </row>
    <row r="791" s="2" customFormat="true" ht="18" hidden="false" customHeight="false" outlineLevel="0" collapsed="false">
      <c r="E791" s="418"/>
      <c r="H791" s="172"/>
      <c r="I791" s="172"/>
      <c r="J791" s="172"/>
    </row>
    <row r="792" s="2" customFormat="true" ht="18" hidden="false" customHeight="false" outlineLevel="0" collapsed="false">
      <c r="E792" s="418"/>
      <c r="H792" s="172"/>
      <c r="I792" s="172"/>
      <c r="J792" s="172"/>
    </row>
    <row r="793" s="2" customFormat="true" ht="18" hidden="false" customHeight="false" outlineLevel="0" collapsed="false">
      <c r="E793" s="418"/>
      <c r="H793" s="172"/>
      <c r="I793" s="172"/>
      <c r="J793" s="172"/>
    </row>
    <row r="794" s="2" customFormat="true" ht="18" hidden="false" customHeight="false" outlineLevel="0" collapsed="false">
      <c r="E794" s="418"/>
      <c r="H794" s="172"/>
      <c r="I794" s="172"/>
      <c r="J794" s="172"/>
    </row>
    <row r="795" s="2" customFormat="true" ht="18" hidden="false" customHeight="false" outlineLevel="0" collapsed="false">
      <c r="E795" s="418"/>
      <c r="H795" s="172"/>
      <c r="I795" s="172"/>
      <c r="J795" s="172"/>
    </row>
    <row r="796" s="2" customFormat="true" ht="18" hidden="false" customHeight="false" outlineLevel="0" collapsed="false">
      <c r="E796" s="418"/>
      <c r="H796" s="172"/>
      <c r="I796" s="172"/>
      <c r="J796" s="172"/>
    </row>
    <row r="797" s="2" customFormat="true" ht="18" hidden="false" customHeight="false" outlineLevel="0" collapsed="false">
      <c r="E797" s="418"/>
      <c r="H797" s="172"/>
      <c r="I797" s="172"/>
      <c r="J797" s="172"/>
    </row>
    <row r="798" s="2" customFormat="true" ht="18" hidden="false" customHeight="false" outlineLevel="0" collapsed="false">
      <c r="E798" s="418"/>
      <c r="H798" s="172"/>
      <c r="I798" s="172"/>
      <c r="J798" s="172"/>
    </row>
    <row r="799" s="2" customFormat="true" ht="18" hidden="false" customHeight="false" outlineLevel="0" collapsed="false">
      <c r="E799" s="418"/>
      <c r="H799" s="172"/>
      <c r="I799" s="172"/>
      <c r="J799" s="172"/>
    </row>
    <row r="800" s="2" customFormat="true" ht="18" hidden="false" customHeight="false" outlineLevel="0" collapsed="false">
      <c r="E800" s="418"/>
      <c r="H800" s="172"/>
      <c r="I800" s="172"/>
      <c r="J800" s="172"/>
    </row>
    <row r="801" s="2" customFormat="true" ht="18" hidden="false" customHeight="false" outlineLevel="0" collapsed="false">
      <c r="E801" s="418"/>
      <c r="H801" s="172"/>
      <c r="I801" s="172"/>
      <c r="J801" s="172"/>
    </row>
    <row r="802" s="2" customFormat="true" ht="18" hidden="false" customHeight="false" outlineLevel="0" collapsed="false">
      <c r="E802" s="418"/>
      <c r="H802" s="172"/>
      <c r="I802" s="172"/>
      <c r="J802" s="172"/>
    </row>
    <row r="803" s="2" customFormat="true" ht="18" hidden="false" customHeight="false" outlineLevel="0" collapsed="false">
      <c r="E803" s="418"/>
      <c r="H803" s="172"/>
      <c r="I803" s="172"/>
      <c r="J803" s="172"/>
    </row>
    <row r="804" s="2" customFormat="true" ht="18" hidden="false" customHeight="false" outlineLevel="0" collapsed="false">
      <c r="E804" s="418"/>
      <c r="H804" s="172"/>
      <c r="I804" s="172"/>
      <c r="J804" s="172"/>
    </row>
    <row r="805" s="2" customFormat="true" ht="18" hidden="false" customHeight="false" outlineLevel="0" collapsed="false">
      <c r="E805" s="418"/>
      <c r="H805" s="172"/>
      <c r="I805" s="172"/>
      <c r="J805" s="172"/>
    </row>
    <row r="806" s="2" customFormat="true" ht="18" hidden="false" customHeight="false" outlineLevel="0" collapsed="false">
      <c r="E806" s="418"/>
      <c r="H806" s="172"/>
      <c r="I806" s="172"/>
      <c r="J806" s="172"/>
    </row>
    <row r="807" s="2" customFormat="true" ht="18" hidden="false" customHeight="false" outlineLevel="0" collapsed="false">
      <c r="E807" s="418"/>
      <c r="H807" s="172"/>
      <c r="I807" s="172"/>
      <c r="J807" s="172"/>
    </row>
    <row r="808" s="2" customFormat="true" ht="18" hidden="false" customHeight="false" outlineLevel="0" collapsed="false">
      <c r="E808" s="418"/>
      <c r="H808" s="172"/>
      <c r="I808" s="172"/>
      <c r="J808" s="172"/>
    </row>
    <row r="809" s="2" customFormat="true" ht="18" hidden="false" customHeight="false" outlineLevel="0" collapsed="false">
      <c r="E809" s="418"/>
      <c r="H809" s="172"/>
      <c r="I809" s="172"/>
      <c r="J809" s="172"/>
    </row>
    <row r="810" s="2" customFormat="true" ht="18" hidden="false" customHeight="false" outlineLevel="0" collapsed="false">
      <c r="E810" s="418"/>
      <c r="H810" s="172"/>
      <c r="I810" s="172"/>
      <c r="J810" s="172"/>
    </row>
    <row r="811" s="2" customFormat="true" ht="18" hidden="false" customHeight="false" outlineLevel="0" collapsed="false">
      <c r="E811" s="418"/>
      <c r="H811" s="172"/>
      <c r="I811" s="172"/>
      <c r="J811" s="172"/>
    </row>
    <row r="812" s="2" customFormat="true" ht="18" hidden="false" customHeight="false" outlineLevel="0" collapsed="false">
      <c r="E812" s="418"/>
      <c r="H812" s="172"/>
      <c r="I812" s="172"/>
      <c r="J812" s="172"/>
    </row>
    <row r="813" s="2" customFormat="true" ht="18" hidden="false" customHeight="false" outlineLevel="0" collapsed="false">
      <c r="E813" s="418"/>
      <c r="H813" s="172"/>
      <c r="I813" s="172"/>
      <c r="J813" s="172"/>
    </row>
    <row r="814" s="2" customFormat="true" ht="18" hidden="false" customHeight="false" outlineLevel="0" collapsed="false">
      <c r="E814" s="418"/>
      <c r="H814" s="172"/>
      <c r="I814" s="172"/>
      <c r="J814" s="172"/>
    </row>
    <row r="815" s="2" customFormat="true" ht="18" hidden="false" customHeight="false" outlineLevel="0" collapsed="false">
      <c r="E815" s="418"/>
      <c r="H815" s="172"/>
      <c r="I815" s="172"/>
      <c r="J815" s="172"/>
    </row>
    <row r="816" s="2" customFormat="true" ht="18" hidden="false" customHeight="false" outlineLevel="0" collapsed="false">
      <c r="E816" s="418"/>
      <c r="H816" s="172"/>
      <c r="I816" s="172"/>
      <c r="J816" s="172"/>
    </row>
    <row r="817" s="2" customFormat="true" ht="18" hidden="false" customHeight="false" outlineLevel="0" collapsed="false">
      <c r="E817" s="418"/>
      <c r="H817" s="172"/>
      <c r="I817" s="172"/>
      <c r="J817" s="172"/>
    </row>
    <row r="818" s="2" customFormat="true" ht="18" hidden="false" customHeight="false" outlineLevel="0" collapsed="false">
      <c r="E818" s="418"/>
      <c r="H818" s="172"/>
      <c r="I818" s="172"/>
      <c r="J818" s="172"/>
    </row>
    <row r="819" s="2" customFormat="true" ht="18" hidden="false" customHeight="false" outlineLevel="0" collapsed="false">
      <c r="E819" s="418"/>
      <c r="H819" s="172"/>
      <c r="I819" s="172"/>
      <c r="J819" s="172"/>
    </row>
    <row r="820" s="2" customFormat="true" ht="18" hidden="false" customHeight="false" outlineLevel="0" collapsed="false">
      <c r="E820" s="418"/>
      <c r="H820" s="172"/>
      <c r="I820" s="172"/>
      <c r="J820" s="172"/>
    </row>
    <row r="821" s="2" customFormat="true" ht="18" hidden="false" customHeight="false" outlineLevel="0" collapsed="false">
      <c r="E821" s="418"/>
      <c r="H821" s="172"/>
      <c r="I821" s="172"/>
      <c r="J821" s="172"/>
    </row>
    <row r="822" s="2" customFormat="true" ht="18" hidden="false" customHeight="false" outlineLevel="0" collapsed="false">
      <c r="E822" s="418"/>
      <c r="H822" s="172"/>
      <c r="I822" s="172"/>
      <c r="J822" s="172"/>
    </row>
    <row r="823" s="2" customFormat="true" ht="18" hidden="false" customHeight="false" outlineLevel="0" collapsed="false">
      <c r="E823" s="418"/>
      <c r="H823" s="172"/>
      <c r="I823" s="172"/>
      <c r="J823" s="172"/>
    </row>
    <row r="824" s="2" customFormat="true" ht="18" hidden="false" customHeight="false" outlineLevel="0" collapsed="false">
      <c r="E824" s="418"/>
      <c r="H824" s="172"/>
      <c r="I824" s="172"/>
      <c r="J824" s="172"/>
    </row>
    <row r="825" s="2" customFormat="true" ht="18" hidden="false" customHeight="false" outlineLevel="0" collapsed="false">
      <c r="E825" s="418"/>
      <c r="H825" s="172"/>
      <c r="I825" s="172"/>
      <c r="J825" s="172"/>
    </row>
    <row r="826" s="2" customFormat="true" ht="18" hidden="false" customHeight="false" outlineLevel="0" collapsed="false">
      <c r="E826" s="418"/>
      <c r="H826" s="172"/>
      <c r="I826" s="172"/>
      <c r="J826" s="172"/>
    </row>
    <row r="827" s="2" customFormat="true" ht="18" hidden="false" customHeight="false" outlineLevel="0" collapsed="false">
      <c r="E827" s="418"/>
      <c r="H827" s="172"/>
      <c r="I827" s="172"/>
      <c r="J827" s="172"/>
    </row>
    <row r="828" s="2" customFormat="true" ht="18" hidden="false" customHeight="false" outlineLevel="0" collapsed="false">
      <c r="E828" s="418"/>
      <c r="H828" s="172"/>
      <c r="I828" s="172"/>
      <c r="J828" s="172"/>
    </row>
    <row r="829" s="2" customFormat="true" ht="18" hidden="false" customHeight="false" outlineLevel="0" collapsed="false">
      <c r="E829" s="418"/>
      <c r="H829" s="172"/>
      <c r="I829" s="172"/>
      <c r="J829" s="172"/>
    </row>
    <row r="830" s="2" customFormat="true" ht="18" hidden="false" customHeight="false" outlineLevel="0" collapsed="false">
      <c r="E830" s="418"/>
      <c r="H830" s="172"/>
      <c r="I830" s="172"/>
      <c r="J830" s="172"/>
    </row>
    <row r="831" s="2" customFormat="true" ht="18" hidden="false" customHeight="false" outlineLevel="0" collapsed="false">
      <c r="E831" s="418"/>
      <c r="H831" s="172"/>
      <c r="I831" s="172"/>
      <c r="J831" s="172"/>
    </row>
    <row r="832" s="2" customFormat="true" ht="18" hidden="false" customHeight="false" outlineLevel="0" collapsed="false">
      <c r="E832" s="418"/>
      <c r="H832" s="172"/>
      <c r="I832" s="172"/>
      <c r="J832" s="172"/>
    </row>
    <row r="833" s="2" customFormat="true" ht="18" hidden="false" customHeight="false" outlineLevel="0" collapsed="false">
      <c r="E833" s="418"/>
      <c r="H833" s="172"/>
      <c r="I833" s="172"/>
      <c r="J833" s="172"/>
    </row>
    <row r="834" s="2" customFormat="true" ht="18" hidden="false" customHeight="false" outlineLevel="0" collapsed="false">
      <c r="E834" s="418"/>
      <c r="H834" s="172"/>
      <c r="I834" s="172"/>
      <c r="J834" s="172"/>
    </row>
    <row r="835" s="2" customFormat="true" ht="18" hidden="false" customHeight="false" outlineLevel="0" collapsed="false">
      <c r="E835" s="418"/>
      <c r="H835" s="172"/>
      <c r="I835" s="172"/>
      <c r="J835" s="172"/>
    </row>
    <row r="836" s="2" customFormat="true" ht="18" hidden="false" customHeight="false" outlineLevel="0" collapsed="false">
      <c r="E836" s="418"/>
      <c r="H836" s="172"/>
      <c r="I836" s="172"/>
      <c r="J836" s="172"/>
    </row>
    <row r="837" s="2" customFormat="true" ht="18" hidden="false" customHeight="false" outlineLevel="0" collapsed="false">
      <c r="E837" s="418"/>
      <c r="H837" s="172"/>
      <c r="I837" s="172"/>
      <c r="J837" s="172"/>
    </row>
    <row r="838" s="2" customFormat="true" ht="18" hidden="false" customHeight="false" outlineLevel="0" collapsed="false">
      <c r="E838" s="418"/>
      <c r="H838" s="172"/>
      <c r="I838" s="172"/>
      <c r="J838" s="172"/>
    </row>
    <row r="839" s="2" customFormat="true" ht="18" hidden="false" customHeight="false" outlineLevel="0" collapsed="false">
      <c r="E839" s="418"/>
      <c r="H839" s="172"/>
      <c r="I839" s="172"/>
      <c r="J839" s="172"/>
    </row>
    <row r="840" s="2" customFormat="true" ht="18" hidden="false" customHeight="false" outlineLevel="0" collapsed="false">
      <c r="E840" s="418"/>
      <c r="H840" s="172"/>
      <c r="I840" s="172"/>
      <c r="J840" s="172"/>
    </row>
    <row r="841" s="2" customFormat="true" ht="18" hidden="false" customHeight="false" outlineLevel="0" collapsed="false">
      <c r="E841" s="418"/>
      <c r="H841" s="172"/>
      <c r="I841" s="172"/>
      <c r="J841" s="172"/>
    </row>
    <row r="842" s="2" customFormat="true" ht="18" hidden="false" customHeight="false" outlineLevel="0" collapsed="false">
      <c r="E842" s="418"/>
      <c r="H842" s="172"/>
      <c r="I842" s="172"/>
      <c r="J842" s="172"/>
    </row>
    <row r="843" s="2" customFormat="true" ht="18" hidden="false" customHeight="false" outlineLevel="0" collapsed="false">
      <c r="E843" s="418"/>
      <c r="H843" s="172"/>
      <c r="I843" s="172"/>
      <c r="J843" s="172"/>
    </row>
    <row r="844" s="2" customFormat="true" ht="18" hidden="false" customHeight="false" outlineLevel="0" collapsed="false">
      <c r="E844" s="418"/>
      <c r="H844" s="172"/>
      <c r="I844" s="172"/>
      <c r="J844" s="172"/>
    </row>
    <row r="845" s="2" customFormat="true" ht="18" hidden="false" customHeight="false" outlineLevel="0" collapsed="false">
      <c r="E845" s="418"/>
      <c r="H845" s="172"/>
      <c r="I845" s="172"/>
      <c r="J845" s="172"/>
    </row>
    <row r="846" s="2" customFormat="true" ht="18" hidden="false" customHeight="false" outlineLevel="0" collapsed="false">
      <c r="E846" s="418"/>
      <c r="H846" s="172"/>
      <c r="I846" s="172"/>
      <c r="J846" s="172"/>
    </row>
    <row r="847" s="2" customFormat="true" ht="18" hidden="false" customHeight="false" outlineLevel="0" collapsed="false">
      <c r="E847" s="418"/>
      <c r="H847" s="172"/>
      <c r="I847" s="172"/>
      <c r="J847" s="172"/>
    </row>
    <row r="848" s="2" customFormat="true" ht="18" hidden="false" customHeight="false" outlineLevel="0" collapsed="false">
      <c r="E848" s="418"/>
      <c r="H848" s="172"/>
      <c r="I848" s="172"/>
      <c r="J848" s="172"/>
    </row>
    <row r="849" s="2" customFormat="true" ht="18" hidden="false" customHeight="false" outlineLevel="0" collapsed="false">
      <c r="E849" s="418"/>
      <c r="H849" s="172"/>
      <c r="I849" s="172"/>
      <c r="J849" s="172"/>
    </row>
    <row r="850" s="2" customFormat="true" ht="18" hidden="false" customHeight="false" outlineLevel="0" collapsed="false">
      <c r="E850" s="418"/>
      <c r="H850" s="172"/>
      <c r="I850" s="172"/>
      <c r="J850" s="172"/>
    </row>
    <row r="851" s="2" customFormat="true" ht="18" hidden="false" customHeight="false" outlineLevel="0" collapsed="false">
      <c r="E851" s="418"/>
      <c r="H851" s="172"/>
      <c r="I851" s="172"/>
      <c r="J851" s="172"/>
    </row>
    <row r="852" s="2" customFormat="true" ht="18" hidden="false" customHeight="false" outlineLevel="0" collapsed="false">
      <c r="E852" s="418"/>
      <c r="H852" s="172"/>
      <c r="I852" s="172"/>
      <c r="J852" s="172"/>
    </row>
    <row r="853" s="2" customFormat="true" ht="18" hidden="false" customHeight="false" outlineLevel="0" collapsed="false">
      <c r="E853" s="418"/>
      <c r="H853" s="172"/>
      <c r="I853" s="172"/>
      <c r="J853" s="172"/>
    </row>
    <row r="854" s="2" customFormat="true" ht="18" hidden="false" customHeight="false" outlineLevel="0" collapsed="false">
      <c r="E854" s="418"/>
      <c r="H854" s="172"/>
      <c r="I854" s="172"/>
      <c r="J854" s="172"/>
    </row>
    <row r="855" s="2" customFormat="true" ht="18" hidden="false" customHeight="false" outlineLevel="0" collapsed="false">
      <c r="E855" s="418"/>
      <c r="H855" s="172"/>
      <c r="I855" s="172"/>
      <c r="J855" s="172"/>
    </row>
    <row r="856" s="2" customFormat="true" ht="18" hidden="false" customHeight="false" outlineLevel="0" collapsed="false">
      <c r="E856" s="418"/>
      <c r="H856" s="172"/>
      <c r="I856" s="172"/>
      <c r="J856" s="172"/>
    </row>
    <row r="857" s="2" customFormat="true" ht="18" hidden="false" customHeight="false" outlineLevel="0" collapsed="false">
      <c r="E857" s="418"/>
      <c r="H857" s="172"/>
      <c r="I857" s="172"/>
      <c r="J857" s="172"/>
    </row>
    <row r="858" s="2" customFormat="true" ht="18" hidden="false" customHeight="false" outlineLevel="0" collapsed="false">
      <c r="E858" s="418"/>
      <c r="H858" s="172"/>
      <c r="I858" s="172"/>
      <c r="J858" s="172"/>
    </row>
    <row r="859" s="2" customFormat="true" ht="18" hidden="false" customHeight="false" outlineLevel="0" collapsed="false">
      <c r="E859" s="418"/>
      <c r="H859" s="172"/>
      <c r="I859" s="172"/>
      <c r="J859" s="172"/>
    </row>
    <row r="860" s="2" customFormat="true" ht="18" hidden="false" customHeight="false" outlineLevel="0" collapsed="false">
      <c r="E860" s="418"/>
      <c r="H860" s="172"/>
      <c r="I860" s="172"/>
      <c r="J860" s="172"/>
    </row>
    <row r="861" s="2" customFormat="true" ht="18" hidden="false" customHeight="false" outlineLevel="0" collapsed="false">
      <c r="E861" s="418"/>
      <c r="H861" s="172"/>
      <c r="I861" s="172"/>
      <c r="J861" s="172"/>
    </row>
    <row r="862" s="2" customFormat="true" ht="18" hidden="false" customHeight="false" outlineLevel="0" collapsed="false">
      <c r="E862" s="418"/>
      <c r="H862" s="172"/>
      <c r="I862" s="172"/>
      <c r="J862" s="172"/>
    </row>
    <row r="863" s="2" customFormat="true" ht="18" hidden="false" customHeight="false" outlineLevel="0" collapsed="false">
      <c r="E863" s="418"/>
      <c r="H863" s="172"/>
      <c r="I863" s="172"/>
      <c r="J863" s="172"/>
    </row>
    <row r="864" s="2" customFormat="true" ht="18" hidden="false" customHeight="false" outlineLevel="0" collapsed="false">
      <c r="E864" s="418"/>
      <c r="H864" s="172"/>
      <c r="I864" s="172"/>
      <c r="J864" s="172"/>
    </row>
    <row r="865" s="2" customFormat="true" ht="18" hidden="false" customHeight="false" outlineLevel="0" collapsed="false">
      <c r="E865" s="418"/>
      <c r="H865" s="172"/>
      <c r="I865" s="172"/>
      <c r="J865" s="172"/>
    </row>
    <row r="866" s="2" customFormat="true" ht="18" hidden="false" customHeight="false" outlineLevel="0" collapsed="false">
      <c r="E866" s="418"/>
      <c r="H866" s="172"/>
      <c r="I866" s="172"/>
      <c r="J866" s="172"/>
    </row>
    <row r="867" s="2" customFormat="true" ht="18" hidden="false" customHeight="false" outlineLevel="0" collapsed="false">
      <c r="E867" s="418"/>
      <c r="H867" s="172"/>
      <c r="I867" s="172"/>
      <c r="J867" s="172"/>
    </row>
    <row r="868" s="2" customFormat="true" ht="18" hidden="false" customHeight="false" outlineLevel="0" collapsed="false">
      <c r="E868" s="418"/>
      <c r="H868" s="172"/>
      <c r="I868" s="172"/>
      <c r="J868" s="172"/>
    </row>
    <row r="869" s="2" customFormat="true" ht="18" hidden="false" customHeight="false" outlineLevel="0" collapsed="false">
      <c r="E869" s="418"/>
      <c r="H869" s="172"/>
      <c r="I869" s="172"/>
      <c r="J869" s="172"/>
    </row>
    <row r="870" s="2" customFormat="true" ht="18" hidden="false" customHeight="false" outlineLevel="0" collapsed="false">
      <c r="E870" s="418"/>
      <c r="H870" s="172"/>
      <c r="I870" s="172"/>
      <c r="J870" s="172"/>
    </row>
    <row r="871" s="2" customFormat="true" ht="18" hidden="false" customHeight="false" outlineLevel="0" collapsed="false">
      <c r="E871" s="418"/>
      <c r="H871" s="172"/>
      <c r="I871" s="172"/>
      <c r="J871" s="172"/>
    </row>
    <row r="872" s="2" customFormat="true" ht="18" hidden="false" customHeight="false" outlineLevel="0" collapsed="false">
      <c r="E872" s="418"/>
      <c r="H872" s="172"/>
      <c r="I872" s="172"/>
      <c r="J872" s="172"/>
    </row>
    <row r="873" s="2" customFormat="true" ht="18" hidden="false" customHeight="false" outlineLevel="0" collapsed="false">
      <c r="E873" s="418"/>
      <c r="H873" s="172"/>
      <c r="I873" s="172"/>
      <c r="J873" s="172"/>
    </row>
    <row r="874" s="2" customFormat="true" ht="18" hidden="false" customHeight="false" outlineLevel="0" collapsed="false">
      <c r="E874" s="418"/>
      <c r="H874" s="172"/>
      <c r="I874" s="172"/>
      <c r="J874" s="172"/>
    </row>
    <row r="875" s="2" customFormat="true" ht="18" hidden="false" customHeight="false" outlineLevel="0" collapsed="false">
      <c r="E875" s="418"/>
      <c r="H875" s="172"/>
      <c r="I875" s="172"/>
      <c r="J875" s="172"/>
    </row>
    <row r="876" s="2" customFormat="true" ht="18" hidden="false" customHeight="false" outlineLevel="0" collapsed="false">
      <c r="E876" s="418"/>
      <c r="H876" s="172"/>
      <c r="I876" s="172"/>
      <c r="J876" s="172"/>
    </row>
    <row r="877" s="2" customFormat="true" ht="18" hidden="false" customHeight="false" outlineLevel="0" collapsed="false">
      <c r="E877" s="418"/>
      <c r="H877" s="172"/>
      <c r="I877" s="172"/>
      <c r="J877" s="172"/>
    </row>
    <row r="878" s="2" customFormat="true" ht="18" hidden="false" customHeight="false" outlineLevel="0" collapsed="false">
      <c r="E878" s="418"/>
      <c r="H878" s="172"/>
      <c r="I878" s="172"/>
      <c r="J878" s="172"/>
    </row>
    <row r="879" s="2" customFormat="true" ht="18" hidden="false" customHeight="false" outlineLevel="0" collapsed="false">
      <c r="E879" s="418"/>
      <c r="H879" s="172"/>
      <c r="I879" s="172"/>
      <c r="J879" s="172"/>
    </row>
    <row r="880" s="2" customFormat="true" ht="18" hidden="false" customHeight="false" outlineLevel="0" collapsed="false">
      <c r="E880" s="418"/>
      <c r="H880" s="172"/>
      <c r="I880" s="172"/>
      <c r="J880" s="172"/>
    </row>
    <row r="881" s="2" customFormat="true" ht="18" hidden="false" customHeight="false" outlineLevel="0" collapsed="false">
      <c r="E881" s="418"/>
      <c r="H881" s="172"/>
      <c r="I881" s="172"/>
      <c r="J881" s="172"/>
    </row>
    <row r="882" s="2" customFormat="true" ht="18" hidden="false" customHeight="false" outlineLevel="0" collapsed="false">
      <c r="E882" s="418"/>
      <c r="H882" s="172"/>
      <c r="I882" s="172"/>
      <c r="J882" s="172"/>
    </row>
    <row r="883" s="2" customFormat="true" ht="18" hidden="false" customHeight="false" outlineLevel="0" collapsed="false">
      <c r="E883" s="418"/>
      <c r="H883" s="172"/>
      <c r="I883" s="172"/>
      <c r="J883" s="172"/>
    </row>
    <row r="884" s="2" customFormat="true" ht="18" hidden="false" customHeight="false" outlineLevel="0" collapsed="false">
      <c r="E884" s="418"/>
      <c r="H884" s="172"/>
      <c r="I884" s="172"/>
      <c r="J884" s="172"/>
    </row>
    <row r="885" s="2" customFormat="true" ht="18" hidden="false" customHeight="false" outlineLevel="0" collapsed="false">
      <c r="E885" s="418"/>
      <c r="H885" s="172"/>
      <c r="I885" s="172"/>
      <c r="J885" s="172"/>
    </row>
    <row r="886" s="2" customFormat="true" ht="18" hidden="false" customHeight="false" outlineLevel="0" collapsed="false">
      <c r="E886" s="418"/>
      <c r="H886" s="172"/>
      <c r="I886" s="172"/>
      <c r="J886" s="172"/>
    </row>
    <row r="887" s="2" customFormat="true" ht="18" hidden="false" customHeight="false" outlineLevel="0" collapsed="false">
      <c r="E887" s="418"/>
      <c r="H887" s="172"/>
      <c r="I887" s="172"/>
      <c r="J887" s="172"/>
    </row>
    <row r="888" s="2" customFormat="true" ht="18" hidden="false" customHeight="false" outlineLevel="0" collapsed="false">
      <c r="E888" s="418"/>
      <c r="H888" s="172"/>
      <c r="I888" s="172"/>
      <c r="J888" s="172"/>
    </row>
    <row r="889" s="2" customFormat="true" ht="18" hidden="false" customHeight="false" outlineLevel="0" collapsed="false">
      <c r="E889" s="418"/>
      <c r="H889" s="172"/>
      <c r="I889" s="172"/>
      <c r="J889" s="172"/>
    </row>
    <row r="890" s="2" customFormat="true" ht="18" hidden="false" customHeight="false" outlineLevel="0" collapsed="false">
      <c r="E890" s="418"/>
      <c r="H890" s="172"/>
      <c r="I890" s="172"/>
      <c r="J890" s="172"/>
    </row>
    <row r="891" s="2" customFormat="true" ht="18" hidden="false" customHeight="false" outlineLevel="0" collapsed="false">
      <c r="E891" s="418"/>
      <c r="H891" s="172"/>
      <c r="I891" s="172"/>
      <c r="J891" s="172"/>
    </row>
    <row r="892" s="2" customFormat="true" ht="18" hidden="false" customHeight="false" outlineLevel="0" collapsed="false">
      <c r="E892" s="418"/>
      <c r="H892" s="172"/>
      <c r="I892" s="172"/>
      <c r="J892" s="172"/>
    </row>
    <row r="893" s="2" customFormat="true" ht="18" hidden="false" customHeight="false" outlineLevel="0" collapsed="false">
      <c r="E893" s="418"/>
      <c r="H893" s="172"/>
      <c r="I893" s="172"/>
      <c r="J893" s="172"/>
    </row>
    <row r="894" s="2" customFormat="true" ht="18" hidden="false" customHeight="false" outlineLevel="0" collapsed="false">
      <c r="E894" s="418"/>
      <c r="H894" s="172"/>
      <c r="I894" s="172"/>
      <c r="J894" s="172"/>
    </row>
    <row r="895" s="2" customFormat="true" ht="18" hidden="false" customHeight="false" outlineLevel="0" collapsed="false">
      <c r="E895" s="418"/>
      <c r="H895" s="172"/>
      <c r="I895" s="172"/>
      <c r="J895" s="172"/>
    </row>
    <row r="896" s="2" customFormat="true" ht="18" hidden="false" customHeight="false" outlineLevel="0" collapsed="false">
      <c r="E896" s="418"/>
      <c r="H896" s="172"/>
      <c r="I896" s="172"/>
      <c r="J896" s="172"/>
    </row>
    <row r="897" s="2" customFormat="true" ht="18" hidden="false" customHeight="false" outlineLevel="0" collapsed="false">
      <c r="E897" s="418"/>
      <c r="H897" s="172"/>
      <c r="I897" s="172"/>
      <c r="J897" s="172"/>
    </row>
    <row r="898" s="2" customFormat="true" ht="18" hidden="false" customHeight="false" outlineLevel="0" collapsed="false">
      <c r="E898" s="418"/>
      <c r="H898" s="172"/>
      <c r="I898" s="172"/>
      <c r="J898" s="172"/>
    </row>
    <row r="899" s="2" customFormat="true" ht="18" hidden="false" customHeight="false" outlineLevel="0" collapsed="false">
      <c r="E899" s="418"/>
      <c r="H899" s="172"/>
      <c r="I899" s="172"/>
      <c r="J899" s="172"/>
    </row>
    <row r="900" s="2" customFormat="true" ht="18" hidden="false" customHeight="false" outlineLevel="0" collapsed="false">
      <c r="E900" s="418"/>
      <c r="H900" s="172"/>
      <c r="I900" s="172"/>
      <c r="J900" s="172"/>
    </row>
    <row r="901" s="2" customFormat="true" ht="18" hidden="false" customHeight="false" outlineLevel="0" collapsed="false">
      <c r="E901" s="418"/>
      <c r="H901" s="172"/>
      <c r="I901" s="172"/>
      <c r="J901" s="172"/>
    </row>
    <row r="902" s="2" customFormat="true" ht="18" hidden="false" customHeight="false" outlineLevel="0" collapsed="false">
      <c r="E902" s="418"/>
      <c r="H902" s="172"/>
      <c r="I902" s="172"/>
      <c r="J902" s="172"/>
    </row>
    <row r="903" s="2" customFormat="true" ht="18" hidden="false" customHeight="false" outlineLevel="0" collapsed="false">
      <c r="E903" s="418"/>
      <c r="H903" s="172"/>
      <c r="I903" s="172"/>
      <c r="J903" s="172"/>
    </row>
    <row r="904" s="2" customFormat="true" ht="18" hidden="false" customHeight="false" outlineLevel="0" collapsed="false">
      <c r="E904" s="418"/>
      <c r="H904" s="172"/>
      <c r="I904" s="172"/>
      <c r="J904" s="172"/>
    </row>
    <row r="905" s="2" customFormat="true" ht="18" hidden="false" customHeight="false" outlineLevel="0" collapsed="false">
      <c r="E905" s="418"/>
      <c r="H905" s="172"/>
      <c r="I905" s="172"/>
      <c r="J905" s="172"/>
    </row>
    <row r="906" s="2" customFormat="true" ht="18" hidden="false" customHeight="false" outlineLevel="0" collapsed="false">
      <c r="E906" s="418"/>
      <c r="H906" s="172"/>
      <c r="I906" s="172"/>
      <c r="J906" s="172"/>
    </row>
    <row r="907" s="2" customFormat="true" ht="18" hidden="false" customHeight="false" outlineLevel="0" collapsed="false">
      <c r="E907" s="418"/>
      <c r="H907" s="172"/>
      <c r="I907" s="172"/>
      <c r="J907" s="172"/>
    </row>
    <row r="908" s="2" customFormat="true" ht="18" hidden="false" customHeight="false" outlineLevel="0" collapsed="false">
      <c r="E908" s="418"/>
      <c r="H908" s="172"/>
      <c r="I908" s="172"/>
      <c r="J908" s="172"/>
    </row>
    <row r="909" s="2" customFormat="true" ht="18" hidden="false" customHeight="false" outlineLevel="0" collapsed="false">
      <c r="E909" s="418"/>
      <c r="H909" s="172"/>
      <c r="I909" s="172"/>
      <c r="J909" s="172"/>
    </row>
    <row r="910" s="2" customFormat="true" ht="18" hidden="false" customHeight="false" outlineLevel="0" collapsed="false">
      <c r="E910" s="418"/>
      <c r="H910" s="172"/>
      <c r="I910" s="172"/>
      <c r="J910" s="172"/>
    </row>
    <row r="911" s="2" customFormat="true" ht="18" hidden="false" customHeight="false" outlineLevel="0" collapsed="false">
      <c r="E911" s="418"/>
      <c r="H911" s="172"/>
      <c r="I911" s="172"/>
      <c r="J911" s="172"/>
    </row>
    <row r="912" s="2" customFormat="true" ht="18" hidden="false" customHeight="false" outlineLevel="0" collapsed="false">
      <c r="E912" s="418"/>
      <c r="H912" s="172"/>
      <c r="I912" s="172"/>
      <c r="J912" s="172"/>
    </row>
    <row r="913" s="2" customFormat="true" ht="18" hidden="false" customHeight="false" outlineLevel="0" collapsed="false">
      <c r="E913" s="418"/>
      <c r="H913" s="172"/>
      <c r="I913" s="172"/>
      <c r="J913" s="172"/>
    </row>
    <row r="914" s="2" customFormat="true" ht="18" hidden="false" customHeight="false" outlineLevel="0" collapsed="false">
      <c r="E914" s="418"/>
      <c r="H914" s="172"/>
      <c r="I914" s="172"/>
      <c r="J914" s="172"/>
    </row>
    <row r="915" s="2" customFormat="true" ht="18" hidden="false" customHeight="false" outlineLevel="0" collapsed="false">
      <c r="E915" s="418"/>
      <c r="H915" s="172"/>
      <c r="I915" s="172"/>
      <c r="J915" s="172"/>
    </row>
    <row r="916" s="2" customFormat="true" ht="18" hidden="false" customHeight="false" outlineLevel="0" collapsed="false">
      <c r="E916" s="418"/>
      <c r="H916" s="172"/>
      <c r="I916" s="172"/>
      <c r="J916" s="172"/>
    </row>
    <row r="917" s="2" customFormat="true" ht="18" hidden="false" customHeight="false" outlineLevel="0" collapsed="false">
      <c r="E917" s="418"/>
      <c r="H917" s="172"/>
      <c r="I917" s="172"/>
      <c r="J917" s="172"/>
    </row>
    <row r="918" s="2" customFormat="true" ht="18" hidden="false" customHeight="false" outlineLevel="0" collapsed="false">
      <c r="E918" s="418"/>
      <c r="H918" s="172"/>
      <c r="I918" s="172"/>
      <c r="J918" s="172"/>
    </row>
    <row r="919" s="2" customFormat="true" ht="18" hidden="false" customHeight="false" outlineLevel="0" collapsed="false">
      <c r="E919" s="418"/>
      <c r="H919" s="172"/>
      <c r="I919" s="172"/>
      <c r="J919" s="172"/>
    </row>
    <row r="920" s="2" customFormat="true" ht="18" hidden="false" customHeight="false" outlineLevel="0" collapsed="false">
      <c r="E920" s="418"/>
      <c r="H920" s="172"/>
      <c r="I920" s="172"/>
      <c r="J920" s="172"/>
    </row>
    <row r="921" s="2" customFormat="true" ht="18" hidden="false" customHeight="false" outlineLevel="0" collapsed="false">
      <c r="E921" s="418"/>
      <c r="H921" s="172"/>
      <c r="I921" s="172"/>
      <c r="J921" s="172"/>
    </row>
    <row r="922" s="2" customFormat="true" ht="18" hidden="false" customHeight="false" outlineLevel="0" collapsed="false">
      <c r="E922" s="418"/>
      <c r="H922" s="172"/>
      <c r="I922" s="172"/>
      <c r="J922" s="172"/>
    </row>
    <row r="923" s="2" customFormat="true" ht="18" hidden="false" customHeight="false" outlineLevel="0" collapsed="false">
      <c r="E923" s="418"/>
      <c r="H923" s="172"/>
      <c r="I923" s="172"/>
      <c r="J923" s="172"/>
    </row>
    <row r="924" s="2" customFormat="true" ht="18" hidden="false" customHeight="false" outlineLevel="0" collapsed="false">
      <c r="E924" s="418"/>
      <c r="H924" s="172"/>
      <c r="I924" s="172"/>
      <c r="J924" s="172"/>
    </row>
    <row r="925" s="2" customFormat="true" ht="18" hidden="false" customHeight="false" outlineLevel="0" collapsed="false">
      <c r="E925" s="418"/>
      <c r="H925" s="172"/>
      <c r="I925" s="172"/>
      <c r="J925" s="172"/>
    </row>
    <row r="926" s="2" customFormat="true" ht="18" hidden="false" customHeight="false" outlineLevel="0" collapsed="false">
      <c r="E926" s="418"/>
      <c r="H926" s="172"/>
      <c r="I926" s="172"/>
      <c r="J926" s="172"/>
    </row>
    <row r="927" s="2" customFormat="true" ht="18" hidden="false" customHeight="false" outlineLevel="0" collapsed="false">
      <c r="E927" s="418"/>
      <c r="H927" s="172"/>
      <c r="I927" s="172"/>
      <c r="J927" s="172"/>
    </row>
    <row r="928" s="2" customFormat="true" ht="18" hidden="false" customHeight="false" outlineLevel="0" collapsed="false">
      <c r="E928" s="418"/>
      <c r="H928" s="172"/>
      <c r="I928" s="172"/>
      <c r="J928" s="172"/>
    </row>
    <row r="929" s="2" customFormat="true" ht="18" hidden="false" customHeight="false" outlineLevel="0" collapsed="false">
      <c r="E929" s="418"/>
      <c r="H929" s="172"/>
      <c r="I929" s="172"/>
      <c r="J929" s="172"/>
    </row>
    <row r="930" s="2" customFormat="true" ht="18" hidden="false" customHeight="false" outlineLevel="0" collapsed="false">
      <c r="E930" s="418"/>
      <c r="H930" s="172"/>
      <c r="I930" s="172"/>
      <c r="J930" s="172"/>
    </row>
    <row r="931" s="2" customFormat="true" ht="18" hidden="false" customHeight="false" outlineLevel="0" collapsed="false">
      <c r="E931" s="418"/>
      <c r="H931" s="172"/>
      <c r="I931" s="172"/>
      <c r="J931" s="172"/>
    </row>
    <row r="932" s="2" customFormat="true" ht="18" hidden="false" customHeight="false" outlineLevel="0" collapsed="false">
      <c r="E932" s="418"/>
      <c r="H932" s="172"/>
      <c r="I932" s="172"/>
      <c r="J932" s="172"/>
    </row>
    <row r="933" s="2" customFormat="true" ht="18" hidden="false" customHeight="false" outlineLevel="0" collapsed="false">
      <c r="E933" s="418"/>
      <c r="H933" s="172"/>
      <c r="I933" s="172"/>
      <c r="J933" s="172"/>
    </row>
    <row r="934" s="2" customFormat="true" ht="18" hidden="false" customHeight="false" outlineLevel="0" collapsed="false">
      <c r="E934" s="418"/>
      <c r="H934" s="172"/>
      <c r="I934" s="172"/>
      <c r="J934" s="172"/>
    </row>
    <row r="935" s="2" customFormat="true" ht="18" hidden="false" customHeight="false" outlineLevel="0" collapsed="false">
      <c r="E935" s="418"/>
      <c r="H935" s="172"/>
      <c r="I935" s="172"/>
      <c r="J935" s="172"/>
    </row>
    <row r="936" s="2" customFormat="true" ht="18" hidden="false" customHeight="false" outlineLevel="0" collapsed="false">
      <c r="E936" s="418"/>
      <c r="H936" s="172"/>
      <c r="I936" s="172"/>
      <c r="J936" s="172"/>
    </row>
    <row r="937" s="2" customFormat="true" ht="18" hidden="false" customHeight="false" outlineLevel="0" collapsed="false">
      <c r="E937" s="418"/>
      <c r="H937" s="172"/>
      <c r="I937" s="172"/>
      <c r="J937" s="172"/>
    </row>
    <row r="938" s="2" customFormat="true" ht="18" hidden="false" customHeight="false" outlineLevel="0" collapsed="false">
      <c r="E938" s="418"/>
      <c r="H938" s="172"/>
      <c r="I938" s="172"/>
      <c r="J938" s="172"/>
    </row>
    <row r="939" s="2" customFormat="true" ht="18" hidden="false" customHeight="false" outlineLevel="0" collapsed="false">
      <c r="E939" s="418"/>
      <c r="H939" s="172"/>
      <c r="I939" s="172"/>
      <c r="J939" s="172"/>
    </row>
    <row r="940" s="2" customFormat="true" ht="18" hidden="false" customHeight="false" outlineLevel="0" collapsed="false">
      <c r="E940" s="418"/>
      <c r="H940" s="172"/>
      <c r="I940" s="172"/>
      <c r="J940" s="172"/>
    </row>
    <row r="941" s="2" customFormat="true" ht="18" hidden="false" customHeight="false" outlineLevel="0" collapsed="false">
      <c r="E941" s="418"/>
      <c r="H941" s="172"/>
      <c r="I941" s="172"/>
      <c r="J941" s="172"/>
    </row>
    <row r="942" s="2" customFormat="true" ht="18" hidden="false" customHeight="false" outlineLevel="0" collapsed="false">
      <c r="E942" s="418"/>
      <c r="H942" s="172"/>
      <c r="I942" s="172"/>
      <c r="J942" s="172"/>
    </row>
    <row r="943" s="2" customFormat="true" ht="18" hidden="false" customHeight="false" outlineLevel="0" collapsed="false">
      <c r="E943" s="418"/>
      <c r="H943" s="172"/>
      <c r="I943" s="172"/>
      <c r="J943" s="172"/>
    </row>
    <row r="944" s="2" customFormat="true" ht="18" hidden="false" customHeight="false" outlineLevel="0" collapsed="false">
      <c r="E944" s="418"/>
      <c r="H944" s="172"/>
      <c r="I944" s="172"/>
      <c r="J944" s="172"/>
    </row>
    <row r="945" s="2" customFormat="true" ht="18" hidden="false" customHeight="false" outlineLevel="0" collapsed="false">
      <c r="E945" s="418"/>
      <c r="H945" s="172"/>
      <c r="I945" s="172"/>
      <c r="J945" s="172"/>
    </row>
    <row r="946" s="2" customFormat="true" ht="18" hidden="false" customHeight="false" outlineLevel="0" collapsed="false">
      <c r="E946" s="418"/>
      <c r="H946" s="172"/>
      <c r="I946" s="172"/>
      <c r="J946" s="172"/>
    </row>
    <row r="947" s="2" customFormat="true" ht="18" hidden="false" customHeight="false" outlineLevel="0" collapsed="false">
      <c r="E947" s="418"/>
      <c r="H947" s="172"/>
      <c r="I947" s="172"/>
      <c r="J947" s="172"/>
    </row>
    <row r="948" s="2" customFormat="true" ht="18" hidden="false" customHeight="false" outlineLevel="0" collapsed="false">
      <c r="E948" s="418"/>
      <c r="H948" s="172"/>
      <c r="I948" s="172"/>
      <c r="J948" s="172"/>
    </row>
    <row r="949" s="2" customFormat="true" ht="18" hidden="false" customHeight="false" outlineLevel="0" collapsed="false">
      <c r="E949" s="418"/>
      <c r="H949" s="172"/>
      <c r="I949" s="172"/>
      <c r="J949" s="172"/>
    </row>
    <row r="950" s="2" customFormat="true" ht="18" hidden="false" customHeight="false" outlineLevel="0" collapsed="false">
      <c r="E950" s="418"/>
      <c r="H950" s="172"/>
      <c r="I950" s="172"/>
      <c r="J950" s="172"/>
    </row>
    <row r="951" s="2" customFormat="true" ht="18" hidden="false" customHeight="false" outlineLevel="0" collapsed="false">
      <c r="E951" s="418"/>
      <c r="H951" s="172"/>
      <c r="I951" s="172"/>
      <c r="J951" s="172"/>
    </row>
    <row r="952" s="2" customFormat="true" ht="18" hidden="false" customHeight="false" outlineLevel="0" collapsed="false">
      <c r="E952" s="418"/>
      <c r="H952" s="172"/>
      <c r="I952" s="172"/>
      <c r="J952" s="172"/>
    </row>
    <row r="953" s="2" customFormat="true" ht="18" hidden="false" customHeight="false" outlineLevel="0" collapsed="false">
      <c r="E953" s="418"/>
      <c r="H953" s="172"/>
      <c r="I953" s="172"/>
      <c r="J953" s="172"/>
    </row>
    <row r="954" s="2" customFormat="true" ht="18" hidden="false" customHeight="false" outlineLevel="0" collapsed="false">
      <c r="E954" s="418"/>
      <c r="H954" s="172"/>
      <c r="I954" s="172"/>
      <c r="J954" s="172"/>
    </row>
    <row r="955" s="2" customFormat="true" ht="18" hidden="false" customHeight="false" outlineLevel="0" collapsed="false">
      <c r="E955" s="418"/>
      <c r="H955" s="172"/>
      <c r="I955" s="172"/>
      <c r="J955" s="172"/>
    </row>
    <row r="956" s="2" customFormat="true" ht="18" hidden="false" customHeight="false" outlineLevel="0" collapsed="false">
      <c r="E956" s="418"/>
      <c r="H956" s="172"/>
      <c r="I956" s="172"/>
      <c r="J956" s="172"/>
    </row>
    <row r="957" s="2" customFormat="true" ht="18" hidden="false" customHeight="false" outlineLevel="0" collapsed="false">
      <c r="E957" s="418"/>
      <c r="H957" s="172"/>
      <c r="I957" s="172"/>
      <c r="J957" s="172"/>
    </row>
    <row r="958" s="2" customFormat="true" ht="18" hidden="false" customHeight="false" outlineLevel="0" collapsed="false">
      <c r="E958" s="418"/>
      <c r="H958" s="172"/>
      <c r="I958" s="172"/>
      <c r="J958" s="172"/>
    </row>
    <row r="959" s="2" customFormat="true" ht="18" hidden="false" customHeight="false" outlineLevel="0" collapsed="false">
      <c r="E959" s="418"/>
      <c r="H959" s="172"/>
      <c r="I959" s="172"/>
      <c r="J959" s="172"/>
    </row>
    <row r="960" s="2" customFormat="true" ht="18" hidden="false" customHeight="false" outlineLevel="0" collapsed="false">
      <c r="E960" s="418"/>
      <c r="H960" s="172"/>
      <c r="I960" s="172"/>
      <c r="J960" s="172"/>
    </row>
    <row r="961" s="2" customFormat="true" ht="18" hidden="false" customHeight="false" outlineLevel="0" collapsed="false">
      <c r="E961" s="418"/>
      <c r="H961" s="172"/>
      <c r="I961" s="172"/>
      <c r="J961" s="172"/>
    </row>
    <row r="962" s="2" customFormat="true" ht="18" hidden="false" customHeight="false" outlineLevel="0" collapsed="false">
      <c r="E962" s="418"/>
      <c r="H962" s="172"/>
      <c r="I962" s="172"/>
      <c r="J962" s="172"/>
    </row>
    <row r="963" s="2" customFormat="true" ht="18" hidden="false" customHeight="false" outlineLevel="0" collapsed="false">
      <c r="E963" s="418"/>
      <c r="H963" s="172"/>
      <c r="I963" s="172"/>
      <c r="J963" s="172"/>
    </row>
    <row r="964" s="2" customFormat="true" ht="18" hidden="false" customHeight="false" outlineLevel="0" collapsed="false">
      <c r="E964" s="418"/>
      <c r="H964" s="172"/>
      <c r="I964" s="172"/>
      <c r="J964" s="172"/>
    </row>
    <row r="965" s="2" customFormat="true" ht="18" hidden="false" customHeight="false" outlineLevel="0" collapsed="false">
      <c r="E965" s="418"/>
      <c r="H965" s="172"/>
      <c r="I965" s="172"/>
      <c r="J965" s="172"/>
    </row>
    <row r="966" s="2" customFormat="true" ht="18" hidden="false" customHeight="false" outlineLevel="0" collapsed="false">
      <c r="E966" s="418"/>
      <c r="H966" s="172"/>
      <c r="I966" s="172"/>
      <c r="J966" s="172"/>
    </row>
    <row r="967" s="2" customFormat="true" ht="18" hidden="false" customHeight="false" outlineLevel="0" collapsed="false">
      <c r="E967" s="418"/>
      <c r="H967" s="172"/>
      <c r="I967" s="172"/>
      <c r="J967" s="172"/>
    </row>
    <row r="968" s="2" customFormat="true" ht="18" hidden="false" customHeight="false" outlineLevel="0" collapsed="false">
      <c r="E968" s="418"/>
      <c r="H968" s="172"/>
      <c r="I968" s="172"/>
      <c r="J968" s="172"/>
    </row>
    <row r="969" s="2" customFormat="true" ht="18" hidden="false" customHeight="false" outlineLevel="0" collapsed="false">
      <c r="E969" s="418"/>
      <c r="H969" s="172"/>
      <c r="I969" s="172"/>
      <c r="J969" s="172"/>
    </row>
    <row r="970" s="2" customFormat="true" ht="18" hidden="false" customHeight="false" outlineLevel="0" collapsed="false">
      <c r="E970" s="418"/>
      <c r="H970" s="172"/>
      <c r="I970" s="172"/>
      <c r="J970" s="172"/>
    </row>
    <row r="971" s="2" customFormat="true" ht="18" hidden="false" customHeight="false" outlineLevel="0" collapsed="false">
      <c r="E971" s="418"/>
      <c r="H971" s="172"/>
      <c r="I971" s="172"/>
      <c r="J971" s="172"/>
    </row>
    <row r="972" s="2" customFormat="true" ht="18" hidden="false" customHeight="false" outlineLevel="0" collapsed="false">
      <c r="E972" s="418"/>
      <c r="H972" s="172"/>
      <c r="I972" s="172"/>
      <c r="J972" s="172"/>
    </row>
    <row r="973" s="2" customFormat="true" ht="18" hidden="false" customHeight="false" outlineLevel="0" collapsed="false">
      <c r="E973" s="418"/>
      <c r="H973" s="172"/>
      <c r="I973" s="172"/>
      <c r="J973" s="172"/>
    </row>
    <row r="974" s="2" customFormat="true" ht="18" hidden="false" customHeight="false" outlineLevel="0" collapsed="false">
      <c r="E974" s="418"/>
      <c r="H974" s="172"/>
      <c r="I974" s="172"/>
      <c r="J974" s="172"/>
    </row>
    <row r="975" s="2" customFormat="true" ht="18" hidden="false" customHeight="false" outlineLevel="0" collapsed="false">
      <c r="E975" s="418"/>
      <c r="H975" s="172"/>
      <c r="I975" s="172"/>
      <c r="J975" s="172"/>
    </row>
    <row r="976" s="2" customFormat="true" ht="18" hidden="false" customHeight="false" outlineLevel="0" collapsed="false">
      <c r="E976" s="418"/>
      <c r="H976" s="172"/>
      <c r="I976" s="172"/>
      <c r="J976" s="172"/>
    </row>
    <row r="977" s="2" customFormat="true" ht="18" hidden="false" customHeight="false" outlineLevel="0" collapsed="false">
      <c r="E977" s="418"/>
      <c r="H977" s="172"/>
      <c r="I977" s="172"/>
      <c r="J977" s="172"/>
    </row>
    <row r="978" s="2" customFormat="true" ht="18" hidden="false" customHeight="false" outlineLevel="0" collapsed="false">
      <c r="E978" s="418"/>
      <c r="H978" s="172"/>
      <c r="I978" s="172"/>
      <c r="J978" s="172"/>
    </row>
    <row r="979" s="2" customFormat="true" ht="18" hidden="false" customHeight="false" outlineLevel="0" collapsed="false">
      <c r="E979" s="418"/>
      <c r="H979" s="172"/>
      <c r="I979" s="172"/>
      <c r="J979" s="172"/>
    </row>
    <row r="980" s="2" customFormat="true" ht="18" hidden="false" customHeight="false" outlineLevel="0" collapsed="false">
      <c r="E980" s="418"/>
      <c r="H980" s="172"/>
      <c r="I980" s="172"/>
      <c r="J980" s="172"/>
    </row>
    <row r="981" s="2" customFormat="true" ht="18" hidden="false" customHeight="false" outlineLevel="0" collapsed="false">
      <c r="E981" s="418"/>
      <c r="H981" s="172"/>
      <c r="I981" s="172"/>
      <c r="J981" s="172"/>
    </row>
    <row r="982" s="2" customFormat="true" ht="18" hidden="false" customHeight="false" outlineLevel="0" collapsed="false">
      <c r="E982" s="418"/>
      <c r="H982" s="172"/>
      <c r="I982" s="172"/>
      <c r="J982" s="172"/>
    </row>
    <row r="983" s="2" customFormat="true" ht="18" hidden="false" customHeight="false" outlineLevel="0" collapsed="false">
      <c r="E983" s="418"/>
      <c r="H983" s="172"/>
      <c r="I983" s="172"/>
      <c r="J983" s="172"/>
    </row>
    <row r="984" s="2" customFormat="true" ht="18" hidden="false" customHeight="false" outlineLevel="0" collapsed="false">
      <c r="E984" s="418"/>
      <c r="H984" s="172"/>
      <c r="I984" s="172"/>
      <c r="J984" s="172"/>
    </row>
    <row r="985" s="2" customFormat="true" ht="18" hidden="false" customHeight="false" outlineLevel="0" collapsed="false">
      <c r="E985" s="418"/>
      <c r="H985" s="172"/>
      <c r="I985" s="172"/>
      <c r="J985" s="172"/>
    </row>
    <row r="986" s="2" customFormat="true" ht="18" hidden="false" customHeight="false" outlineLevel="0" collapsed="false">
      <c r="E986" s="418"/>
      <c r="H986" s="172"/>
      <c r="I986" s="172"/>
      <c r="J986" s="172"/>
    </row>
    <row r="987" s="2" customFormat="true" ht="18" hidden="false" customHeight="false" outlineLevel="0" collapsed="false">
      <c r="E987" s="418"/>
      <c r="H987" s="172"/>
      <c r="I987" s="172"/>
      <c r="J987" s="172"/>
    </row>
    <row r="988" s="2" customFormat="true" ht="18" hidden="false" customHeight="false" outlineLevel="0" collapsed="false">
      <c r="E988" s="418"/>
      <c r="H988" s="172"/>
      <c r="I988" s="172"/>
      <c r="J988" s="172"/>
    </row>
    <row r="989" s="2" customFormat="true" ht="18" hidden="false" customHeight="false" outlineLevel="0" collapsed="false">
      <c r="E989" s="418"/>
      <c r="H989" s="172"/>
      <c r="I989" s="172"/>
      <c r="J989" s="172"/>
    </row>
    <row r="990" s="2" customFormat="true" ht="18" hidden="false" customHeight="false" outlineLevel="0" collapsed="false">
      <c r="E990" s="418"/>
      <c r="H990" s="172"/>
      <c r="I990" s="172"/>
      <c r="J990" s="172"/>
    </row>
    <row r="991" s="2" customFormat="true" ht="18" hidden="false" customHeight="false" outlineLevel="0" collapsed="false">
      <c r="E991" s="418"/>
      <c r="H991" s="172"/>
      <c r="I991" s="172"/>
      <c r="J991" s="172"/>
    </row>
    <row r="992" s="2" customFormat="true" ht="18" hidden="false" customHeight="false" outlineLevel="0" collapsed="false">
      <c r="E992" s="418"/>
      <c r="H992" s="172"/>
      <c r="I992" s="172"/>
      <c r="J992" s="172"/>
    </row>
    <row r="993" s="2" customFormat="true" ht="18" hidden="false" customHeight="false" outlineLevel="0" collapsed="false">
      <c r="E993" s="418"/>
      <c r="H993" s="172"/>
      <c r="I993" s="172"/>
      <c r="J993" s="172"/>
    </row>
    <row r="994" s="2" customFormat="true" ht="18" hidden="false" customHeight="false" outlineLevel="0" collapsed="false">
      <c r="E994" s="418"/>
      <c r="H994" s="172"/>
      <c r="I994" s="172"/>
      <c r="J994" s="172"/>
    </row>
    <row r="995" s="2" customFormat="true" ht="18" hidden="false" customHeight="false" outlineLevel="0" collapsed="false">
      <c r="E995" s="418"/>
      <c r="H995" s="172"/>
      <c r="I995" s="172"/>
      <c r="J995" s="172"/>
    </row>
    <row r="996" s="2" customFormat="true" ht="18" hidden="false" customHeight="false" outlineLevel="0" collapsed="false">
      <c r="E996" s="418"/>
      <c r="H996" s="172"/>
      <c r="I996" s="172"/>
      <c r="J996" s="172"/>
    </row>
    <row r="997" s="2" customFormat="true" ht="18" hidden="false" customHeight="false" outlineLevel="0" collapsed="false">
      <c r="E997" s="418"/>
      <c r="H997" s="172"/>
      <c r="I997" s="172"/>
      <c r="J997" s="172"/>
    </row>
    <row r="998" s="2" customFormat="true" ht="18" hidden="false" customHeight="false" outlineLevel="0" collapsed="false">
      <c r="E998" s="418"/>
      <c r="H998" s="172"/>
      <c r="I998" s="172"/>
      <c r="J998" s="172"/>
    </row>
    <row r="999" s="2" customFormat="true" ht="18" hidden="false" customHeight="false" outlineLevel="0" collapsed="false">
      <c r="E999" s="418"/>
      <c r="H999" s="172"/>
      <c r="I999" s="172"/>
      <c r="J999" s="172"/>
    </row>
    <row r="1000" s="2" customFormat="true" ht="18" hidden="false" customHeight="false" outlineLevel="0" collapsed="false">
      <c r="E1000" s="418"/>
      <c r="H1000" s="172"/>
      <c r="I1000" s="172"/>
      <c r="J1000" s="172"/>
    </row>
    <row r="1001" s="2" customFormat="true" ht="18" hidden="false" customHeight="false" outlineLevel="0" collapsed="false">
      <c r="E1001" s="418"/>
      <c r="H1001" s="172"/>
      <c r="I1001" s="172"/>
      <c r="J1001" s="172"/>
    </row>
    <row r="1002" s="2" customFormat="true" ht="18" hidden="false" customHeight="false" outlineLevel="0" collapsed="false">
      <c r="E1002" s="418"/>
      <c r="H1002" s="172"/>
      <c r="I1002" s="172"/>
      <c r="J1002" s="172"/>
    </row>
    <row r="1003" s="2" customFormat="true" ht="18" hidden="false" customHeight="false" outlineLevel="0" collapsed="false">
      <c r="E1003" s="418"/>
      <c r="H1003" s="172"/>
      <c r="I1003" s="172"/>
      <c r="J1003" s="172"/>
    </row>
    <row r="1004" s="2" customFormat="true" ht="18" hidden="false" customHeight="false" outlineLevel="0" collapsed="false">
      <c r="E1004" s="418"/>
      <c r="H1004" s="172"/>
      <c r="I1004" s="172"/>
      <c r="J1004" s="172"/>
    </row>
    <row r="1005" s="2" customFormat="true" ht="18" hidden="false" customHeight="false" outlineLevel="0" collapsed="false">
      <c r="E1005" s="418"/>
      <c r="H1005" s="172"/>
      <c r="I1005" s="172"/>
      <c r="J1005" s="172"/>
    </row>
    <row r="1006" s="2" customFormat="true" ht="18" hidden="false" customHeight="false" outlineLevel="0" collapsed="false">
      <c r="E1006" s="418"/>
      <c r="H1006" s="172"/>
      <c r="I1006" s="172"/>
      <c r="J1006" s="172"/>
    </row>
    <row r="1007" s="2" customFormat="true" ht="18" hidden="false" customHeight="false" outlineLevel="0" collapsed="false">
      <c r="E1007" s="418"/>
      <c r="H1007" s="172"/>
      <c r="I1007" s="172"/>
      <c r="J1007" s="172"/>
    </row>
    <row r="1008" s="2" customFormat="true" ht="18" hidden="false" customHeight="false" outlineLevel="0" collapsed="false">
      <c r="E1008" s="418"/>
      <c r="H1008" s="172"/>
      <c r="I1008" s="172"/>
      <c r="J1008" s="172"/>
    </row>
    <row r="1009" s="2" customFormat="true" ht="18" hidden="false" customHeight="false" outlineLevel="0" collapsed="false">
      <c r="E1009" s="418"/>
      <c r="H1009" s="172"/>
      <c r="I1009" s="172"/>
      <c r="J1009" s="172"/>
    </row>
    <row r="1010" s="2" customFormat="true" ht="18" hidden="false" customHeight="false" outlineLevel="0" collapsed="false">
      <c r="E1010" s="418"/>
      <c r="H1010" s="172"/>
      <c r="I1010" s="172"/>
      <c r="J1010" s="172"/>
    </row>
    <row r="1011" s="2" customFormat="true" ht="18" hidden="false" customHeight="false" outlineLevel="0" collapsed="false">
      <c r="E1011" s="418"/>
      <c r="H1011" s="172"/>
      <c r="I1011" s="172"/>
      <c r="J1011" s="172"/>
    </row>
    <row r="1012" s="2" customFormat="true" ht="18" hidden="false" customHeight="false" outlineLevel="0" collapsed="false">
      <c r="E1012" s="418"/>
      <c r="H1012" s="172"/>
      <c r="I1012" s="172"/>
      <c r="J1012" s="172"/>
    </row>
    <row r="1013" s="2" customFormat="true" ht="18" hidden="false" customHeight="false" outlineLevel="0" collapsed="false">
      <c r="E1013" s="418"/>
      <c r="H1013" s="172"/>
      <c r="I1013" s="172"/>
      <c r="J1013" s="172"/>
    </row>
    <row r="1014" s="2" customFormat="true" ht="18" hidden="false" customHeight="false" outlineLevel="0" collapsed="false">
      <c r="E1014" s="418"/>
      <c r="H1014" s="172"/>
      <c r="I1014" s="172"/>
      <c r="J1014" s="172"/>
    </row>
    <row r="1015" s="2" customFormat="true" ht="18" hidden="false" customHeight="false" outlineLevel="0" collapsed="false">
      <c r="E1015" s="418"/>
      <c r="H1015" s="172"/>
      <c r="I1015" s="172"/>
      <c r="J1015" s="172"/>
    </row>
    <row r="1016" s="2" customFormat="true" ht="18" hidden="false" customHeight="false" outlineLevel="0" collapsed="false">
      <c r="E1016" s="418"/>
      <c r="H1016" s="172"/>
      <c r="I1016" s="172"/>
      <c r="J1016" s="172"/>
    </row>
    <row r="1017" s="2" customFormat="true" ht="18" hidden="false" customHeight="false" outlineLevel="0" collapsed="false">
      <c r="E1017" s="418"/>
      <c r="H1017" s="172"/>
      <c r="I1017" s="172"/>
      <c r="J1017" s="172"/>
    </row>
    <row r="1018" s="2" customFormat="true" ht="18" hidden="false" customHeight="false" outlineLevel="0" collapsed="false">
      <c r="E1018" s="418"/>
      <c r="H1018" s="172"/>
      <c r="I1018" s="172"/>
      <c r="J1018" s="172"/>
    </row>
    <row r="1019" s="2" customFormat="true" ht="18" hidden="false" customHeight="false" outlineLevel="0" collapsed="false">
      <c r="E1019" s="418"/>
      <c r="H1019" s="172"/>
      <c r="I1019" s="172"/>
      <c r="J1019" s="172"/>
    </row>
    <row r="1020" s="2" customFormat="true" ht="18" hidden="false" customHeight="false" outlineLevel="0" collapsed="false">
      <c r="E1020" s="418"/>
      <c r="H1020" s="172"/>
      <c r="I1020" s="172"/>
      <c r="J1020" s="172"/>
    </row>
    <row r="1021" s="2" customFormat="true" ht="18" hidden="false" customHeight="false" outlineLevel="0" collapsed="false">
      <c r="E1021" s="418"/>
      <c r="H1021" s="172"/>
      <c r="I1021" s="172"/>
      <c r="J1021" s="172"/>
    </row>
  </sheetData>
  <mergeCells count="1">
    <mergeCell ref="B4:B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796875" defaultRowHeight="18" zeroHeight="false" outlineLevelRow="0" outlineLevelCol="0"/>
  <cols>
    <col collapsed="false" customWidth="false" hidden="false" outlineLevel="0" max="1" min="1" style="2" width="8.8"/>
    <col collapsed="false" customWidth="true" hidden="false" outlineLevel="0" max="2" min="2" style="2" width="11.2"/>
    <col collapsed="false" customWidth="true" hidden="false" outlineLevel="0" max="3" min="3" style="2" width="17.5"/>
    <col collapsed="false" customWidth="true" hidden="false" outlineLevel="0" max="4" min="4" style="2" width="21.1"/>
    <col collapsed="false" customWidth="true" hidden="false" outlineLevel="0" max="5" min="5" style="418" width="13.4"/>
    <col collapsed="false" customWidth="true" hidden="false" outlineLevel="0" max="6" min="6" style="2" width="11.29"/>
    <col collapsed="false" customWidth="true" hidden="false" outlineLevel="0" max="7" min="7" style="2" width="20.4"/>
    <col collapsed="false" customWidth="true" hidden="false" outlineLevel="0" max="9" min="8" style="172" width="13.4"/>
    <col collapsed="false" customWidth="true" hidden="false" outlineLevel="0" max="10" min="10" style="2" width="34.1"/>
    <col collapsed="false" customWidth="false" hidden="false" outlineLevel="0" max="16384" min="11" style="2" width="8.8"/>
  </cols>
  <sheetData>
    <row r="1" s="2" customFormat="true" ht="18" hidden="false" customHeight="false" outlineLevel="0" collapsed="false"/>
    <row r="2" s="2" customFormat="true" ht="18" hidden="false" customHeight="false" outlineLevel="0" collapsed="false">
      <c r="B2" s="331"/>
      <c r="C2" s="331"/>
    </row>
    <row r="3" customFormat="false" ht="39" hidden="false" customHeight="true" outlineLevel="0" collapsed="false">
      <c r="B3" s="205" t="s">
        <v>303</v>
      </c>
      <c r="C3" s="205" t="s">
        <v>303</v>
      </c>
      <c r="D3" s="396" t="s">
        <v>473</v>
      </c>
      <c r="E3" s="396" t="s">
        <v>474</v>
      </c>
      <c r="F3" s="396" t="s">
        <v>498</v>
      </c>
      <c r="G3" s="396" t="s">
        <v>499</v>
      </c>
      <c r="H3" s="396" t="s">
        <v>462</v>
      </c>
      <c r="I3" s="396" t="s">
        <v>463</v>
      </c>
      <c r="J3" s="175" t="s">
        <v>236</v>
      </c>
    </row>
    <row r="4" customFormat="false" ht="39" hidden="false" customHeight="true" outlineLevel="0" collapsed="false">
      <c r="B4" s="440" t="s">
        <v>185</v>
      </c>
      <c r="C4" s="310" t="s">
        <v>500</v>
      </c>
      <c r="D4" s="309" t="s">
        <v>501</v>
      </c>
      <c r="E4" s="441" t="s">
        <v>199</v>
      </c>
      <c r="F4" s="414" t="s">
        <v>502</v>
      </c>
      <c r="G4" s="309" t="s">
        <v>199</v>
      </c>
      <c r="H4" s="416" t="n">
        <v>981267</v>
      </c>
      <c r="I4" s="416" t="s">
        <v>199</v>
      </c>
      <c r="J4" s="403" t="s">
        <v>503</v>
      </c>
    </row>
    <row r="5" customFormat="false" ht="39" hidden="false" customHeight="true" outlineLevel="0" collapsed="false">
      <c r="B5" s="440" t="s">
        <v>362</v>
      </c>
      <c r="C5" s="310" t="s">
        <v>500</v>
      </c>
      <c r="D5" s="309" t="s">
        <v>504</v>
      </c>
      <c r="E5" s="441" t="s">
        <v>199</v>
      </c>
      <c r="F5" s="414" t="s">
        <v>502</v>
      </c>
      <c r="G5" s="309" t="s">
        <v>505</v>
      </c>
      <c r="H5" s="416" t="n">
        <v>614722</v>
      </c>
      <c r="I5" s="416" t="s">
        <v>199</v>
      </c>
      <c r="J5" s="403" t="s">
        <v>506</v>
      </c>
    </row>
    <row r="6" customFormat="false" ht="19.5" hidden="false" customHeight="true" outlineLevel="0" collapsed="false">
      <c r="B6" s="440" t="s">
        <v>507</v>
      </c>
      <c r="C6" s="310" t="s">
        <v>508</v>
      </c>
      <c r="D6" s="309" t="s">
        <v>509</v>
      </c>
      <c r="E6" s="441" t="s">
        <v>199</v>
      </c>
      <c r="F6" s="414" t="s">
        <v>199</v>
      </c>
      <c r="G6" s="309" t="s">
        <v>510</v>
      </c>
      <c r="H6" s="416" t="n">
        <v>130000</v>
      </c>
      <c r="I6" s="416" t="s">
        <v>199</v>
      </c>
      <c r="J6" s="403" t="s">
        <v>511</v>
      </c>
    </row>
    <row r="7" customFormat="false" ht="22.5" hidden="false" customHeight="true" outlineLevel="0" collapsed="false">
      <c r="B7" s="440" t="s">
        <v>512</v>
      </c>
      <c r="C7" s="310" t="s">
        <v>513</v>
      </c>
      <c r="D7" s="309" t="s">
        <v>514</v>
      </c>
      <c r="E7" s="441" t="s">
        <v>199</v>
      </c>
      <c r="F7" s="414" t="s">
        <v>199</v>
      </c>
      <c r="G7" s="309" t="s">
        <v>515</v>
      </c>
      <c r="H7" s="416" t="n">
        <v>53333</v>
      </c>
      <c r="I7" s="416" t="s">
        <v>199</v>
      </c>
      <c r="J7" s="403" t="s">
        <v>516</v>
      </c>
    </row>
    <row r="8" customFormat="false" ht="22.5" hidden="false" customHeight="true" outlineLevel="0" collapsed="false">
      <c r="B8" s="440" t="s">
        <v>517</v>
      </c>
      <c r="C8" s="310" t="s">
        <v>518</v>
      </c>
      <c r="D8" s="309" t="s">
        <v>519</v>
      </c>
      <c r="E8" s="441" t="s">
        <v>199</v>
      </c>
      <c r="F8" s="414" t="s">
        <v>199</v>
      </c>
      <c r="G8" s="309" t="s">
        <v>520</v>
      </c>
      <c r="H8" s="416" t="n">
        <v>28023</v>
      </c>
      <c r="I8" s="416" t="s">
        <v>199</v>
      </c>
      <c r="J8" s="403" t="s">
        <v>521</v>
      </c>
    </row>
    <row r="9" customFormat="false" ht="22.5" hidden="false" customHeight="true" outlineLevel="0" collapsed="false">
      <c r="B9" s="434"/>
      <c r="C9" s="434"/>
      <c r="D9" s="310"/>
      <c r="E9" s="435"/>
      <c r="F9" s="310"/>
      <c r="G9" s="310"/>
      <c r="H9" s="31"/>
      <c r="I9" s="31"/>
      <c r="J9" s="433"/>
    </row>
    <row r="10" customFormat="false" ht="18" hidden="false" customHeight="false" outlineLevel="0" collapsed="false">
      <c r="G10" s="442"/>
    </row>
    <row r="11" customFormat="false" ht="22.5" hidden="false" customHeight="true" outlineLevel="0" collapsed="false">
      <c r="B11" s="434"/>
      <c r="C11" s="434"/>
      <c r="D11" s="310"/>
      <c r="E11" s="435"/>
      <c r="F11" s="310"/>
      <c r="G11" s="310"/>
      <c r="H11" s="31"/>
      <c r="I11" s="31"/>
      <c r="J11" s="433"/>
    </row>
    <row r="12" customFormat="false" ht="18" hidden="false" customHeight="false" outlineLevel="0" collapsed="false">
      <c r="G12" s="442"/>
    </row>
    <row r="14" s="2" customFormat="true" ht="18" hidden="false" customHeight="false" outlineLevel="0" collapsed="false">
      <c r="B14" s="331"/>
      <c r="C14" s="331"/>
    </row>
    <row r="15" customFormat="false" ht="39" hidden="false" customHeight="true" outlineLevel="0" collapsed="false">
      <c r="B15" s="205"/>
      <c r="C15" s="205"/>
      <c r="D15" s="396"/>
      <c r="E15" s="396"/>
      <c r="F15" s="396"/>
      <c r="G15" s="396"/>
      <c r="H15" s="396"/>
      <c r="I15" s="396"/>
      <c r="J15" s="175"/>
    </row>
    <row r="16" customFormat="false" ht="39" hidden="false" customHeight="true" outlineLevel="0" collapsed="false">
      <c r="B16" s="440"/>
      <c r="C16" s="310"/>
      <c r="D16" s="309"/>
      <c r="E16" s="441"/>
      <c r="F16" s="414"/>
      <c r="G16" s="309"/>
      <c r="H16" s="416"/>
      <c r="I16" s="416"/>
      <c r="J16" s="403"/>
    </row>
    <row r="17" customFormat="false" ht="22.5" hidden="false" customHeight="true" outlineLevel="0" collapsed="false">
      <c r="B17" s="310"/>
      <c r="C17" s="310"/>
      <c r="D17" s="310"/>
      <c r="E17" s="435"/>
      <c r="F17" s="310"/>
      <c r="G17" s="309"/>
      <c r="H17" s="31"/>
      <c r="I17" s="31"/>
      <c r="J17" s="403"/>
    </row>
    <row r="18" customFormat="false" ht="19.5" hidden="false" customHeight="true" outlineLevel="0" collapsed="false">
      <c r="B18" s="310"/>
      <c r="C18" s="310"/>
      <c r="D18" s="310"/>
      <c r="E18" s="443"/>
      <c r="F18" s="311"/>
      <c r="G18" s="310"/>
      <c r="H18" s="31"/>
      <c r="I18" s="31"/>
      <c r="J18" s="433"/>
    </row>
    <row r="19" customFormat="false" ht="22.5" hidden="false" customHeight="true" outlineLevel="0" collapsed="false">
      <c r="B19" s="434"/>
      <c r="C19" s="434"/>
      <c r="D19" s="310"/>
      <c r="E19" s="435"/>
      <c r="F19" s="310"/>
      <c r="G19" s="310"/>
      <c r="H19" s="31"/>
      <c r="I19" s="31"/>
      <c r="J19" s="433"/>
    </row>
    <row r="20" customFormat="false" ht="22.5" hidden="false" customHeight="true" outlineLevel="0" collapsed="false">
      <c r="B20" s="434"/>
      <c r="C20" s="434"/>
      <c r="D20" s="310"/>
      <c r="E20" s="435"/>
      <c r="F20" s="310"/>
      <c r="G20" s="310"/>
      <c r="H20" s="31"/>
      <c r="I20" s="31"/>
      <c r="J20" s="433"/>
    </row>
    <row r="21" customFormat="false" ht="22.5" hidden="false" customHeight="true" outlineLevel="0" collapsed="false">
      <c r="B21" s="434"/>
      <c r="C21" s="434"/>
      <c r="D21" s="310"/>
      <c r="E21" s="435"/>
      <c r="F21" s="310"/>
      <c r="G21" s="310"/>
      <c r="H21" s="31"/>
      <c r="I21" s="31"/>
      <c r="J21" s="43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125" defaultRowHeight="18" zeroHeight="false" outlineLevelRow="0" outlineLevelCol="0"/>
  <cols>
    <col collapsed="false" customWidth="true" hidden="false" outlineLevel="0" max="2" min="2" style="1" width="5.2"/>
    <col collapsed="false" customWidth="true" hidden="false" outlineLevel="0" max="10" min="3" style="20" width="16.1"/>
    <col collapsed="false" customWidth="true" hidden="false" outlineLevel="0" max="11" min="11" style="20" width="55.5"/>
  </cols>
  <sheetData>
    <row r="2" customFormat="false" ht="19.5" hidden="false" customHeight="true" outlineLevel="0" collapsed="false">
      <c r="B2" s="313" t="s">
        <v>223</v>
      </c>
      <c r="C2" s="61" t="s">
        <v>6</v>
      </c>
      <c r="D2" s="174" t="s">
        <v>522</v>
      </c>
      <c r="E2" s="174" t="s">
        <v>523</v>
      </c>
      <c r="F2" s="174" t="s">
        <v>524</v>
      </c>
      <c r="G2" s="174" t="s">
        <v>525</v>
      </c>
      <c r="H2" s="174" t="s">
        <v>526</v>
      </c>
      <c r="I2" s="444" t="s">
        <v>527</v>
      </c>
      <c r="J2" s="444" t="s">
        <v>528</v>
      </c>
      <c r="K2" s="175" t="s">
        <v>529</v>
      </c>
    </row>
    <row r="3" customFormat="false" ht="22.5" hidden="false" customHeight="true" outlineLevel="0" collapsed="false">
      <c r="B3" s="368" t="n">
        <v>1</v>
      </c>
      <c r="C3" s="445" t="s">
        <v>35</v>
      </c>
      <c r="D3" s="445" t="s">
        <v>530</v>
      </c>
      <c r="E3" s="445" t="s">
        <v>531</v>
      </c>
      <c r="F3" s="402" t="n">
        <v>2021</v>
      </c>
      <c r="G3" s="402" t="n">
        <v>3</v>
      </c>
      <c r="H3" s="402" t="n">
        <v>47</v>
      </c>
      <c r="I3" s="402" t="n">
        <v>61053652</v>
      </c>
      <c r="J3" s="402" t="n">
        <v>25569001</v>
      </c>
      <c r="K3" s="403"/>
    </row>
    <row r="4" customFormat="false" ht="22.5" hidden="false" customHeight="true" outlineLevel="0" collapsed="false">
      <c r="B4" s="404" t="n">
        <v>2</v>
      </c>
      <c r="C4" s="446" t="s">
        <v>35</v>
      </c>
      <c r="D4" s="446" t="s">
        <v>532</v>
      </c>
      <c r="E4" s="446" t="s">
        <v>531</v>
      </c>
      <c r="F4" s="376" t="n">
        <v>2010</v>
      </c>
      <c r="G4" s="376" t="n">
        <v>12</v>
      </c>
      <c r="H4" s="376" t="n">
        <v>39</v>
      </c>
      <c r="I4" s="376" t="n">
        <v>198526810</v>
      </c>
      <c r="J4" s="447" t="n">
        <v>92242941</v>
      </c>
      <c r="K4" s="408"/>
    </row>
    <row r="5" customFormat="false" ht="22.5" hidden="false" customHeight="true" outlineLevel="0" collapsed="false">
      <c r="B5" s="368" t="n">
        <v>3</v>
      </c>
      <c r="C5" s="446" t="s">
        <v>35</v>
      </c>
      <c r="D5" s="446" t="s">
        <v>533</v>
      </c>
      <c r="E5" s="446" t="s">
        <v>531</v>
      </c>
      <c r="F5" s="376" t="n">
        <v>2018</v>
      </c>
      <c r="G5" s="376" t="n">
        <v>1</v>
      </c>
      <c r="H5" s="376" t="n">
        <v>39</v>
      </c>
      <c r="I5" s="376" t="n">
        <v>1157408</v>
      </c>
      <c r="J5" s="447" t="n">
        <v>909149</v>
      </c>
      <c r="K5" s="411"/>
    </row>
    <row r="6" customFormat="false" ht="22.5" hidden="false" customHeight="true" outlineLevel="0" collapsed="false">
      <c r="B6" s="404" t="n">
        <v>4</v>
      </c>
      <c r="C6" s="446" t="s">
        <v>36</v>
      </c>
      <c r="D6" s="446" t="s">
        <v>534</v>
      </c>
      <c r="E6" s="446" t="s">
        <v>531</v>
      </c>
      <c r="F6" s="376" t="n">
        <v>2025</v>
      </c>
      <c r="G6" s="376" t="n">
        <v>10</v>
      </c>
      <c r="H6" s="376" t="n">
        <v>15</v>
      </c>
      <c r="I6" s="376" t="n">
        <v>5345456</v>
      </c>
      <c r="J6" s="447" t="n">
        <v>5166384</v>
      </c>
      <c r="K6" s="411"/>
    </row>
    <row r="7" customFormat="false" ht="22.5" hidden="false" customHeight="true" outlineLevel="0" collapsed="false">
      <c r="B7" s="404" t="n">
        <v>5</v>
      </c>
      <c r="C7" s="446" t="s">
        <v>36</v>
      </c>
      <c r="D7" s="446" t="s">
        <v>535</v>
      </c>
      <c r="E7" s="446" t="s">
        <v>531</v>
      </c>
      <c r="F7" s="376" t="n">
        <v>2022</v>
      </c>
      <c r="G7" s="376" t="n">
        <v>1</v>
      </c>
      <c r="H7" s="376" t="n">
        <v>15</v>
      </c>
      <c r="I7" s="376" t="n">
        <v>6370320</v>
      </c>
      <c r="J7" s="447" t="n">
        <v>4556374</v>
      </c>
      <c r="K7" s="408"/>
    </row>
    <row r="8" customFormat="false" ht="22.5" hidden="false" customHeight="true" outlineLevel="0" collapsed="false">
      <c r="B8" s="404" t="n">
        <v>6</v>
      </c>
      <c r="C8" s="446" t="s">
        <v>36</v>
      </c>
      <c r="D8" s="446" t="s">
        <v>536</v>
      </c>
      <c r="E8" s="446" t="s">
        <v>531</v>
      </c>
      <c r="F8" s="376" t="n">
        <v>2025</v>
      </c>
      <c r="G8" s="376" t="n">
        <v>3</v>
      </c>
      <c r="H8" s="376" t="n">
        <v>15</v>
      </c>
      <c r="I8" s="376" t="n">
        <v>4822473</v>
      </c>
      <c r="J8" s="447" t="n">
        <v>4472443</v>
      </c>
      <c r="K8" s="408"/>
    </row>
    <row r="9" customFormat="false" ht="22.5" hidden="false" customHeight="true" outlineLevel="0" collapsed="false">
      <c r="B9" s="404" t="n">
        <v>7</v>
      </c>
      <c r="C9" s="446" t="s">
        <v>36</v>
      </c>
      <c r="D9" s="446" t="s">
        <v>537</v>
      </c>
      <c r="E9" s="446" t="s">
        <v>531</v>
      </c>
      <c r="F9" s="376" t="n">
        <v>2020</v>
      </c>
      <c r="G9" s="376" t="n">
        <v>11</v>
      </c>
      <c r="H9" s="376" t="n">
        <v>15</v>
      </c>
      <c r="I9" s="376" t="n">
        <v>2980706</v>
      </c>
      <c r="J9" s="447" t="n">
        <v>1898960</v>
      </c>
      <c r="K9" s="408"/>
    </row>
    <row r="10" customFormat="false" ht="22.5" hidden="false" customHeight="true" outlineLevel="0" collapsed="false">
      <c r="B10" s="404" t="n">
        <v>8</v>
      </c>
      <c r="C10" s="446" t="s">
        <v>36</v>
      </c>
      <c r="D10" s="446" t="s">
        <v>538</v>
      </c>
      <c r="E10" s="446" t="s">
        <v>531</v>
      </c>
      <c r="F10" s="376" t="n">
        <v>2016</v>
      </c>
      <c r="G10" s="376" t="n">
        <v>10</v>
      </c>
      <c r="H10" s="376" t="n">
        <v>15</v>
      </c>
      <c r="I10" s="376" t="n">
        <v>4985956</v>
      </c>
      <c r="J10" s="447" t="n">
        <v>1812396</v>
      </c>
      <c r="K10" s="408"/>
    </row>
    <row r="11" customFormat="false" ht="22.5" hidden="false" customHeight="true" outlineLevel="0" collapsed="false">
      <c r="B11" s="404" t="n">
        <v>9</v>
      </c>
      <c r="C11" s="446" t="s">
        <v>36</v>
      </c>
      <c r="D11" s="446" t="s">
        <v>539</v>
      </c>
      <c r="E11" s="446" t="s">
        <v>540</v>
      </c>
      <c r="F11" s="376" t="n">
        <v>2010</v>
      </c>
      <c r="G11" s="376" t="n">
        <v>12</v>
      </c>
      <c r="H11" s="376" t="n">
        <v>15</v>
      </c>
      <c r="I11" s="376" t="n">
        <v>23197737</v>
      </c>
      <c r="J11" s="447" t="n">
        <v>617007</v>
      </c>
      <c r="K11" s="408"/>
    </row>
    <row r="12" customFormat="false" ht="22.5" hidden="false" customHeight="true" outlineLevel="0" collapsed="false">
      <c r="B12" s="404" t="n">
        <v>10</v>
      </c>
      <c r="C12" s="446" t="s">
        <v>36</v>
      </c>
      <c r="D12" s="446" t="s">
        <v>541</v>
      </c>
      <c r="E12" s="446" t="s">
        <v>531</v>
      </c>
      <c r="F12" s="376" t="n">
        <v>2016</v>
      </c>
      <c r="G12" s="376" t="n">
        <v>10</v>
      </c>
      <c r="H12" s="376" t="n">
        <v>15</v>
      </c>
      <c r="I12" s="376" t="n">
        <v>1650096</v>
      </c>
      <c r="J12" s="447" t="n">
        <v>599814</v>
      </c>
      <c r="K12" s="408"/>
    </row>
    <row r="13" s="387" customFormat="true" ht="22.5" hidden="false" customHeight="true" outlineLevel="0" collapsed="false">
      <c r="B13" s="404" t="n">
        <v>11</v>
      </c>
      <c r="C13" s="446" t="s">
        <v>36</v>
      </c>
      <c r="D13" s="446" t="s">
        <v>542</v>
      </c>
      <c r="E13" s="446" t="s">
        <v>531</v>
      </c>
      <c r="F13" s="376" t="n">
        <v>2016</v>
      </c>
      <c r="G13" s="376" t="n">
        <v>10</v>
      </c>
      <c r="H13" s="376" t="n">
        <v>15</v>
      </c>
      <c r="I13" s="376" t="n">
        <v>1166730</v>
      </c>
      <c r="J13" s="447" t="n">
        <v>424115</v>
      </c>
      <c r="K13" s="408"/>
    </row>
    <row r="14" customFormat="false" ht="22.5" hidden="false" customHeight="true" outlineLevel="0" collapsed="false">
      <c r="B14" s="404" t="n">
        <v>12</v>
      </c>
      <c r="C14" s="446" t="s">
        <v>194</v>
      </c>
      <c r="D14" s="298" t="s">
        <v>543</v>
      </c>
      <c r="E14" s="446" t="s">
        <v>540</v>
      </c>
      <c r="F14" s="376" t="n">
        <v>2025</v>
      </c>
      <c r="G14" s="376" t="n">
        <v>7</v>
      </c>
      <c r="H14" s="376" t="n">
        <v>6</v>
      </c>
      <c r="I14" s="376" t="n">
        <v>4565855</v>
      </c>
      <c r="J14" s="447" t="n">
        <v>3425533</v>
      </c>
      <c r="K14" s="408"/>
    </row>
    <row r="15" customFormat="false" ht="22.5" hidden="false" customHeight="true" outlineLevel="0" collapsed="false">
      <c r="B15" s="404" t="n">
        <v>13</v>
      </c>
      <c r="C15" s="446" t="s">
        <v>194</v>
      </c>
      <c r="D15" s="446" t="s">
        <v>544</v>
      </c>
      <c r="E15" s="446" t="s">
        <v>531</v>
      </c>
      <c r="F15" s="376" t="n">
        <v>2024</v>
      </c>
      <c r="G15" s="376" t="n">
        <v>10</v>
      </c>
      <c r="H15" s="376" t="n">
        <v>4</v>
      </c>
      <c r="I15" s="376" t="n">
        <v>3151000</v>
      </c>
      <c r="J15" s="447" t="n">
        <v>1969375</v>
      </c>
      <c r="K15" s="408"/>
    </row>
    <row r="16" customFormat="false" ht="22.5" hidden="false" customHeight="true" outlineLevel="0" collapsed="false">
      <c r="B16" s="404" t="n">
        <v>14</v>
      </c>
      <c r="C16" s="446" t="s">
        <v>40</v>
      </c>
      <c r="D16" s="446" t="s">
        <v>545</v>
      </c>
      <c r="E16" s="446" t="s">
        <v>540</v>
      </c>
      <c r="F16" s="376" t="n">
        <v>2025</v>
      </c>
      <c r="G16" s="376" t="n">
        <v>5</v>
      </c>
      <c r="H16" s="376" t="n">
        <v>3</v>
      </c>
      <c r="I16" s="376" t="n">
        <v>908000</v>
      </c>
      <c r="J16" s="447" t="n">
        <v>352834</v>
      </c>
      <c r="K16" s="408"/>
    </row>
    <row r="17" customFormat="false" ht="22.5" hidden="false" customHeight="true" outlineLevel="0" collapsed="false">
      <c r="B17" s="404" t="n">
        <v>15</v>
      </c>
      <c r="C17" s="446" t="s">
        <v>40</v>
      </c>
      <c r="D17" s="446" t="s">
        <v>546</v>
      </c>
      <c r="E17" s="446" t="s">
        <v>540</v>
      </c>
      <c r="F17" s="376" t="n">
        <v>2021</v>
      </c>
      <c r="G17" s="376" t="n">
        <v>5</v>
      </c>
      <c r="H17" s="376" t="n">
        <v>15</v>
      </c>
      <c r="I17" s="376" t="n">
        <v>473800</v>
      </c>
      <c r="J17" s="447" t="n">
        <v>235077</v>
      </c>
      <c r="K17" s="408"/>
    </row>
    <row r="18" customFormat="false" ht="22.5" hidden="false" customHeight="true" outlineLevel="0" collapsed="false">
      <c r="B18" s="404" t="n">
        <v>16</v>
      </c>
      <c r="C18" s="446" t="s">
        <v>40</v>
      </c>
      <c r="D18" s="446" t="s">
        <v>547</v>
      </c>
      <c r="E18" s="446" t="s">
        <v>540</v>
      </c>
      <c r="F18" s="376" t="n">
        <v>2025</v>
      </c>
      <c r="G18" s="376" t="n">
        <v>1</v>
      </c>
      <c r="H18" s="376" t="n">
        <v>6</v>
      </c>
      <c r="I18" s="376" t="n">
        <v>462982</v>
      </c>
      <c r="J18" s="447" t="n">
        <v>320833</v>
      </c>
      <c r="K18" s="408"/>
    </row>
    <row r="19" customFormat="false" ht="22.5" hidden="false" customHeight="true" outlineLevel="0" collapsed="false">
      <c r="B19" s="404" t="n">
        <v>17</v>
      </c>
      <c r="C19" s="446"/>
      <c r="D19" s="446" t="s">
        <v>548</v>
      </c>
      <c r="E19" s="446" t="s">
        <v>19</v>
      </c>
      <c r="F19" s="431" t="s">
        <v>19</v>
      </c>
      <c r="G19" s="431" t="s">
        <v>19</v>
      </c>
      <c r="H19" s="431" t="s">
        <v>19</v>
      </c>
      <c r="I19" s="431" t="s">
        <v>19</v>
      </c>
      <c r="J19" s="447" t="n">
        <v>15</v>
      </c>
      <c r="K19" s="408" t="s">
        <v>549</v>
      </c>
    </row>
    <row r="20" customFormat="false" ht="22.5" hidden="false" customHeight="true" outlineLevel="0" collapsed="false">
      <c r="B20" s="368"/>
      <c r="C20" s="446"/>
      <c r="D20" s="446"/>
      <c r="E20" s="446"/>
      <c r="F20" s="431"/>
      <c r="G20" s="431"/>
      <c r="H20" s="431"/>
      <c r="I20" s="431"/>
      <c r="J20" s="447"/>
      <c r="K20" s="411"/>
    </row>
    <row r="21" customFormat="false" ht="22.5" hidden="false" customHeight="true" outlineLevel="0" collapsed="false">
      <c r="B21" s="404"/>
      <c r="C21" s="446"/>
      <c r="D21" s="446"/>
      <c r="E21" s="446"/>
      <c r="F21" s="431"/>
      <c r="G21" s="431"/>
      <c r="H21" s="431"/>
      <c r="I21" s="431"/>
      <c r="J21" s="447"/>
      <c r="K21" s="411"/>
    </row>
    <row r="22" s="387" customFormat="true" ht="22.5" hidden="false" customHeight="true" outlineLevel="0" collapsed="false">
      <c r="B22" s="448"/>
      <c r="C22" s="449"/>
      <c r="D22" s="449"/>
      <c r="E22" s="449"/>
      <c r="F22" s="450"/>
      <c r="G22" s="450"/>
      <c r="H22" s="450"/>
      <c r="I22" s="450"/>
      <c r="J22" s="450"/>
      <c r="K22" s="45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796875" defaultRowHeight="18" zeroHeight="false" outlineLevelRow="0" outlineLevelCol="0"/>
  <cols>
    <col collapsed="false" customWidth="false" hidden="false" outlineLevel="0" max="1" min="1" style="6" width="8.8"/>
    <col collapsed="false" customWidth="true" hidden="false" outlineLevel="0" max="5" min="2" style="6" width="16.1"/>
    <col collapsed="false" customWidth="true" hidden="false" outlineLevel="0" max="6" min="6" style="6" width="55.5"/>
    <col collapsed="false" customWidth="false" hidden="false" outlineLevel="0" max="16384" min="7" style="6" width="8.8"/>
  </cols>
  <sheetData>
    <row r="1" customFormat="false" ht="18" hidden="false" customHeight="false" outlineLevel="0" collapsed="false">
      <c r="B1" s="452"/>
    </row>
    <row r="2" customFormat="false" ht="19.5" hidden="false" customHeight="true" outlineLevel="0" collapsed="false">
      <c r="B2" s="453" t="s">
        <v>550</v>
      </c>
      <c r="C2" s="454"/>
      <c r="D2" s="454"/>
      <c r="E2" s="454"/>
      <c r="F2" s="454"/>
    </row>
    <row r="3" customFormat="false" ht="22.5" hidden="false" customHeight="true" outlineLevel="0" collapsed="false">
      <c r="B3" s="455"/>
      <c r="C3" s="456"/>
      <c r="D3" s="456"/>
      <c r="E3" s="456"/>
      <c r="F3" s="194"/>
    </row>
    <row r="4" customFormat="false" ht="22.5" hidden="false" customHeight="true" outlineLevel="0" collapsed="false">
      <c r="B4" s="457"/>
      <c r="C4" s="456"/>
      <c r="D4" s="456"/>
      <c r="E4" s="456"/>
      <c r="F4" s="194"/>
    </row>
    <row r="5" customFormat="false" ht="22.5" hidden="false" customHeight="true" outlineLevel="0" collapsed="false">
      <c r="B5" s="455"/>
      <c r="C5" s="456"/>
      <c r="D5" s="456"/>
      <c r="E5" s="456"/>
      <c r="F5" s="458"/>
    </row>
    <row r="6" customFormat="false" ht="22.5" hidden="false" customHeight="true" outlineLevel="0" collapsed="false">
      <c r="B6" s="455"/>
      <c r="C6" s="456"/>
      <c r="D6" s="456"/>
      <c r="E6" s="456"/>
      <c r="F6" s="458"/>
    </row>
    <row r="7" customFormat="false" ht="22.5" hidden="false" customHeight="true" outlineLevel="0" collapsed="false">
      <c r="B7" s="455"/>
      <c r="C7" s="456"/>
      <c r="D7" s="456"/>
      <c r="E7" s="456"/>
      <c r="F7" s="458"/>
    </row>
    <row r="8" customFormat="false" ht="22.5" hidden="false" customHeight="true" outlineLevel="0" collapsed="false">
      <c r="B8" s="455"/>
      <c r="C8" s="456"/>
      <c r="D8" s="456"/>
      <c r="E8" s="456"/>
      <c r="F8" s="458"/>
    </row>
    <row r="11" customFormat="false" ht="19.5" hidden="false" customHeight="true" outlineLevel="0" collapsed="false">
      <c r="B11" s="454"/>
      <c r="C11" s="454"/>
      <c r="D11" s="454"/>
      <c r="E11" s="454"/>
      <c r="F11" s="454"/>
    </row>
    <row r="12" customFormat="false" ht="19.5" hidden="false" customHeight="true" outlineLevel="0" collapsed="false">
      <c r="B12" s="459"/>
      <c r="C12" s="456"/>
      <c r="D12" s="456"/>
      <c r="E12" s="456"/>
      <c r="F12" s="194"/>
    </row>
    <row r="13" customFormat="false" ht="19.5" hidden="false" customHeight="true" outlineLevel="0" collapsed="false">
      <c r="B13" s="459"/>
      <c r="C13" s="456"/>
      <c r="D13" s="456"/>
      <c r="E13" s="456"/>
      <c r="F13" s="194"/>
    </row>
    <row r="14" customFormat="false" ht="19.5" hidden="false" customHeight="true" outlineLevel="0" collapsed="false">
      <c r="B14" s="459"/>
      <c r="C14" s="456"/>
      <c r="D14" s="456"/>
      <c r="E14" s="456"/>
      <c r="F14" s="458"/>
    </row>
    <row r="15" customFormat="false" ht="19.5" hidden="false" customHeight="true" outlineLevel="0" collapsed="false">
      <c r="B15" s="459"/>
      <c r="C15" s="456"/>
      <c r="D15" s="456"/>
      <c r="E15" s="456"/>
      <c r="F15" s="458"/>
    </row>
    <row r="16" customFormat="false" ht="19.5" hidden="false" customHeight="true" outlineLevel="0" collapsed="false">
      <c r="B16" s="459"/>
      <c r="C16" s="456"/>
      <c r="D16" s="456"/>
      <c r="E16" s="456"/>
      <c r="F16" s="458"/>
    </row>
    <row r="17" customFormat="false" ht="19.5" hidden="false" customHeight="true" outlineLevel="0" collapsed="false">
      <c r="B17" s="459"/>
      <c r="C17" s="456"/>
      <c r="D17" s="456"/>
      <c r="E17" s="456"/>
      <c r="F17" s="458"/>
    </row>
    <row r="20" customFormat="false" ht="19.5" hidden="false" customHeight="true" outlineLevel="0" collapsed="false">
      <c r="B20" s="454"/>
      <c r="C20" s="454"/>
      <c r="D20" s="454"/>
      <c r="E20" s="454"/>
    </row>
    <row r="21" customFormat="false" ht="18" hidden="false" customHeight="false" outlineLevel="0" collapsed="false">
      <c r="B21" s="459"/>
      <c r="C21" s="456"/>
      <c r="D21" s="460"/>
      <c r="E21" s="456"/>
    </row>
    <row r="22" customFormat="false" ht="18" hidden="false" customHeight="false" outlineLevel="0" collapsed="false">
      <c r="B22" s="459"/>
      <c r="C22" s="456"/>
      <c r="D22" s="460"/>
      <c r="E22" s="456"/>
    </row>
    <row r="23" customFormat="false" ht="18" hidden="false" customHeight="false" outlineLevel="0" collapsed="false">
      <c r="B23" s="459"/>
      <c r="C23" s="456"/>
      <c r="D23" s="460"/>
      <c r="E23" s="456"/>
    </row>
    <row r="24" customFormat="false" ht="18" hidden="false" customHeight="false" outlineLevel="0" collapsed="false">
      <c r="B24" s="459"/>
      <c r="C24" s="456"/>
      <c r="D24" s="460"/>
      <c r="E24" s="456"/>
    </row>
    <row r="25" customFormat="false" ht="18" hidden="false" customHeight="false" outlineLevel="0" collapsed="false">
      <c r="B25" s="459"/>
      <c r="C25" s="456"/>
      <c r="D25" s="460"/>
      <c r="E25" s="456"/>
    </row>
    <row r="26" customFormat="false" ht="18" hidden="false" customHeight="false" outlineLevel="0" collapsed="false">
      <c r="B26" s="459"/>
      <c r="C26" s="456"/>
      <c r="D26" s="460"/>
      <c r="E26" s="456"/>
    </row>
    <row r="29" customFormat="false" ht="19.5" hidden="false" customHeight="true" outlineLevel="0" collapsed="false">
      <c r="B29" s="454"/>
      <c r="C29" s="454"/>
      <c r="D29" s="454"/>
      <c r="E29" s="454"/>
    </row>
    <row r="30" customFormat="false" ht="18" hidden="false" customHeight="false" outlineLevel="0" collapsed="false">
      <c r="B30" s="459"/>
      <c r="C30" s="456"/>
      <c r="D30" s="456"/>
      <c r="E30" s="456"/>
    </row>
    <row r="31" customFormat="false" ht="18" hidden="false" customHeight="false" outlineLevel="0" collapsed="false">
      <c r="B31" s="459"/>
      <c r="C31" s="456"/>
      <c r="D31" s="456"/>
      <c r="E31" s="456"/>
    </row>
    <row r="32" customFormat="false" ht="18" hidden="false" customHeight="false" outlineLevel="0" collapsed="false">
      <c r="B32" s="459"/>
      <c r="C32" s="456"/>
      <c r="D32" s="456"/>
      <c r="E32" s="456"/>
    </row>
    <row r="33" customFormat="false" ht="18" hidden="false" customHeight="false" outlineLevel="0" collapsed="false">
      <c r="B33" s="459"/>
      <c r="C33" s="456"/>
      <c r="D33" s="456"/>
      <c r="E33" s="456"/>
    </row>
    <row r="34" customFormat="false" ht="18" hidden="false" customHeight="false" outlineLevel="0" collapsed="false">
      <c r="B34" s="459"/>
      <c r="C34" s="460"/>
      <c r="D34" s="460"/>
      <c r="E34" s="460"/>
    </row>
    <row r="35" customFormat="false" ht="18" hidden="false" customHeight="false" outlineLevel="0" collapsed="false">
      <c r="B35" s="459"/>
      <c r="C35" s="460"/>
      <c r="D35" s="460"/>
      <c r="E35" s="460"/>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A1:A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K16" activeCellId="0" sqref="K16"/>
    </sheetView>
  </sheetViews>
  <sheetFormatPr defaultColWidth="8.53125" defaultRowHeight="18" zeroHeight="false" outlineLevelRow="0" outlineLevelCol="0"/>
  <cols>
    <col collapsed="false" customWidth="true" hidden="false" outlineLevel="0" max="1" min="1" style="20" width="160"/>
  </cols>
  <sheetData>
    <row r="1" customFormat="false" ht="18" hidden="false" customHeight="false" outlineLevel="0" collapsed="false">
      <c r="A1" s="461" t="s">
        <v>551</v>
      </c>
    </row>
    <row r="2" customFormat="false" ht="15.65" hidden="false" customHeight="false" outlineLevel="0" collapsed="false">
      <c r="A2" s="20" t="s">
        <v>552</v>
      </c>
    </row>
    <row r="3" customFormat="false" ht="15.65" hidden="false" customHeight="false" outlineLevel="0" collapsed="false">
      <c r="A3" s="20" t="s">
        <v>553</v>
      </c>
    </row>
    <row r="4" customFormat="false" ht="15.65" hidden="false" customHeight="false" outlineLevel="0" collapsed="false">
      <c r="A4" s="20" t="s">
        <v>554</v>
      </c>
    </row>
    <row r="5" customFormat="false" ht="15.65" hidden="false" customHeight="false" outlineLevel="0" collapsed="false">
      <c r="A5" s="20" t="s">
        <v>555</v>
      </c>
    </row>
    <row r="6" customFormat="false" ht="15.65" hidden="false" customHeight="false" outlineLevel="0" collapsed="false">
      <c r="A6" s="20" t="s">
        <v>556</v>
      </c>
    </row>
    <row r="7" customFormat="false" ht="15.65" hidden="false" customHeight="false" outlineLevel="0" collapsed="false">
      <c r="A7" s="20" t="s">
        <v>557</v>
      </c>
    </row>
    <row r="8" customFormat="false" ht="15.65" hidden="false" customHeight="false" outlineLevel="0" collapsed="false">
      <c r="A8" s="20" t="s">
        <v>558</v>
      </c>
    </row>
    <row r="9" customFormat="false" ht="15.65" hidden="false" customHeight="false" outlineLevel="0" collapsed="false">
      <c r="A9" s="20" t="s">
        <v>559</v>
      </c>
    </row>
    <row r="10" customFormat="false" ht="15.65" hidden="false" customHeight="false" outlineLevel="0" collapsed="false">
      <c r="A10" s="20" t="s">
        <v>560</v>
      </c>
    </row>
    <row r="11" customFormat="false" ht="15.65" hidden="false" customHeight="false" outlineLevel="0" collapsed="false">
      <c r="A11" s="20" t="s">
        <v>561</v>
      </c>
    </row>
    <row r="12" customFormat="false" ht="15.65" hidden="false" customHeight="false" outlineLevel="0" collapsed="false">
      <c r="A12" s="20" t="s">
        <v>562</v>
      </c>
    </row>
    <row r="13" customFormat="false" ht="15.65" hidden="false" customHeight="false" outlineLevel="0" collapsed="false">
      <c r="A13" s="20" t="s">
        <v>563</v>
      </c>
    </row>
    <row r="14" customFormat="false" ht="15.65" hidden="false" customHeight="false" outlineLevel="0" collapsed="false">
      <c r="A14" s="20" t="s">
        <v>564</v>
      </c>
    </row>
    <row r="15" customFormat="false" ht="15.65" hidden="false" customHeight="false" outlineLevel="0" collapsed="false">
      <c r="A15" s="20" t="s">
        <v>565</v>
      </c>
    </row>
    <row r="16" customFormat="false" ht="15.65" hidden="false" customHeight="false" outlineLevel="0" collapsed="false">
      <c r="A16" s="20" t="s">
        <v>566</v>
      </c>
    </row>
    <row r="17" customFormat="false" ht="15.65" hidden="false" customHeight="false" outlineLevel="0" collapsed="false">
      <c r="A17" s="20" t="s">
        <v>567</v>
      </c>
    </row>
    <row r="19" customFormat="false" ht="15.65" hidden="false" customHeight="false" outlineLevel="0" collapsed="false">
      <c r="A19" s="461" t="s">
        <v>568</v>
      </c>
    </row>
    <row r="20" customFormat="false" ht="15.65" hidden="false" customHeight="false" outlineLevel="0" collapsed="false">
      <c r="A20" s="461" t="s">
        <v>569</v>
      </c>
    </row>
    <row r="21" customFormat="false" ht="15.65" hidden="false" customHeight="false" outlineLevel="0" collapsed="false">
      <c r="A21" s="461" t="s">
        <v>570</v>
      </c>
    </row>
    <row r="22" customFormat="false" ht="15.65" hidden="false" customHeight="false" outlineLevel="0" collapsed="false">
      <c r="A22" s="20" t="s">
        <v>571</v>
      </c>
    </row>
    <row r="24" customFormat="false" ht="18" hidden="false" customHeight="false" outlineLevel="0" collapsed="false">
      <c r="A24" s="461" t="s">
        <v>572</v>
      </c>
    </row>
    <row r="25" customFormat="false" ht="15.65" hidden="false" customHeight="false" outlineLevel="0" collapsed="false">
      <c r="A25" s="461" t="s">
        <v>573</v>
      </c>
    </row>
    <row r="26" customFormat="false" ht="15.65" hidden="false" customHeight="false" outlineLevel="0" collapsed="false">
      <c r="A26" s="461" t="s">
        <v>574</v>
      </c>
    </row>
    <row r="27" customFormat="false" ht="15.65" hidden="false" customHeight="false" outlineLevel="0" collapsed="false">
      <c r="A27" s="461" t="s">
        <v>575</v>
      </c>
    </row>
    <row r="28" customFormat="false" ht="15.65" hidden="false" customHeight="false" outlineLevel="0" collapsed="false">
      <c r="A28" s="461" t="s">
        <v>576</v>
      </c>
    </row>
    <row r="29" customFormat="false" ht="15.65" hidden="false" customHeight="false" outlineLevel="0" collapsed="false">
      <c r="A29" s="461" t="s">
        <v>577</v>
      </c>
    </row>
    <row r="30" customFormat="false" ht="18" hidden="false" customHeight="false" outlineLevel="0" collapsed="false">
      <c r="A30" s="461" t="s">
        <v>578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2026-10-13T12:09:54Z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