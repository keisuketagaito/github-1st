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Override PartName="/xl/charts/style1.xml" ContentType="application/vnd.ms-office.chartstyle+xml"/>
  <Override PartName="/xl/charts/colors1.xml" ContentType="application/vnd.ms-office.chartcolorstyle+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10" yWindow="-16320" windowWidth="29040" windowHeight="15720" tabRatio="600" firstSheet="0" activeTab="0" autoFilterDateGrouping="1"/>
  </bookViews>
  <sheets>
    <sheet xmlns:r="http://schemas.openxmlformats.org/officeDocument/2006/relationships" name="ルール" sheetId="1" state="visible" r:id="rId1"/>
    <sheet xmlns:r="http://schemas.openxmlformats.org/officeDocument/2006/relationships" name="財務入力→" sheetId="2" state="visible" r:id="rId2"/>
    <sheet xmlns:r="http://schemas.openxmlformats.org/officeDocument/2006/relationships" name="BS(借方)" sheetId="3" state="visible" r:id="rId3"/>
    <sheet xmlns:r="http://schemas.openxmlformats.org/officeDocument/2006/relationships" name="BS (貸方)" sheetId="4" state="visible" r:id="rId4"/>
    <sheet xmlns:r="http://schemas.openxmlformats.org/officeDocument/2006/relationships" name="PL" sheetId="5" state="visible" r:id="rId5"/>
    <sheet xmlns:r="http://schemas.openxmlformats.org/officeDocument/2006/relationships" name="CR" sheetId="6" state="visible" r:id="rId6"/>
    <sheet xmlns:r="http://schemas.openxmlformats.org/officeDocument/2006/relationships" name="SGA" sheetId="7" state="visible" r:id="rId7"/>
    <sheet xmlns:r="http://schemas.openxmlformats.org/officeDocument/2006/relationships" name="VR→ " sheetId="8" state="visible" r:id="rId8"/>
    <sheet xmlns:r="http://schemas.openxmlformats.org/officeDocument/2006/relationships" name="株式価値 " sheetId="9" state="visible" r:id="rId9"/>
    <sheet xmlns:r="http://schemas.openxmlformats.org/officeDocument/2006/relationships" name="修正BS(借方)" sheetId="10" state="visible" r:id="rId10"/>
    <sheet xmlns:r="http://schemas.openxmlformats.org/officeDocument/2006/relationships" name="売掛・棚卸" sheetId="11" state="visible" r:id="rId11"/>
    <sheet xmlns:r="http://schemas.openxmlformats.org/officeDocument/2006/relationships" name="減価償却" sheetId="12" state="visible" r:id="rId12"/>
    <sheet xmlns:r="http://schemas.openxmlformats.org/officeDocument/2006/relationships" name="土地" sheetId="13" state="visible" r:id="rId13"/>
    <sheet xmlns:r="http://schemas.openxmlformats.org/officeDocument/2006/relationships" name="保険" sheetId="14" state="visible" r:id="rId14"/>
    <sheet xmlns:r="http://schemas.openxmlformats.org/officeDocument/2006/relationships" name="有価証券" sheetId="15" state="visible" r:id="rId15"/>
    <sheet xmlns:r="http://schemas.openxmlformats.org/officeDocument/2006/relationships" name="敷金保証金" sheetId="16" state="visible" r:id="rId16"/>
    <sheet xmlns:r="http://schemas.openxmlformats.org/officeDocument/2006/relationships" name="修正BS(貸方) " sheetId="17" state="visible" r:id="rId17"/>
    <sheet xmlns:r="http://schemas.openxmlformats.org/officeDocument/2006/relationships" name="未払人件費・賞与" sheetId="18" state="visible" r:id="rId18"/>
    <sheet xmlns:r="http://schemas.openxmlformats.org/officeDocument/2006/relationships" name="退職金" sheetId="19" state="visible" r:id="rId19"/>
    <sheet xmlns:r="http://schemas.openxmlformats.org/officeDocument/2006/relationships" name="税効果" sheetId="20" state="visible" r:id="rId20"/>
    <sheet xmlns:r="http://schemas.openxmlformats.org/officeDocument/2006/relationships" name="ネットキャッシュ" sheetId="21" state="visible" r:id="rId21"/>
    <sheet xmlns:r="http://schemas.openxmlformats.org/officeDocument/2006/relationships" name="修正PL" sheetId="22" state="visible" r:id="rId22"/>
    <sheet xmlns:r="http://schemas.openxmlformats.org/officeDocument/2006/relationships" name="修正SGA" sheetId="23" state="visible" r:id="rId23"/>
    <sheet xmlns:r="http://schemas.openxmlformats.org/officeDocument/2006/relationships" name="修正CR" sheetId="24" state="visible" r:id="rId24"/>
    <sheet xmlns:r="http://schemas.openxmlformats.org/officeDocument/2006/relationships" name="年買法" sheetId="25" state="visible" r:id="rId25"/>
    <sheet xmlns:r="http://schemas.openxmlformats.org/officeDocument/2006/relationships" name="EV EBITDAマルチプル" sheetId="26" state="visible" r:id="rId26"/>
    <sheet xmlns:r="http://schemas.openxmlformats.org/officeDocument/2006/relationships" name="参照企業" sheetId="27" state="visible" r:id="rId27"/>
    <sheet xmlns:r="http://schemas.openxmlformats.org/officeDocument/2006/relationships" name="IM→" sheetId="28" state="visible" r:id="rId28"/>
    <sheet xmlns:r="http://schemas.openxmlformats.org/officeDocument/2006/relationships" name="会社概要" sheetId="29" state="visible" r:id="rId29"/>
    <sheet xmlns:r="http://schemas.openxmlformats.org/officeDocument/2006/relationships" name="PLハイライト" sheetId="30" state="visible" r:id="rId30"/>
    <sheet xmlns:r="http://schemas.openxmlformats.org/officeDocument/2006/relationships" name="BSハイライト" sheetId="31" state="visible" r:id="rId31"/>
    <sheet xmlns:r="http://schemas.openxmlformats.org/officeDocument/2006/relationships" name="取引先" sheetId="32" state="visible" r:id="rId32"/>
    <sheet xmlns:r="http://schemas.openxmlformats.org/officeDocument/2006/relationships" name="仕入先" sheetId="33" state="visible" r:id="rId33"/>
    <sheet xmlns:r="http://schemas.openxmlformats.org/officeDocument/2006/relationships" name="外注先" sheetId="34" state="visible" r:id="rId34"/>
    <sheet xmlns:r="http://schemas.openxmlformats.org/officeDocument/2006/relationships" name="株主" sheetId="35" state="visible" r:id="rId35"/>
    <sheet xmlns:r="http://schemas.openxmlformats.org/officeDocument/2006/relationships" name="取締役" sheetId="36" state="visible" r:id="rId36"/>
    <sheet xmlns:r="http://schemas.openxmlformats.org/officeDocument/2006/relationships" name="従業員" sheetId="37" state="visible" r:id="rId37"/>
    <sheet xmlns:r="http://schemas.openxmlformats.org/officeDocument/2006/relationships" name="拠点(本社等)" sheetId="38" state="visible" r:id="rId38"/>
    <sheet xmlns:r="http://schemas.openxmlformats.org/officeDocument/2006/relationships" name="不動産(所有)" sheetId="39" state="visible" r:id="rId39"/>
    <sheet xmlns:r="http://schemas.openxmlformats.org/officeDocument/2006/relationships" name="不動産(賃借) " sheetId="40" state="visible" r:id="rId40"/>
    <sheet xmlns:r="http://schemas.openxmlformats.org/officeDocument/2006/relationships" name="設備" sheetId="41" state="visible" r:id="rId41"/>
    <sheet xmlns:r="http://schemas.openxmlformats.org/officeDocument/2006/relationships" name="財務" sheetId="42" state="visible" r:id="rId42"/>
    <sheet xmlns:r="http://schemas.openxmlformats.org/officeDocument/2006/relationships" name="その他" sheetId="43" state="visible" r:id="rId43"/>
  </sheets>
  <definedNames/>
  <calcPr calcId="191029" fullCalcOnLoad="1"/>
</workbook>
</file>

<file path=xl/styles.xml><?xml version="1.0" encoding="utf-8"?>
<styleSheet xmlns="http://schemas.openxmlformats.org/spreadsheetml/2006/main">
  <numFmts count="10">
    <numFmt numFmtId="164" formatCode="#,##0;&quot;△&quot;\ #,##0"/>
    <numFmt numFmtId="165" formatCode="0.0%"/>
    <numFmt numFmtId="166" formatCode="#,##0,"/>
    <numFmt numFmtId="167" formatCode="0.00_);[Red]\(0.00\)"/>
    <numFmt numFmtId="168" formatCode="#,##0,;\△#,##0,;0"/>
    <numFmt numFmtId="169" formatCode="#,##0.00_ "/>
    <numFmt numFmtId="170" formatCode="#,##0.0_ "/>
    <numFmt numFmtId="171" formatCode="#,##0_ "/>
    <numFmt numFmtId="172" formatCode="0_);[Red]\(0\)"/>
    <numFmt numFmtId="173" formatCode="m&quot;月&quot;d&quot;日&quot;;@"/>
  </numFmts>
  <fonts count="58">
    <font>
      <name val="游ゴシック Medium"/>
      <charset val="128"/>
      <family val="2"/>
      <color theme="1"/>
      <sz val="11"/>
      <scheme val="minor"/>
    </font>
    <font>
      <name val="游ゴシック Medium"/>
      <charset val="128"/>
      <family val="2"/>
      <sz val="6"/>
      <scheme val="minor"/>
    </font>
    <font>
      <name val="游ゴシック"/>
      <charset val="128"/>
      <family val="3"/>
      <b val="1"/>
      <color theme="0"/>
      <sz val="12"/>
    </font>
    <font>
      <name val="游ゴシック Medium"/>
      <charset val="128"/>
      <family val="3"/>
      <color theme="1"/>
      <sz val="9"/>
    </font>
    <font>
      <name val="游ゴシック Medium"/>
      <charset val="128"/>
      <family val="3"/>
      <color theme="1"/>
      <sz val="11"/>
    </font>
    <font>
      <name val="Arial"/>
      <family val="2"/>
      <b val="1"/>
      <color theme="1"/>
      <sz val="14"/>
    </font>
    <font>
      <name val="游ゴシック"/>
      <charset val="128"/>
      <family val="3"/>
      <b val="1"/>
      <color theme="1"/>
      <sz val="12"/>
    </font>
    <font>
      <name val="Arial"/>
      <family val="2"/>
      <b val="1"/>
      <color theme="1"/>
      <sz val="12"/>
    </font>
    <font>
      <name val="Arial"/>
      <family val="2"/>
      <color theme="1"/>
      <sz val="12"/>
    </font>
    <font>
      <name val="游ゴシック"/>
      <charset val="128"/>
      <family val="2"/>
      <b val="1"/>
      <color theme="1"/>
      <sz val="12"/>
    </font>
    <font>
      <name val="游ゴシック Medium"/>
      <charset val="128"/>
      <family val="2"/>
      <color rgb="FFFF0000"/>
      <sz val="11"/>
      <scheme val="minor"/>
    </font>
    <font>
      <name val="游ゴシック"/>
      <charset val="128"/>
      <family val="3"/>
      <b val="1"/>
      <color rgb="FFFF0000"/>
      <sz val="12"/>
    </font>
    <font>
      <name val="游ゴシック"/>
      <charset val="128"/>
      <family val="3"/>
      <color theme="1"/>
      <sz val="12"/>
      <scheme val="major"/>
    </font>
    <font>
      <name val="游ゴシック"/>
      <charset val="128"/>
      <family val="3"/>
      <b val="1"/>
      <color theme="0"/>
      <sz val="12"/>
      <scheme val="major"/>
    </font>
    <font>
      <name val="游ゴシック"/>
      <charset val="128"/>
      <family val="3"/>
      <color theme="1"/>
      <sz val="11"/>
      <scheme val="major"/>
    </font>
    <font>
      <name val="游ゴシック"/>
      <charset val="128"/>
      <family val="3"/>
      <b val="1"/>
      <color theme="1"/>
      <sz val="12"/>
      <scheme val="major"/>
    </font>
    <font>
      <name val="游ゴシック"/>
      <charset val="128"/>
      <family val="3"/>
      <color rgb="FFFF0000"/>
      <sz val="11"/>
      <scheme val="major"/>
    </font>
    <font>
      <name val="游ゴシック"/>
      <charset val="128"/>
      <family val="3"/>
      <color theme="1"/>
      <sz val="10"/>
      <scheme val="major"/>
    </font>
    <font>
      <name val="Arial"/>
      <family val="2"/>
      <color theme="1"/>
      <sz val="11"/>
    </font>
    <font>
      <name val="Arial"/>
      <family val="2"/>
      <color theme="1"/>
      <sz val="10"/>
    </font>
    <font>
      <name val="游ゴシック"/>
      <charset val="128"/>
      <family val="3"/>
      <b val="1"/>
      <color theme="1"/>
      <sz val="11"/>
      <scheme val="major"/>
    </font>
    <font>
      <name val="游ゴシック"/>
      <charset val="128"/>
      <family val="3"/>
      <color theme="0"/>
      <sz val="12"/>
      <scheme val="major"/>
    </font>
    <font>
      <name val="游ゴシック Medium"/>
      <charset val="128"/>
      <family val="2"/>
      <color theme="1"/>
      <sz val="11"/>
      <scheme val="minor"/>
    </font>
    <font>
      <name val="游ゴシック Medium"/>
      <charset val="128"/>
      <family val="2"/>
      <b val="1"/>
      <color theme="1"/>
      <sz val="11"/>
      <scheme val="minor"/>
    </font>
    <font>
      <name val="ＭＳ Ｐゴシック"/>
      <charset val="128"/>
      <family val="2"/>
      <color theme="1"/>
      <sz val="12"/>
    </font>
    <font>
      <name val="游ゴシック"/>
      <charset val="128"/>
      <family val="3"/>
      <color theme="1"/>
      <sz val="12"/>
    </font>
    <font>
      <name val="游ゴシック"/>
      <charset val="128"/>
      <family val="2"/>
      <color theme="1"/>
      <sz val="12"/>
    </font>
    <font>
      <name val="游ゴシック"/>
      <charset val="128"/>
      <family val="3"/>
      <color theme="1"/>
      <sz val="9"/>
      <scheme val="major"/>
    </font>
    <font>
      <name val="Arial"/>
      <family val="2"/>
      <b val="1"/>
      <color theme="0"/>
      <sz val="12"/>
    </font>
    <font>
      <name val="Arial"/>
      <family val="2"/>
      <sz val="12"/>
    </font>
    <font>
      <name val="Meiryo UI"/>
      <charset val="128"/>
      <family val="2"/>
      <color theme="1"/>
      <sz val="10"/>
    </font>
    <font>
      <name val="Arial"/>
      <family val="2"/>
      <color rgb="FFFF0000"/>
      <sz val="12"/>
    </font>
    <font>
      <name val="游ゴシック Medium"/>
      <charset val="128"/>
      <family val="2"/>
      <color rgb="FFFF0000"/>
      <sz val="12"/>
    </font>
    <font>
      <name val="游ゴシック"/>
      <charset val="128"/>
      <family val="2"/>
      <sz val="12"/>
    </font>
    <font>
      <name val="游ゴシック"/>
      <charset val="128"/>
      <family val="3"/>
      <i val="1"/>
      <color theme="1"/>
      <sz val="9"/>
      <scheme val="major"/>
    </font>
    <font>
      <name val="Arial"/>
      <family val="2"/>
      <i val="1"/>
      <color theme="1"/>
      <sz val="9"/>
    </font>
    <font>
      <name val="游ゴシック"/>
      <charset val="128"/>
      <family val="3"/>
      <b val="1"/>
      <color theme="1"/>
      <sz val="14"/>
      <scheme val="major"/>
    </font>
    <font>
      <name val="游ゴシック Medium"/>
      <charset val="128"/>
      <family val="3"/>
      <color theme="1"/>
      <sz val="9"/>
      <scheme val="minor"/>
    </font>
    <font>
      <name val="游ゴシック Medium"/>
      <charset val="128"/>
      <family val="3"/>
      <b val="1"/>
      <color theme="1"/>
      <sz val="9"/>
      <scheme val="minor"/>
    </font>
    <font>
      <name val="游ゴシック"/>
      <charset val="128"/>
      <family val="3"/>
      <b val="1"/>
      <color rgb="FFFF0000"/>
      <sz val="10"/>
    </font>
    <font>
      <name val="游ゴシック Medium"/>
      <charset val="128"/>
      <family val="3"/>
      <b val="1"/>
      <color rgb="FFFF0000"/>
      <sz val="11"/>
      <scheme val="minor"/>
    </font>
    <font>
      <name val="游ゴシック"/>
      <charset val="128"/>
      <family val="3"/>
      <b val="1"/>
      <color rgb="FFFF0000"/>
      <sz val="11"/>
      <scheme val="major"/>
    </font>
    <font>
      <name val="Arial"/>
      <charset val="128"/>
      <family val="3"/>
      <color theme="1"/>
      <sz val="12"/>
    </font>
    <font>
      <name val="Arial"/>
      <family val="3"/>
      <color theme="1"/>
      <sz val="12"/>
    </font>
    <font>
      <name val="游ゴシック"/>
      <charset val="128"/>
      <family val="3"/>
      <color theme="0"/>
      <sz val="12"/>
    </font>
    <font>
      <name val="Arial"/>
      <family val="2"/>
      <b val="1"/>
      <color theme="1"/>
      <sz val="11"/>
    </font>
    <font>
      <name val="Arial"/>
      <charset val="128"/>
      <family val="2"/>
      <color theme="1"/>
      <sz val="12"/>
    </font>
    <font>
      <name val="游ゴシック"/>
      <charset val="128"/>
      <family val="3"/>
      <sz val="11"/>
      <scheme val="major"/>
    </font>
    <font>
      <name val="游ゴシック"/>
      <charset val="128"/>
      <family val="3"/>
      <sz val="12"/>
      <scheme val="major"/>
    </font>
    <font>
      <name val="游ゴシック"/>
      <charset val="128"/>
      <family val="3"/>
      <b val="1"/>
      <color theme="0"/>
      <sz val="11"/>
      <scheme val="major"/>
    </font>
    <font>
      <name val="游ゴシック"/>
      <charset val="128"/>
      <family val="3"/>
      <color theme="0"/>
      <sz val="8"/>
      <scheme val="major"/>
    </font>
    <font>
      <name val="游ゴシック"/>
      <charset val="128"/>
      <family val="3"/>
      <sz val="8"/>
      <scheme val="major"/>
    </font>
    <font>
      <name val="游ゴシック"/>
      <charset val="128"/>
      <family val="3"/>
      <b val="1"/>
      <color theme="0" tint="-0.0499893185216834"/>
      <sz val="11"/>
      <scheme val="major"/>
    </font>
    <font>
      <name val="游ゴシック"/>
      <charset val="128"/>
      <family val="3"/>
      <color theme="1"/>
      <sz val="8"/>
      <scheme val="major"/>
    </font>
    <font>
      <name val="游ゴシック"/>
      <charset val="128"/>
      <family val="3"/>
      <color theme="9"/>
      <sz val="11"/>
      <scheme val="major"/>
    </font>
    <font>
      <name val="游ゴシック Medium"/>
      <charset val="128"/>
      <family val="2"/>
      <color theme="1"/>
      <sz val="12"/>
      <scheme val="minor"/>
    </font>
    <font>
      <name val="Arial"/>
      <family val="2"/>
      <color theme="0" tint="-0.1499984740745262"/>
      <sz val="12"/>
    </font>
    <font>
      <name val="游ゴシック"/>
      <sz val="10"/>
    </font>
  </fonts>
  <fills count="17">
    <fill>
      <patternFill/>
    </fill>
    <fill>
      <patternFill patternType="gray125"/>
    </fill>
    <fill>
      <patternFill patternType="solid">
        <fgColor theme="0"/>
        <bgColor indexed="64"/>
      </patternFill>
    </fill>
    <fill>
      <patternFill patternType="solid">
        <fgColor rgb="FF0B3041"/>
        <bgColor indexed="64"/>
      </patternFill>
    </fill>
    <fill>
      <patternFill patternType="solid">
        <fgColor rgb="FFE3E7E9"/>
        <bgColor indexed="64"/>
      </patternFill>
    </fill>
    <fill>
      <patternFill patternType="solid">
        <fgColor rgb="FFE1F2FB"/>
        <bgColor indexed="64"/>
      </patternFill>
    </fill>
    <fill>
      <patternFill patternType="solid">
        <fgColor theme="7"/>
        <bgColor indexed="64"/>
      </patternFill>
    </fill>
    <fill>
      <patternFill patternType="solid">
        <fgColor theme="5"/>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
        <bgColor indexed="64"/>
      </patternFill>
    </fill>
    <fill>
      <patternFill patternType="solid">
        <fgColor theme="4"/>
        <bgColor indexed="64"/>
      </patternFill>
    </fill>
    <fill>
      <patternFill patternType="solid">
        <fgColor theme="3"/>
        <bgColor indexed="64"/>
      </patternFill>
    </fill>
    <fill>
      <patternFill patternType="solid">
        <fgColor theme="2"/>
        <bgColor indexed="64"/>
      </patternFill>
    </fill>
    <fill>
      <patternFill patternType="solid">
        <fgColor theme="4" tint="0.7999816888943144"/>
        <bgColor indexed="64"/>
      </patternFill>
    </fill>
    <fill>
      <patternFill patternType="solid">
        <fgColor rgb="FFCCECFF"/>
        <bgColor indexed="64"/>
      </patternFill>
    </fill>
    <fill>
      <patternFill patternType="solid">
        <fgColor rgb="FFFFCCCC"/>
        <bgColor indexed="64"/>
      </patternFill>
    </fill>
  </fills>
  <borders count="141">
    <border>
      <left/>
      <right/>
      <top/>
      <bottom/>
      <diagonal/>
    </border>
    <border>
      <left style="thin">
        <color theme="0"/>
      </left>
      <right style="thin">
        <color theme="0"/>
      </right>
      <top style="thin">
        <color theme="0" tint="-0.3499862666707358"/>
      </top>
      <bottom/>
      <diagonal/>
    </border>
    <border>
      <left/>
      <right style="thin">
        <color theme="0"/>
      </right>
      <top style="thin">
        <color theme="0" tint="-0.3499862666707358"/>
      </top>
      <bottom/>
      <diagonal/>
    </border>
    <border>
      <left style="thin">
        <color theme="0"/>
      </left>
      <right style="thin">
        <color theme="0"/>
      </right>
      <top style="thin">
        <color rgb="FF0B3041"/>
      </top>
      <bottom style="thin">
        <color rgb="FF0B3041"/>
      </bottom>
      <diagonal/>
    </border>
    <border>
      <left style="thin">
        <color theme="0"/>
      </left>
      <right/>
      <top style="thin">
        <color rgb="FF0B3041"/>
      </top>
      <bottom style="thin">
        <color rgb="FF0B3041"/>
      </bottom>
      <diagonal/>
    </border>
    <border>
      <left style="thin">
        <color theme="0"/>
      </left>
      <right style="medium">
        <color theme="0"/>
      </right>
      <top/>
      <bottom style="thin">
        <color theme="0" tint="-0.3499862666707358"/>
      </bottom>
      <diagonal/>
    </border>
    <border>
      <left style="medium">
        <color theme="0"/>
      </left>
      <right style="medium">
        <color theme="0"/>
      </right>
      <top/>
      <bottom style="thin">
        <color theme="0" tint="-0.3499862666707358"/>
      </bottom>
      <diagonal/>
    </border>
    <border>
      <left style="thin">
        <color theme="0"/>
      </left>
      <right style="thin">
        <color theme="0"/>
      </right>
      <top style="thin">
        <color rgb="FF0B3041"/>
      </top>
      <bottom style="medium">
        <color rgb="FF0B3041"/>
      </bottom>
      <diagonal/>
    </border>
    <border>
      <left style="thin">
        <color theme="0"/>
      </left>
      <right/>
      <top style="thin">
        <color rgb="FF0B3041"/>
      </top>
      <bottom style="medium">
        <color rgb="FF0B3041"/>
      </bottom>
      <diagonal/>
    </border>
    <border>
      <left style="thin">
        <color theme="0"/>
      </left>
      <right/>
      <top style="medium">
        <color rgb="FF0B3041"/>
      </top>
      <bottom/>
      <diagonal/>
    </border>
    <border>
      <left style="thin">
        <color theme="0"/>
      </left>
      <right style="thin">
        <color theme="0"/>
      </right>
      <top style="medium">
        <color rgb="FF0B3041"/>
      </top>
      <bottom/>
      <diagonal/>
    </border>
    <border>
      <left/>
      <right style="thin">
        <color theme="0"/>
      </right>
      <top style="thin">
        <color rgb="FF0B3041"/>
      </top>
      <bottom style="thin">
        <color rgb="FF0B3041"/>
      </bottom>
      <diagonal/>
    </border>
    <border>
      <left/>
      <right/>
      <top style="thin">
        <color rgb="FF0B3041"/>
      </top>
      <bottom style="thin">
        <color rgb="FF0B3041"/>
      </bottom>
      <diagonal/>
    </border>
    <border>
      <left/>
      <right/>
      <top style="thin">
        <color rgb="FF0B3041"/>
      </top>
      <bottom style="medium">
        <color rgb="FF0B3041"/>
      </bottom>
      <diagonal/>
    </border>
    <border>
      <left style="thin">
        <color theme="0"/>
      </left>
      <right style="medium">
        <color theme="0"/>
      </right>
      <top/>
      <bottom style="thin">
        <color rgb="FF0B3041"/>
      </bottom>
      <diagonal/>
    </border>
    <border>
      <left style="medium">
        <color theme="0"/>
      </left>
      <right style="medium">
        <color theme="0"/>
      </right>
      <top/>
      <bottom style="thin">
        <color rgb="FF0B3041"/>
      </bottom>
      <diagonal/>
    </border>
    <border>
      <left style="thin">
        <color theme="0"/>
      </left>
      <right style="thin">
        <color theme="0"/>
      </right>
      <top style="thin">
        <color theme="0" tint="-0.3499862666707358"/>
      </top>
      <bottom style="thin">
        <color theme="3"/>
      </bottom>
      <diagonal/>
    </border>
    <border>
      <left style="thin">
        <color theme="0"/>
      </left>
      <right style="thin">
        <color theme="0"/>
      </right>
      <top/>
      <bottom style="thin">
        <color theme="3"/>
      </bottom>
      <diagonal/>
    </border>
    <border>
      <left/>
      <right style="thin">
        <color theme="0"/>
      </right>
      <top style="thin">
        <color theme="3"/>
      </top>
      <bottom style="thin">
        <color theme="3"/>
      </bottom>
      <diagonal/>
    </border>
    <border>
      <left style="thin">
        <color theme="0"/>
      </left>
      <right style="thin">
        <color theme="0"/>
      </right>
      <top/>
      <bottom/>
      <diagonal/>
    </border>
    <border>
      <left style="thin">
        <color theme="0"/>
      </left>
      <right style="thin">
        <color theme="0"/>
      </right>
      <top style="thin">
        <color theme="3"/>
      </top>
      <bottom style="thin">
        <color theme="3"/>
      </bottom>
      <diagonal/>
    </border>
    <border>
      <left style="thin">
        <color theme="0"/>
      </left>
      <right/>
      <top/>
      <bottom style="thin">
        <color theme="3"/>
      </bottom>
      <diagonal/>
    </border>
    <border>
      <left/>
      <right style="thin">
        <color theme="0"/>
      </right>
      <top/>
      <bottom style="thin">
        <color theme="3"/>
      </bottom>
      <diagonal/>
    </border>
    <border>
      <left style="thin">
        <color theme="0"/>
      </left>
      <right style="thin">
        <color theme="0"/>
      </right>
      <top style="thin">
        <color theme="0" tint="-0.3499862666707358"/>
      </top>
      <bottom style="dotted">
        <color theme="3"/>
      </bottom>
      <diagonal/>
    </border>
    <border>
      <left style="thin">
        <color theme="0"/>
      </left>
      <right style="thin">
        <color theme="0"/>
      </right>
      <top style="dotted">
        <color theme="3"/>
      </top>
      <bottom style="thin">
        <color theme="3"/>
      </bottom>
      <diagonal/>
    </border>
    <border>
      <left/>
      <right style="thin">
        <color theme="0"/>
      </right>
      <top style="thin">
        <color theme="3"/>
      </top>
      <bottom/>
      <diagonal/>
    </border>
    <border>
      <left style="thin">
        <color theme="0"/>
      </left>
      <right style="thin">
        <color theme="0"/>
      </right>
      <top style="thin">
        <color theme="3"/>
      </top>
      <bottom style="dotted">
        <color theme="3"/>
      </bottom>
      <diagonal/>
    </border>
    <border>
      <left style="thin">
        <color theme="0"/>
      </left>
      <right/>
      <top style="thin">
        <color theme="3"/>
      </top>
      <bottom style="dotted">
        <color theme="3"/>
      </bottom>
      <diagonal/>
    </border>
    <border>
      <left style="thin">
        <color theme="0"/>
      </left>
      <right/>
      <top style="thin">
        <color theme="0" tint="-0.3499862666707358"/>
      </top>
      <bottom style="dotted">
        <color theme="3"/>
      </bottom>
      <diagonal/>
    </border>
    <border>
      <left/>
      <right style="thin">
        <color theme="0"/>
      </right>
      <top style="thin">
        <color theme="3"/>
      </top>
      <bottom style="dotted">
        <color theme="3"/>
      </bottom>
      <diagonal/>
    </border>
    <border>
      <left style="thin">
        <color theme="0"/>
      </left>
      <right style="thick">
        <color theme="7"/>
      </right>
      <top style="dotted">
        <color theme="3"/>
      </top>
      <bottom style="thin">
        <color theme="3"/>
      </bottom>
      <diagonal/>
    </border>
    <border>
      <left style="thin">
        <color theme="0"/>
      </left>
      <right style="thick">
        <color theme="7"/>
      </right>
      <top style="thin">
        <color theme="3"/>
      </top>
      <bottom style="dotted">
        <color theme="3"/>
      </bottom>
      <diagonal/>
    </border>
    <border>
      <left/>
      <right/>
      <top style="thin">
        <color theme="3"/>
      </top>
      <bottom style="dotted">
        <color theme="3"/>
      </bottom>
      <diagonal/>
    </border>
    <border>
      <left/>
      <right/>
      <top style="thick">
        <color theme="7"/>
      </top>
      <bottom/>
      <diagonal/>
    </border>
    <border>
      <left style="thick">
        <color theme="7"/>
      </left>
      <right style="thin">
        <color theme="0"/>
      </right>
      <top style="dotted">
        <color theme="3"/>
      </top>
      <bottom style="thin">
        <color theme="3"/>
      </bottom>
      <diagonal/>
    </border>
    <border>
      <left/>
      <right/>
      <top style="dotted">
        <color theme="3"/>
      </top>
      <bottom/>
      <diagonal/>
    </border>
    <border>
      <left style="thick">
        <color theme="7"/>
      </left>
      <right style="thin">
        <color theme="0"/>
      </right>
      <top style="thin">
        <color theme="3"/>
      </top>
      <bottom style="dotted">
        <color theme="3"/>
      </bottom>
      <diagonal/>
    </border>
    <border>
      <left style="thick">
        <color theme="7"/>
      </left>
      <right/>
      <top style="dotted">
        <color theme="3"/>
      </top>
      <bottom style="thin">
        <color theme="3"/>
      </bottom>
      <diagonal/>
    </border>
    <border>
      <left style="thick">
        <color theme="7"/>
      </left>
      <right style="thick">
        <color theme="7"/>
      </right>
      <top style="thin">
        <color theme="3"/>
      </top>
      <bottom style="dotted">
        <color theme="3"/>
      </bottom>
      <diagonal/>
    </border>
    <border>
      <left style="thick">
        <color theme="7"/>
      </left>
      <right style="thick">
        <color theme="7"/>
      </right>
      <top style="dotted">
        <color theme="3"/>
      </top>
      <bottom style="thin">
        <color theme="3"/>
      </bottom>
      <diagonal/>
    </border>
    <border>
      <left/>
      <right style="thin">
        <color theme="0"/>
      </right>
      <top style="dotted">
        <color theme="3"/>
      </top>
      <bottom style="thin">
        <color theme="3"/>
      </bottom>
      <diagonal/>
    </border>
    <border>
      <left style="thick">
        <color theme="7"/>
      </left>
      <right style="thick">
        <color theme="7"/>
      </right>
      <top style="thin">
        <color theme="0" tint="-0.3499862666707358"/>
      </top>
      <bottom style="dotted">
        <color theme="3"/>
      </bottom>
      <diagonal/>
    </border>
    <border>
      <left style="thick">
        <color theme="7"/>
      </left>
      <right style="thin">
        <color theme="0"/>
      </right>
      <top/>
      <bottom/>
      <diagonal/>
    </border>
    <border>
      <left/>
      <right style="thin">
        <color theme="0"/>
      </right>
      <top/>
      <bottom style="thick">
        <color theme="7"/>
      </bottom>
      <diagonal/>
    </border>
    <border>
      <left style="thin">
        <color theme="0"/>
      </left>
      <right style="thin">
        <color theme="0"/>
      </right>
      <top style="thick">
        <color theme="7"/>
      </top>
      <bottom style="dotted">
        <color theme="3"/>
      </bottom>
      <diagonal/>
    </border>
    <border>
      <left style="thick">
        <color theme="7"/>
      </left>
      <right/>
      <top/>
      <bottom/>
      <diagonal/>
    </border>
    <border>
      <left style="thin">
        <color theme="0"/>
      </left>
      <right/>
      <top style="thick">
        <color theme="7"/>
      </top>
      <bottom style="dotted">
        <color theme="3"/>
      </bottom>
      <diagonal/>
    </border>
    <border>
      <left style="thin">
        <color theme="0"/>
      </left>
      <right/>
      <top/>
      <bottom/>
      <diagonal/>
    </border>
    <border>
      <left style="thin">
        <color theme="0"/>
      </left>
      <right style="thin">
        <color theme="0"/>
      </right>
      <top style="thin">
        <color theme="3"/>
      </top>
      <bottom/>
      <diagonal/>
    </border>
    <border>
      <left/>
      <right style="thin">
        <color theme="0"/>
      </right>
      <top/>
      <bottom/>
      <diagonal/>
    </border>
    <border>
      <left style="thin">
        <color theme="0"/>
      </left>
      <right style="thin">
        <color theme="0"/>
      </right>
      <top style="thick">
        <color theme="7"/>
      </top>
      <bottom style="thick">
        <color theme="7"/>
      </bottom>
      <diagonal/>
    </border>
    <border>
      <left/>
      <right style="thin">
        <color theme="0"/>
      </right>
      <top style="thick">
        <color theme="7"/>
      </top>
      <bottom style="thick">
        <color theme="7"/>
      </bottom>
      <diagonal/>
    </border>
    <border>
      <left style="thin">
        <color theme="0"/>
      </left>
      <right/>
      <top/>
      <bottom style="thin">
        <color theme="0" tint="-0.3499862666707358"/>
      </bottom>
      <diagonal/>
    </border>
    <border>
      <left/>
      <right/>
      <top/>
      <bottom style="thin">
        <color theme="0" tint="-0.3499862666707358"/>
      </bottom>
      <diagonal/>
    </border>
    <border>
      <left/>
      <right/>
      <top style="thin">
        <color theme="0" tint="-0.3499862666707358"/>
      </top>
      <bottom style="thin">
        <color theme="3"/>
      </bottom>
      <diagonal/>
    </border>
    <border>
      <left style="thin">
        <color theme="0"/>
      </left>
      <right/>
      <top style="thin">
        <color theme="3"/>
      </top>
      <bottom style="thin">
        <color theme="3"/>
      </bottom>
      <diagonal/>
    </border>
    <border>
      <left/>
      <right/>
      <top style="thin">
        <color auto="1"/>
      </top>
      <bottom style="thin">
        <color theme="3"/>
      </bottom>
      <diagonal/>
    </border>
    <border>
      <left/>
      <right/>
      <top style="thin">
        <color theme="3"/>
      </top>
      <bottom style="thin">
        <color theme="3"/>
      </bottom>
      <diagonal/>
    </border>
    <border>
      <left style="thin">
        <color theme="0"/>
      </left>
      <right/>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medium">
        <color theme="0"/>
      </right>
      <top/>
      <bottom style="thin">
        <color theme="0" tint="-0.3499862666707358"/>
      </bottom>
      <diagonal/>
    </border>
    <border>
      <left style="thin">
        <color theme="0"/>
      </left>
      <right style="medium">
        <color theme="0"/>
      </right>
      <top/>
      <bottom/>
      <diagonal/>
    </border>
    <border>
      <left/>
      <right style="medium">
        <color theme="0"/>
      </right>
      <top/>
      <bottom/>
      <diagonal/>
    </border>
    <border>
      <left/>
      <right/>
      <top/>
      <bottom style="thin">
        <color theme="3"/>
      </bottom>
      <diagonal/>
    </border>
    <border>
      <left style="thin">
        <color theme="0"/>
      </left>
      <right/>
      <top style="thin">
        <color theme="3"/>
      </top>
      <bottom/>
      <diagonal/>
    </border>
    <border>
      <left/>
      <right style="thin">
        <color theme="0"/>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diagonal/>
    </border>
    <border>
      <left style="thin">
        <color theme="0"/>
      </left>
      <right style="thin">
        <color theme="0"/>
      </right>
      <top/>
      <bottom style="thin">
        <color theme="0" tint="-0.3499862666707358"/>
      </bottom>
      <diagonal/>
    </border>
    <border>
      <left style="thin">
        <color theme="0"/>
      </left>
      <right/>
      <top style="thin">
        <color theme="0" tint="-0.3499862666707358"/>
      </top>
      <bottom/>
      <diagonal/>
    </border>
    <border>
      <left style="thin">
        <color theme="0"/>
      </left>
      <right style="thin">
        <color theme="0"/>
      </right>
      <top style="thin">
        <color theme="0"/>
      </top>
      <bottom style="thin">
        <color theme="0" tint="-0.3499862666707358"/>
      </bottom>
      <diagonal/>
    </border>
    <border>
      <left style="medium">
        <color theme="0"/>
      </left>
      <right style="thin">
        <color theme="0"/>
      </right>
      <top/>
      <bottom style="thin">
        <color theme="0"/>
      </bottom>
      <diagonal/>
    </border>
    <border>
      <left style="thin">
        <color theme="0"/>
      </left>
      <right style="medium">
        <color theme="0"/>
      </right>
      <top/>
      <bottom style="thin">
        <color theme="0"/>
      </bottom>
      <diagonal/>
    </border>
    <border>
      <left/>
      <right style="thin">
        <color theme="0"/>
      </right>
      <top/>
      <bottom style="thin">
        <color theme="0"/>
      </bottom>
      <diagonal/>
    </border>
    <border>
      <left/>
      <right style="medium">
        <color theme="0"/>
      </right>
      <top/>
      <bottom style="thin">
        <color theme="0"/>
      </bottom>
      <diagonal/>
    </border>
    <border>
      <left style="medium">
        <color theme="0"/>
      </left>
      <right/>
      <top/>
      <bottom style="thin">
        <color theme="0"/>
      </bottom>
      <diagonal/>
    </border>
    <border>
      <left/>
      <right/>
      <top style="thin">
        <color theme="3"/>
      </top>
      <bottom/>
      <diagonal/>
    </border>
    <border>
      <left/>
      <right style="thin">
        <color theme="0"/>
      </right>
      <top style="thin">
        <color theme="0"/>
      </top>
      <bottom/>
      <diagonal/>
    </border>
    <border>
      <left style="thin">
        <color theme="0" tint="-0.3499862666707358"/>
      </left>
      <right style="thin">
        <color theme="0" tint="-0.3499862666707358"/>
      </right>
      <top style="thin">
        <color theme="0" tint="-0.3499862666707358"/>
      </top>
      <bottom/>
      <diagonal/>
    </border>
    <border>
      <left style="thin">
        <color theme="0"/>
      </left>
      <right style="thin">
        <color theme="0"/>
      </right>
      <top style="thin">
        <color rgb="FF0B3041"/>
      </top>
      <bottom style="thin">
        <color theme="3"/>
      </bottom>
      <diagonal/>
    </border>
    <border>
      <left style="thin">
        <color theme="0"/>
      </left>
      <right style="thin">
        <color theme="0"/>
      </right>
      <top style="thin">
        <color theme="3"/>
      </top>
      <bottom style="thin">
        <color rgb="FF0B3041"/>
      </bottom>
      <diagonal/>
    </border>
    <border>
      <left style="thin">
        <color theme="0"/>
      </left>
      <right/>
      <top style="thin">
        <color theme="3"/>
      </top>
      <bottom style="thin">
        <color rgb="FF0B3041"/>
      </bottom>
      <diagonal/>
    </border>
    <border>
      <left style="thin">
        <color theme="0"/>
      </left>
      <right/>
      <top style="thin">
        <color rgb="FF0B3041"/>
      </top>
      <bottom style="thin">
        <color theme="3"/>
      </bottom>
      <diagonal/>
    </border>
    <border>
      <left style="thin">
        <color theme="0"/>
      </left>
      <right style="thin">
        <color theme="0"/>
      </right>
      <top style="thin">
        <color theme="3"/>
      </top>
      <bottom style="thin">
        <color theme="0"/>
      </bottom>
      <diagonal/>
    </border>
    <border>
      <left/>
      <right/>
      <top style="thin">
        <color theme="3"/>
      </top>
      <bottom style="thin">
        <color rgb="FF0B3041"/>
      </bottom>
      <diagonal/>
    </border>
    <border>
      <left/>
      <right/>
      <top/>
      <bottom style="thin">
        <color theme="0"/>
      </bottom>
      <diagonal/>
    </border>
    <border>
      <left style="medium">
        <color theme="7"/>
      </left>
      <right style="medium">
        <color theme="7"/>
      </right>
      <top style="medium">
        <color theme="7"/>
      </top>
      <bottom/>
      <diagonal/>
    </border>
    <border>
      <left style="medium">
        <color theme="7"/>
      </left>
      <right style="medium">
        <color theme="7"/>
      </right>
      <top/>
      <bottom style="thin">
        <color theme="3"/>
      </bottom>
      <diagonal/>
    </border>
    <border>
      <left style="medium">
        <color theme="7"/>
      </left>
      <right style="medium">
        <color theme="7"/>
      </right>
      <top/>
      <bottom/>
      <diagonal/>
    </border>
    <border>
      <left style="medium">
        <color theme="7"/>
      </left>
      <right style="medium">
        <color theme="7"/>
      </right>
      <top style="thin">
        <color theme="3"/>
      </top>
      <bottom style="thin">
        <color theme="3"/>
      </bottom>
      <diagonal/>
    </border>
    <border>
      <left style="medium">
        <color theme="7"/>
      </left>
      <right style="medium">
        <color theme="7"/>
      </right>
      <top style="thin">
        <color theme="3"/>
      </top>
      <bottom style="medium">
        <color theme="7"/>
      </bottom>
      <diagonal/>
    </border>
    <border>
      <left style="thin">
        <color theme="0" tint="-0.3499862666707358"/>
      </left>
      <right/>
      <top style="thin">
        <color theme="0" tint="-0.3499862666707358"/>
      </top>
      <bottom/>
      <diagonal/>
    </border>
    <border>
      <left style="medium">
        <color theme="7"/>
      </left>
      <right style="medium">
        <color theme="7"/>
      </right>
      <top style="thin">
        <color rgb="FF0B3041"/>
      </top>
      <bottom style="thin">
        <color theme="3"/>
      </bottom>
      <diagonal/>
    </border>
    <border>
      <left style="medium">
        <color theme="7"/>
      </left>
      <right style="medium">
        <color theme="7"/>
      </right>
      <top/>
      <bottom style="medium">
        <color theme="7"/>
      </bottom>
      <diagonal/>
    </border>
    <border>
      <left style="medium">
        <color theme="7"/>
      </left>
      <right style="medium">
        <color theme="7"/>
      </right>
      <top style="thin">
        <color theme="3"/>
      </top>
      <bottom style="thin">
        <color rgb="FF0B3041"/>
      </bottom>
      <diagonal/>
    </border>
    <border>
      <left style="medium">
        <color theme="7"/>
      </left>
      <right style="medium">
        <color theme="7"/>
      </right>
      <top/>
      <bottom style="thin">
        <color theme="0"/>
      </bottom>
      <diagonal/>
    </border>
    <border>
      <left style="medium">
        <color theme="7"/>
      </left>
      <right style="medium">
        <color theme="7"/>
      </right>
      <top style="thin">
        <color theme="0"/>
      </top>
      <bottom style="medium">
        <color theme="7"/>
      </bottom>
      <diagonal/>
    </border>
    <border>
      <left style="medium">
        <color theme="7"/>
      </left>
      <right style="medium">
        <color theme="7"/>
      </right>
      <top style="medium">
        <color theme="7"/>
      </top>
      <bottom style="thin">
        <color theme="0"/>
      </bottom>
      <diagonal/>
    </border>
    <border>
      <left style="medium">
        <color theme="7"/>
      </left>
      <right style="medium">
        <color theme="7"/>
      </right>
      <top style="thin">
        <color rgb="FF0B3041"/>
      </top>
      <bottom style="thin">
        <color rgb="FF0B3041"/>
      </bottom>
      <diagonal/>
    </border>
    <border>
      <left style="medium">
        <color theme="7"/>
      </left>
      <right style="medium">
        <color theme="7"/>
      </right>
      <top style="thin">
        <color rgb="FF0B3041"/>
      </top>
      <bottom/>
      <diagonal/>
    </border>
    <border>
      <left style="medium">
        <color theme="7"/>
      </left>
      <right style="medium">
        <color theme="7"/>
      </right>
      <top/>
      <bottom style="thin">
        <color rgb="FF0B3041"/>
      </bottom>
      <diagonal/>
    </border>
    <border>
      <left style="medium">
        <color theme="7"/>
      </left>
      <right style="medium">
        <color theme="7"/>
      </right>
      <top style="thin">
        <color rgb="FF0B3041"/>
      </top>
      <bottom style="medium">
        <color theme="7"/>
      </bottom>
      <diagonal/>
    </border>
    <border>
      <left style="medium">
        <color theme="0"/>
      </left>
      <right style="medium">
        <color theme="7" tint="-0.499984740745262"/>
      </right>
      <top/>
      <bottom style="medium">
        <color theme="7"/>
      </bottom>
      <diagonal/>
    </border>
    <border>
      <left style="thin">
        <color theme="0"/>
      </left>
      <right style="thin">
        <color theme="0"/>
      </right>
      <top style="thin">
        <color theme="0"/>
      </top>
      <bottom style="thin">
        <color theme="3"/>
      </bottom>
      <diagonal/>
    </border>
    <border>
      <left/>
      <right style="thin">
        <color theme="0"/>
      </right>
      <top style="thin">
        <color theme="0"/>
      </top>
      <bottom style="thin">
        <color theme="3"/>
      </bottom>
      <diagonal/>
    </border>
    <border>
      <left style="thin">
        <color theme="0"/>
      </left>
      <right style="medium">
        <color theme="7"/>
      </right>
      <top style="thin">
        <color theme="3"/>
      </top>
      <bottom/>
      <diagonal/>
    </border>
    <border>
      <left style="medium">
        <color theme="7"/>
      </left>
      <right style="medium">
        <color theme="7"/>
      </right>
      <top style="thin">
        <color theme="3"/>
      </top>
      <bottom/>
      <diagonal/>
    </border>
    <border>
      <left style="thin">
        <color theme="0"/>
      </left>
      <right style="thin">
        <color theme="0"/>
      </right>
      <top/>
      <bottom style="thin">
        <color rgb="FF0B3041"/>
      </bottom>
      <diagonal/>
    </border>
    <border>
      <left/>
      <right/>
      <top/>
      <bottom style="thin">
        <color rgb="FF0B3041"/>
      </bottom>
      <diagonal/>
    </border>
    <border>
      <left/>
      <right style="medium">
        <color theme="7"/>
      </right>
      <top style="thin">
        <color theme="3"/>
      </top>
      <bottom/>
      <diagonal/>
    </border>
    <border>
      <left/>
      <right style="thin">
        <color theme="0"/>
      </right>
      <top style="thin">
        <color rgb="FF0B3041"/>
      </top>
      <bottom/>
      <diagonal/>
    </border>
    <border>
      <left style="thin">
        <color theme="0"/>
      </left>
      <right style="thin">
        <color theme="0"/>
      </right>
      <top style="thin">
        <color rgb="FF0B3041"/>
      </top>
      <bottom/>
      <diagonal/>
    </border>
    <border>
      <left style="thin">
        <color theme="0"/>
      </left>
      <right style="medium">
        <color theme="7"/>
      </right>
      <top style="thin">
        <color rgb="FF0B3041"/>
      </top>
      <bottom/>
      <diagonal/>
    </border>
    <border>
      <left style="thin">
        <color theme="0"/>
      </left>
      <right/>
      <top/>
      <bottom style="thin">
        <color rgb="FF0B3041"/>
      </bottom>
      <diagonal/>
    </border>
    <border>
      <left style="thin">
        <color theme="0"/>
      </left>
      <right/>
      <top style="thin">
        <color rgb="FF0B3041"/>
      </top>
      <bottom/>
      <diagonal/>
    </border>
    <border>
      <left style="medium">
        <color theme="7"/>
      </left>
      <right style="thin">
        <color theme="0"/>
      </right>
      <top style="medium">
        <color theme="7"/>
      </top>
      <bottom style="medium">
        <color theme="7"/>
      </bottom>
      <diagonal/>
    </border>
    <border>
      <left style="thin">
        <color theme="0"/>
      </left>
      <right style="medium">
        <color theme="7"/>
      </right>
      <top style="medium">
        <color theme="7"/>
      </top>
      <bottom style="medium">
        <color theme="7"/>
      </bottom>
      <diagonal/>
    </border>
    <border>
      <left style="thin">
        <color theme="0"/>
      </left>
      <right style="thin">
        <color theme="0"/>
      </right>
      <top style="medium">
        <color theme="7"/>
      </top>
      <bottom style="medium">
        <color theme="7"/>
      </bottom>
      <diagonal/>
    </border>
    <border>
      <left style="thin">
        <color theme="0"/>
      </left>
      <right style="thin">
        <color theme="0"/>
      </right>
      <top style="thin">
        <color theme="0" tint="-0.3499862666707358"/>
      </top>
      <bottom style="thin">
        <color rgb="FF0B3041"/>
      </bottom>
      <diagonal/>
    </border>
    <border>
      <left style="thin">
        <color theme="0"/>
      </left>
      <right style="thin">
        <color theme="0"/>
      </right>
      <top style="medium">
        <color rgb="FF0B3041"/>
      </top>
      <bottom style="thin">
        <color theme="0"/>
      </bottom>
      <diagonal/>
    </border>
    <border>
      <left style="thin">
        <color theme="0"/>
      </left>
      <right style="medium">
        <color theme="0"/>
      </right>
      <top style="thin">
        <color theme="0"/>
      </top>
      <bottom/>
      <diagonal/>
    </border>
    <border>
      <left/>
      <right style="thin">
        <color theme="0"/>
      </right>
      <top/>
      <bottom style="thin">
        <color rgb="FF0B304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hair">
        <color theme="0" tint="-0.249977111117893"/>
      </left>
      <right style="hair">
        <color theme="0" tint="-0.249977111117893"/>
      </right>
      <top style="hair">
        <color theme="0" tint="-0.249977111117893"/>
      </top>
      <bottom style="hair">
        <color theme="0" tint="-0.249977111117893"/>
      </bottom>
      <diagonal/>
    </border>
    <border>
      <left/>
      <right/>
      <top style="hair">
        <color theme="0" tint="-0.249977111117893"/>
      </top>
      <bottom/>
      <diagonal/>
    </border>
    <border>
      <left style="hair">
        <color theme="0" tint="-0.249977111117893"/>
      </left>
      <right/>
      <top/>
      <bottom/>
      <diagonal/>
    </border>
    <border>
      <left/>
      <right style="hair">
        <color theme="0" tint="-0.249977111117893"/>
      </right>
      <top style="hair">
        <color theme="0" tint="-0.249977111117893"/>
      </top>
      <bottom/>
      <diagonal/>
    </border>
    <border>
      <left/>
      <right style="hair">
        <color theme="0" tint="-0.249977111117893"/>
      </right>
      <top/>
      <bottom/>
      <diagonal/>
    </border>
    <border>
      <left style="hair">
        <color theme="0" tint="-0.249977111117893"/>
      </left>
      <right/>
      <top/>
      <bottom style="hair">
        <color theme="0" tint="-0.249977111117893"/>
      </bottom>
      <diagonal/>
    </border>
    <border>
      <left/>
      <right style="hair">
        <color theme="0" tint="-0.249977111117893"/>
      </right>
      <top/>
      <bottom style="hair">
        <color theme="0" tint="-0.249977111117893"/>
      </bottom>
      <diagonal/>
    </border>
    <border>
      <left style="hair">
        <color theme="0" tint="-0.249977111117893"/>
      </left>
      <right style="hair">
        <color theme="0" tint="-0.249977111117893"/>
      </right>
      <top/>
      <bottom/>
      <diagonal/>
    </border>
    <border>
      <left style="hair">
        <color theme="0" tint="-0.249977111117893"/>
      </left>
      <right style="hair">
        <color theme="0" tint="-0.249977111117893"/>
      </right>
      <top/>
      <bottom style="hair">
        <color theme="0" tint="-0.249977111117893"/>
      </bottom>
      <diagonal/>
    </border>
    <border>
      <left/>
      <right style="hair">
        <color theme="0" tint="-0.249977111117893"/>
      </right>
      <top style="hair">
        <color theme="0" tint="-0.249977111117893"/>
      </top>
      <bottom style="hair">
        <color theme="0" tint="-0.249977111117893"/>
      </bottom>
      <diagonal/>
    </border>
    <border>
      <left/>
      <right/>
      <top style="hair">
        <color theme="0" tint="-0.249977111117893"/>
      </top>
      <bottom style="hair">
        <color theme="0" tint="-0.249977111117893"/>
      </bottom>
      <diagonal/>
    </border>
    <border>
      <left/>
      <right/>
      <top/>
      <bottom style="hair">
        <color theme="0" tint="-0.249977111117893"/>
      </bottom>
      <diagonal/>
    </border>
    <border>
      <left/>
      <right style="thin">
        <color theme="0"/>
      </right>
      <top style="thin">
        <color theme="0" tint="-0.3499862666707358"/>
      </top>
      <bottom style="thin">
        <color theme="3"/>
      </bottom>
      <diagonal/>
    </border>
    <border>
      <left/>
      <right style="thin">
        <color theme="0"/>
      </right>
      <top style="thin">
        <color theme="3"/>
      </top>
      <bottom style="thick">
        <color theme="7"/>
      </bottom>
      <diagonal/>
    </border>
    <border/>
  </borders>
  <cellStyleXfs count="3">
    <xf numFmtId="0" fontId="22" fillId="0" borderId="0" applyAlignment="1">
      <alignment vertical="center"/>
    </xf>
    <xf numFmtId="38" fontId="22" fillId="0" borderId="0" applyAlignment="1">
      <alignment vertical="center"/>
    </xf>
    <xf numFmtId="0" fontId="30" fillId="0" borderId="0" applyAlignment="1">
      <alignment vertical="center"/>
    </xf>
  </cellStyleXfs>
  <cellXfs count="891">
    <xf numFmtId="0" fontId="0" fillId="0" borderId="0" applyAlignment="1" pivotButton="0" quotePrefix="0" xfId="0">
      <alignment vertical="center"/>
    </xf>
    <xf numFmtId="0" fontId="2" fillId="3" borderId="0" applyAlignment="1" pivotButton="0" quotePrefix="0" xfId="0">
      <alignment horizontal="center" vertical="center"/>
    </xf>
    <xf numFmtId="0" fontId="2" fillId="3" borderId="5" applyAlignment="1" pivotButton="0" quotePrefix="0" xfId="0">
      <alignment horizontal="center" vertical="center"/>
    </xf>
    <xf numFmtId="0" fontId="2" fillId="3" borderId="6" applyAlignment="1" pivotButton="0" quotePrefix="0" xfId="0">
      <alignment horizontal="center" vertical="center"/>
    </xf>
    <xf numFmtId="0" fontId="3" fillId="2" borderId="4" applyAlignment="1" pivotButton="0" quotePrefix="0" xfId="0">
      <alignment horizontal="left" vertical="center" indent="1"/>
    </xf>
    <xf numFmtId="0" fontId="3" fillId="2" borderId="4" applyAlignment="1" pivotButton="0" quotePrefix="0" xfId="0">
      <alignment horizontal="left" vertical="center" wrapText="1" indent="1"/>
    </xf>
    <xf numFmtId="0" fontId="3" fillId="2" borderId="8" applyAlignment="1" pivotButton="0" quotePrefix="0" xfId="0">
      <alignment horizontal="left" vertical="center" indent="1"/>
    </xf>
    <xf numFmtId="0" fontId="4" fillId="5" borderId="9" applyAlignment="1" pivotButton="0" quotePrefix="0" xfId="0">
      <alignment horizontal="left" vertical="center" indent="1"/>
    </xf>
    <xf numFmtId="0" fontId="3" fillId="2" borderId="0" applyAlignment="1" pivotButton="0" quotePrefix="0" xfId="0">
      <alignment horizontal="left" vertical="center" indent="1"/>
    </xf>
    <xf numFmtId="0" fontId="2" fillId="3" borderId="14" applyAlignment="1" pivotButton="0" quotePrefix="0" xfId="0">
      <alignment horizontal="center" vertical="center"/>
    </xf>
    <xf numFmtId="0" fontId="2" fillId="3" borderId="15" applyAlignment="1" pivotButton="0" quotePrefix="0" xfId="0">
      <alignment horizontal="center" vertical="center"/>
    </xf>
    <xf numFmtId="0" fontId="3" fillId="2" borderId="13" applyAlignment="1" pivotButton="0" quotePrefix="0" xfId="0">
      <alignment horizontal="left" vertical="center" wrapText="1" indent="1"/>
    </xf>
    <xf numFmtId="0" fontId="3" fillId="5" borderId="0" applyAlignment="1" pivotButton="0" quotePrefix="0" xfId="0">
      <alignment horizontal="left" vertical="center" indent="1"/>
    </xf>
    <xf numFmtId="0" fontId="3" fillId="2" borderId="12" applyAlignment="1" pivotButton="0" quotePrefix="0" xfId="0">
      <alignment horizontal="left" vertical="center" wrapText="1" indent="1"/>
    </xf>
    <xf numFmtId="164" fontId="8" fillId="0" borderId="1" applyAlignment="1" pivotButton="0" quotePrefix="0" xfId="0">
      <alignment horizontal="right" vertical="center" indent="1"/>
    </xf>
    <xf numFmtId="164" fontId="8" fillId="0" borderId="16" applyAlignment="1" pivotButton="0" quotePrefix="0" xfId="0">
      <alignment horizontal="right" vertical="center" indent="1"/>
    </xf>
    <xf numFmtId="164" fontId="8" fillId="0" borderId="17" applyAlignment="1" pivotButton="0" quotePrefix="0" xfId="0">
      <alignment horizontal="right" vertical="center" indent="1"/>
    </xf>
    <xf numFmtId="164" fontId="8" fillId="0" borderId="19" applyAlignment="1" pivotButton="0" quotePrefix="0" xfId="0">
      <alignment horizontal="right" vertical="center" indent="1"/>
    </xf>
    <xf numFmtId="164" fontId="8" fillId="0" borderId="20" applyAlignment="1" pivotButton="0" quotePrefix="0" xfId="0">
      <alignment horizontal="right" vertical="center" indent="1"/>
    </xf>
    <xf numFmtId="0" fontId="3" fillId="2" borderId="21" applyAlignment="1" pivotButton="0" quotePrefix="0" xfId="0">
      <alignment horizontal="left" vertical="center" wrapText="1" indent="1"/>
    </xf>
    <xf numFmtId="0" fontId="3" fillId="2" borderId="21" applyAlignment="1" pivotButton="0" quotePrefix="0" xfId="0">
      <alignment horizontal="left" vertical="center" indent="1"/>
    </xf>
    <xf numFmtId="0" fontId="3" fillId="2" borderId="16" applyAlignment="1" pivotButton="0" quotePrefix="0" xfId="0">
      <alignment horizontal="left" vertical="center" indent="1"/>
    </xf>
    <xf numFmtId="164" fontId="8" fillId="0" borderId="23" applyAlignment="1" pivotButton="0" quotePrefix="0" xfId="0">
      <alignment horizontal="right" vertical="center" indent="1"/>
    </xf>
    <xf numFmtId="164" fontId="8" fillId="0" borderId="24" applyAlignment="1" pivotButton="0" quotePrefix="0" xfId="0">
      <alignment horizontal="right" vertical="center" indent="1"/>
    </xf>
    <xf numFmtId="0" fontId="3" fillId="2" borderId="23" applyAlignment="1" pivotButton="0" quotePrefix="0" xfId="0">
      <alignment horizontal="left" vertical="center" indent="1"/>
    </xf>
    <xf numFmtId="164" fontId="8" fillId="0" borderId="26" applyAlignment="1" pivotButton="0" quotePrefix="0" xfId="0">
      <alignment horizontal="right" vertical="center" indent="1"/>
    </xf>
    <xf numFmtId="0" fontId="3" fillId="2" borderId="27" applyAlignment="1" pivotButton="0" quotePrefix="0" xfId="0">
      <alignment horizontal="left" vertical="center" wrapText="1" indent="1"/>
    </xf>
    <xf numFmtId="0" fontId="2" fillId="6" borderId="6" applyAlignment="1" pivotButton="0" quotePrefix="0" xfId="0">
      <alignment horizontal="center" vertical="center"/>
    </xf>
    <xf numFmtId="164" fontId="8" fillId="0" borderId="28" applyAlignment="1" pivotButton="0" quotePrefix="0" xfId="0">
      <alignment horizontal="right" vertical="center" indent="1"/>
    </xf>
    <xf numFmtId="164" fontId="8" fillId="0" borderId="21" applyAlignment="1" pivotButton="0" quotePrefix="0" xfId="0">
      <alignment horizontal="right" vertical="center" indent="1"/>
    </xf>
    <xf numFmtId="164" fontId="8" fillId="0" borderId="27" applyAlignment="1" pivotButton="0" quotePrefix="0" xfId="0">
      <alignment horizontal="right" vertical="center" indent="1"/>
    </xf>
    <xf numFmtId="164" fontId="8" fillId="0" borderId="29" applyAlignment="1" pivotButton="0" quotePrefix="0" xfId="0">
      <alignment horizontal="right" vertical="center" indent="1"/>
    </xf>
    <xf numFmtId="164" fontId="8" fillId="0" borderId="2" applyAlignment="1" pivotButton="0" quotePrefix="0" xfId="0">
      <alignment horizontal="right" vertical="center" indent="1"/>
    </xf>
    <xf numFmtId="164" fontId="8" fillId="0" borderId="30" applyAlignment="1" pivotButton="0" quotePrefix="0" xfId="0">
      <alignment horizontal="right" vertical="center" indent="1"/>
    </xf>
    <xf numFmtId="164" fontId="8" fillId="0" borderId="31" applyAlignment="1" pivotButton="0" quotePrefix="0" xfId="0">
      <alignment horizontal="right" vertical="center" indent="1"/>
    </xf>
    <xf numFmtId="0" fontId="0" fillId="0" borderId="33" applyAlignment="1" pivotButton="0" quotePrefix="0" xfId="0">
      <alignment vertical="center"/>
    </xf>
    <xf numFmtId="164" fontId="8" fillId="0" borderId="34" applyAlignment="1" pivotButton="0" quotePrefix="0" xfId="0">
      <alignment horizontal="right" vertical="center" indent="1"/>
    </xf>
    <xf numFmtId="164" fontId="8" fillId="0" borderId="36" applyAlignment="1" pivotButton="0" quotePrefix="0" xfId="0">
      <alignment horizontal="right" vertical="center" indent="1"/>
    </xf>
    <xf numFmtId="164" fontId="8" fillId="0" borderId="40" applyAlignment="1" pivotButton="0" quotePrefix="0" xfId="0">
      <alignment horizontal="right" vertical="center" indent="1"/>
    </xf>
    <xf numFmtId="0" fontId="0" fillId="0" borderId="45" applyAlignment="1" pivotButton="0" quotePrefix="0" xfId="0">
      <alignment vertical="center"/>
    </xf>
    <xf numFmtId="164" fontId="7" fillId="7" borderId="41" applyAlignment="1" pivotButton="0" quotePrefix="0" xfId="0">
      <alignment horizontal="right" vertical="center" indent="1"/>
    </xf>
    <xf numFmtId="164" fontId="7" fillId="7" borderId="39" applyAlignment="1" pivotButton="0" quotePrefix="0" xfId="0">
      <alignment horizontal="right" vertical="center" indent="1"/>
    </xf>
    <xf numFmtId="164" fontId="7" fillId="7" borderId="38" applyAlignment="1" pivotButton="0" quotePrefix="0" xfId="0">
      <alignment horizontal="right" vertical="center" indent="1"/>
    </xf>
    <xf numFmtId="164" fontId="7" fillId="7" borderId="37" applyAlignment="1" pivotButton="0" quotePrefix="0" xfId="0">
      <alignment horizontal="right" vertical="center" indent="1"/>
    </xf>
    <xf numFmtId="164" fontId="7" fillId="7" borderId="32" applyAlignment="1" pivotButton="0" quotePrefix="0" xfId="0">
      <alignment horizontal="right" vertical="center" indent="1"/>
    </xf>
    <xf numFmtId="164" fontId="7" fillId="7" borderId="35" applyAlignment="1" pivotButton="0" quotePrefix="0" xfId="0">
      <alignment horizontal="right" vertical="center" indent="1"/>
    </xf>
    <xf numFmtId="164" fontId="7" fillId="0" borderId="44" applyAlignment="1" pivotButton="0" quotePrefix="0" xfId="0">
      <alignment horizontal="right" vertical="center" indent="1"/>
    </xf>
    <xf numFmtId="164" fontId="7" fillId="0" borderId="46" applyAlignment="1" pivotButton="0" quotePrefix="0" xfId="0">
      <alignment horizontal="right" vertical="center" indent="1"/>
    </xf>
    <xf numFmtId="164" fontId="7" fillId="0" borderId="19" applyAlignment="1" pivotButton="0" quotePrefix="0" xfId="0">
      <alignment horizontal="right" vertical="center" indent="1"/>
    </xf>
    <xf numFmtId="164" fontId="7" fillId="0" borderId="47" applyAlignment="1" pivotButton="0" quotePrefix="0" xfId="0">
      <alignment horizontal="right" vertical="center" indent="1"/>
    </xf>
    <xf numFmtId="0" fontId="2" fillId="2" borderId="0" applyAlignment="1" pivotButton="0" quotePrefix="0" xfId="0">
      <alignment horizontal="center" vertical="center"/>
    </xf>
    <xf numFmtId="0" fontId="0" fillId="2" borderId="0" applyAlignment="1" pivotButton="0" quotePrefix="0" xfId="0">
      <alignment vertical="center"/>
    </xf>
    <xf numFmtId="0" fontId="6" fillId="2" borderId="0" applyAlignment="1" pivotButton="0" quotePrefix="0" xfId="0">
      <alignment horizontal="left" vertical="center" indent="1"/>
    </xf>
    <xf numFmtId="164" fontId="8" fillId="2" borderId="0" applyAlignment="1" pivotButton="0" quotePrefix="0" xfId="0">
      <alignment horizontal="right" vertical="center" indent="1"/>
    </xf>
    <xf numFmtId="0" fontId="9" fillId="2" borderId="0" applyAlignment="1" pivotButton="0" quotePrefix="0" xfId="0">
      <alignment horizontal="left" vertical="center" indent="1"/>
    </xf>
    <xf numFmtId="0" fontId="3" fillId="2" borderId="0" applyAlignment="1" pivotButton="0" quotePrefix="0" xfId="0">
      <alignment horizontal="left" vertical="center" wrapText="1" indent="1"/>
    </xf>
    <xf numFmtId="164" fontId="7" fillId="2" borderId="0" applyAlignment="1" pivotButton="0" quotePrefix="0" xfId="0">
      <alignment horizontal="right" vertical="center" indent="1"/>
    </xf>
    <xf numFmtId="0" fontId="10" fillId="2" borderId="0" applyAlignment="1" pivotButton="0" quotePrefix="0" xfId="0">
      <alignment vertical="center"/>
    </xf>
    <xf numFmtId="0" fontId="11" fillId="2" borderId="0" applyAlignment="1" pivotButton="0" quotePrefix="0" xfId="0">
      <alignment horizontal="left" vertical="center"/>
    </xf>
    <xf numFmtId="165" fontId="8" fillId="0" borderId="17" applyAlignment="1" pivotButton="0" quotePrefix="0" xfId="0">
      <alignment horizontal="right" vertical="center" indent="1"/>
    </xf>
    <xf numFmtId="164" fontId="12" fillId="0" borderId="16" applyAlignment="1" pivotButton="0" quotePrefix="0" xfId="0">
      <alignment horizontal="left" vertical="center" indent="1"/>
    </xf>
    <xf numFmtId="164" fontId="12" fillId="0" borderId="17" applyAlignment="1" pivotButton="0" quotePrefix="0" xfId="0">
      <alignment horizontal="left" vertical="center" indent="1"/>
    </xf>
    <xf numFmtId="164" fontId="12" fillId="0" borderId="17" applyAlignment="1" pivotButton="0" quotePrefix="0" xfId="0">
      <alignment horizontal="left" vertical="center" wrapText="1" indent="1"/>
    </xf>
    <xf numFmtId="0" fontId="13" fillId="3" borderId="5" applyAlignment="1" pivotButton="0" quotePrefix="0" xfId="0">
      <alignment horizontal="center" vertical="center"/>
    </xf>
    <xf numFmtId="0" fontId="13" fillId="3" borderId="6" applyAlignment="1" pivotButton="0" quotePrefix="0" xfId="0">
      <alignment horizontal="center" vertical="center"/>
    </xf>
    <xf numFmtId="0" fontId="14" fillId="0" borderId="0" applyAlignment="1" pivotButton="0" quotePrefix="0" xfId="0">
      <alignment vertical="center"/>
    </xf>
    <xf numFmtId="0" fontId="15" fillId="4" borderId="16" applyAlignment="1" pivotButton="0" quotePrefix="0" xfId="0">
      <alignment horizontal="left" vertical="center" indent="1"/>
    </xf>
    <xf numFmtId="0" fontId="16" fillId="0" borderId="0" applyAlignment="1" pivotButton="0" quotePrefix="0" xfId="0">
      <alignment vertical="center"/>
    </xf>
    <xf numFmtId="164" fontId="12" fillId="0" borderId="19" applyAlignment="1" pivotButton="0" quotePrefix="0" xfId="0">
      <alignment horizontal="right" vertical="center" indent="1"/>
    </xf>
    <xf numFmtId="0" fontId="14" fillId="0" borderId="33" applyAlignment="1" pivotButton="0" quotePrefix="0" xfId="0">
      <alignment vertical="center"/>
    </xf>
    <xf numFmtId="0" fontId="17" fillId="0" borderId="0" applyAlignment="1" pivotButton="0" quotePrefix="0" xfId="0">
      <alignment vertical="center"/>
    </xf>
    <xf numFmtId="0" fontId="18" fillId="0" borderId="0" applyAlignment="1" pivotButton="0" quotePrefix="0" xfId="0">
      <alignment vertical="center"/>
    </xf>
    <xf numFmtId="0" fontId="15" fillId="7" borderId="51" applyAlignment="1" pivotButton="0" quotePrefix="0" xfId="0">
      <alignment horizontal="left" vertical="center" indent="1"/>
    </xf>
    <xf numFmtId="0" fontId="14" fillId="0" borderId="0" applyAlignment="1" pivotButton="0" quotePrefix="0" xfId="0">
      <alignment horizontal="right" vertical="center"/>
    </xf>
    <xf numFmtId="0" fontId="20" fillId="0" borderId="0" applyAlignment="1" pivotButton="0" quotePrefix="0" xfId="0">
      <alignment vertical="center"/>
    </xf>
    <xf numFmtId="0" fontId="12" fillId="4" borderId="1" applyAlignment="1" pivotButton="0" quotePrefix="0" xfId="0">
      <alignment horizontal="left" vertical="center" indent="1"/>
    </xf>
    <xf numFmtId="0" fontId="12" fillId="4" borderId="25" applyAlignment="1" pivotButton="0" quotePrefix="0" xfId="0">
      <alignment horizontal="left" vertical="center" indent="1"/>
    </xf>
    <xf numFmtId="0" fontId="12" fillId="4" borderId="18" applyAlignment="1" pivotButton="0" quotePrefix="0" xfId="0">
      <alignment horizontal="left" vertical="center" indent="1"/>
    </xf>
    <xf numFmtId="0" fontId="12" fillId="4" borderId="49" applyAlignment="1" pivotButton="0" quotePrefix="0" xfId="0">
      <alignment horizontal="left" vertical="center" indent="1"/>
    </xf>
    <xf numFmtId="0" fontId="21" fillId="3" borderId="5" applyAlignment="1" pivotButton="0" quotePrefix="0" xfId="0">
      <alignment horizontal="center" vertical="center"/>
    </xf>
    <xf numFmtId="0" fontId="21" fillId="3" borderId="6" applyAlignment="1" pivotButton="0" quotePrefix="0" xfId="0">
      <alignment horizontal="center" vertical="center"/>
    </xf>
    <xf numFmtId="0" fontId="17" fillId="0" borderId="0" applyAlignment="1" pivotButton="0" quotePrefix="0" xfId="0">
      <alignment horizontal="center" vertical="center"/>
    </xf>
    <xf numFmtId="0" fontId="21" fillId="3" borderId="52" applyAlignment="1" pivotButton="0" quotePrefix="0" xfId="0">
      <alignment horizontal="centerContinuous" vertical="center"/>
    </xf>
    <xf numFmtId="0" fontId="21" fillId="3" borderId="53" applyAlignment="1" pivotButton="0" quotePrefix="0" xfId="0">
      <alignment horizontal="centerContinuous" vertical="center"/>
    </xf>
    <xf numFmtId="0" fontId="21" fillId="3" borderId="0" applyAlignment="1" pivotButton="0" quotePrefix="0" xfId="0">
      <alignment horizontal="centerContinuous" vertical="center"/>
    </xf>
    <xf numFmtId="0" fontId="12" fillId="4" borderId="54" applyAlignment="1" pivotButton="0" quotePrefix="0" xfId="0">
      <alignment horizontal="left" vertical="center" indent="1"/>
    </xf>
    <xf numFmtId="164" fontId="12" fillId="0" borderId="2" applyAlignment="1" pivotButton="0" quotePrefix="0" xfId="0">
      <alignment horizontal="right" vertical="center" indent="1"/>
    </xf>
    <xf numFmtId="0" fontId="12" fillId="4" borderId="55" applyAlignment="1" pivotButton="0" quotePrefix="0" xfId="0">
      <alignment horizontal="left" vertical="center" indent="1"/>
    </xf>
    <xf numFmtId="0" fontId="12" fillId="0" borderId="49" applyAlignment="1" pivotButton="0" quotePrefix="0" xfId="0">
      <alignment horizontal="left" vertical="center" indent="2"/>
    </xf>
    <xf numFmtId="164" fontId="12" fillId="0" borderId="19" applyAlignment="1" pivotButton="0" quotePrefix="0" xfId="0">
      <alignment horizontal="left" vertical="center" indent="2"/>
    </xf>
    <xf numFmtId="0" fontId="12" fillId="0" borderId="0" applyAlignment="1" pivotButton="0" quotePrefix="0" xfId="0">
      <alignment horizontal="left" vertical="center" indent="2"/>
    </xf>
    <xf numFmtId="164" fontId="12" fillId="0" borderId="0" applyAlignment="1" pivotButton="0" quotePrefix="0" xfId="0">
      <alignment horizontal="right" vertical="center" indent="1"/>
    </xf>
    <xf numFmtId="164" fontId="12" fillId="0" borderId="0" applyAlignment="1" pivotButton="0" quotePrefix="0" xfId="0">
      <alignment horizontal="left" vertical="center" indent="2"/>
    </xf>
    <xf numFmtId="164" fontId="12" fillId="0" borderId="17" applyAlignment="1" pivotButton="0" quotePrefix="0" xfId="0">
      <alignment horizontal="centerContinuous" vertical="center"/>
    </xf>
    <xf numFmtId="0" fontId="15" fillId="4" borderId="16" applyAlignment="1" pivotButton="0" quotePrefix="0" xfId="0">
      <alignment horizontal="center" vertical="center"/>
    </xf>
    <xf numFmtId="0" fontId="15" fillId="4" borderId="22" applyAlignment="1" pivotButton="0" quotePrefix="0" xfId="0">
      <alignment horizontal="center" vertical="center"/>
    </xf>
    <xf numFmtId="0" fontId="13" fillId="3" borderId="59" applyAlignment="1" pivotButton="0" quotePrefix="0" xfId="0">
      <alignment horizontal="centerContinuous" vertical="center"/>
    </xf>
    <xf numFmtId="0" fontId="13" fillId="3" borderId="60" applyAlignment="1" pivotButton="0" quotePrefix="0" xfId="0">
      <alignment horizontal="center" vertical="center"/>
    </xf>
    <xf numFmtId="0" fontId="12" fillId="2" borderId="17" applyAlignment="1" pivotButton="0" quotePrefix="0" xfId="0">
      <alignment horizontal="left" vertical="center" indent="1"/>
    </xf>
    <xf numFmtId="0" fontId="12" fillId="2" borderId="21" applyAlignment="1" pivotButton="0" quotePrefix="0" xfId="0">
      <alignment horizontal="left" vertical="center" indent="1"/>
    </xf>
    <xf numFmtId="166" fontId="8" fillId="0" borderId="17" applyAlignment="1" pivotButton="0" quotePrefix="0" xfId="0">
      <alignment vertical="center"/>
    </xf>
    <xf numFmtId="166" fontId="8" fillId="4" borderId="54" applyAlignment="1" pivotButton="0" quotePrefix="0" xfId="0">
      <alignment horizontal="right" vertical="center" indent="1"/>
    </xf>
    <xf numFmtId="166" fontId="8" fillId="0" borderId="19" applyAlignment="1" pivotButton="0" quotePrefix="0" xfId="0">
      <alignment horizontal="right" vertical="center" indent="1"/>
    </xf>
    <xf numFmtId="166" fontId="8" fillId="0" borderId="0" applyAlignment="1" pivotButton="0" quotePrefix="0" xfId="0">
      <alignment horizontal="right" vertical="center" indent="1"/>
    </xf>
    <xf numFmtId="166" fontId="8" fillId="4" borderId="18" applyAlignment="1" pivotButton="0" quotePrefix="0" xfId="0">
      <alignment horizontal="right" vertical="center" indent="1"/>
    </xf>
    <xf numFmtId="166" fontId="14" fillId="0" borderId="0" applyAlignment="1" pivotButton="0" quotePrefix="0" xfId="0">
      <alignment vertical="center"/>
    </xf>
    <xf numFmtId="166" fontId="8" fillId="4" borderId="57" applyAlignment="1" pivotButton="0" quotePrefix="0" xfId="0">
      <alignment vertical="center"/>
    </xf>
    <xf numFmtId="166" fontId="8" fillId="0" borderId="19" applyAlignment="1" pivotButton="0" quotePrefix="0" xfId="0">
      <alignment vertical="center"/>
    </xf>
    <xf numFmtId="166" fontId="8" fillId="0" borderId="0" applyAlignment="1" pivotButton="0" quotePrefix="0" xfId="0">
      <alignment vertical="center"/>
    </xf>
    <xf numFmtId="166" fontId="8" fillId="4" borderId="18" applyAlignment="1" pivotButton="0" quotePrefix="0" xfId="0">
      <alignment vertical="center"/>
    </xf>
    <xf numFmtId="166" fontId="8" fillId="0" borderId="47" applyAlignment="1" pivotButton="0" quotePrefix="0" xfId="0">
      <alignment horizontal="right" vertical="center" indent="1"/>
    </xf>
    <xf numFmtId="164" fontId="12" fillId="0" borderId="17" applyAlignment="1" pivotButton="0" quotePrefix="0" xfId="0">
      <alignment horizontal="right" vertical="center" indent="1"/>
    </xf>
    <xf numFmtId="166" fontId="8" fillId="0" borderId="17" applyAlignment="1" pivotButton="0" quotePrefix="0" xfId="0">
      <alignment horizontal="right" vertical="center" indent="1"/>
    </xf>
    <xf numFmtId="166" fontId="24" fillId="0" borderId="17" applyAlignment="1" pivotButton="0" quotePrefix="0" xfId="0">
      <alignment horizontal="right" vertical="center" indent="1"/>
    </xf>
    <xf numFmtId="166" fontId="12" fillId="0" borderId="17" applyAlignment="1" pivotButton="0" quotePrefix="0" xfId="0">
      <alignment horizontal="left" vertical="center" indent="1"/>
    </xf>
    <xf numFmtId="166" fontId="12" fillId="0" borderId="21" applyAlignment="1" pivotButton="0" quotePrefix="0" xfId="0">
      <alignment horizontal="left" vertical="center" indent="1"/>
    </xf>
    <xf numFmtId="0" fontId="2" fillId="3" borderId="61" applyAlignment="1" pivotButton="0" quotePrefix="0" xfId="0">
      <alignment horizontal="center" vertical="center"/>
    </xf>
    <xf numFmtId="0" fontId="23" fillId="0" borderId="0" applyAlignment="1" pivotButton="0" quotePrefix="0" xfId="0">
      <alignment vertical="center"/>
    </xf>
    <xf numFmtId="0" fontId="0" fillId="0" borderId="0" applyAlignment="1" pivotButton="0" quotePrefix="0" xfId="0">
      <alignment horizontal="center" vertical="center"/>
    </xf>
    <xf numFmtId="0" fontId="23" fillId="8" borderId="0" applyAlignment="1" pivotButton="0" quotePrefix="0" xfId="0">
      <alignment vertical="center"/>
    </xf>
    <xf numFmtId="0" fontId="23" fillId="0" borderId="0" applyAlignment="1" pivotButton="0" quotePrefix="0" xfId="0">
      <alignment horizontal="right" vertical="center"/>
    </xf>
    <xf numFmtId="0" fontId="0" fillId="0" borderId="0" applyAlignment="1" pivotButton="0" quotePrefix="0" xfId="0">
      <alignment horizontal="right" vertical="center"/>
    </xf>
    <xf numFmtId="14" fontId="23" fillId="8" borderId="0" applyAlignment="1" pivotButton="0" quotePrefix="0" xfId="0">
      <alignment horizontal="right" vertical="center"/>
    </xf>
    <xf numFmtId="164" fontId="24" fillId="0" borderId="16" applyAlignment="1" pivotButton="0" quotePrefix="0" xfId="0">
      <alignment horizontal="left" vertical="center" indent="1"/>
    </xf>
    <xf numFmtId="164" fontId="8" fillId="0" borderId="17" applyAlignment="1" pivotButton="0" quotePrefix="0" xfId="0">
      <alignment horizontal="left" vertical="center" indent="1"/>
    </xf>
    <xf numFmtId="0" fontId="0" fillId="0" borderId="0" applyAlignment="1" pivotButton="0" quotePrefix="0" xfId="0">
      <alignment horizontal="left" vertical="center"/>
    </xf>
    <xf numFmtId="164" fontId="8" fillId="0" borderId="16" applyAlignment="1" pivotButton="0" quotePrefix="0" xfId="0">
      <alignment vertical="center"/>
    </xf>
    <xf numFmtId="164" fontId="8" fillId="0" borderId="17" applyAlignment="1" pivotButton="0" quotePrefix="0" xfId="0">
      <alignment vertical="center"/>
    </xf>
    <xf numFmtId="0" fontId="2" fillId="9" borderId="61" applyAlignment="1" pivotButton="0" quotePrefix="0" xfId="0">
      <alignment horizontal="center" vertical="center"/>
    </xf>
    <xf numFmtId="0" fontId="2" fillId="9" borderId="6" applyAlignment="1" pivotButton="0" quotePrefix="0" xfId="0">
      <alignment horizontal="center" vertical="center"/>
    </xf>
    <xf numFmtId="0" fontId="13" fillId="3" borderId="0" applyAlignment="1" pivotButton="0" quotePrefix="0" xfId="0">
      <alignment horizontal="center" vertical="center"/>
    </xf>
    <xf numFmtId="164" fontId="12" fillId="0" borderId="16" applyAlignment="1" pivotButton="0" quotePrefix="0" xfId="0">
      <alignment horizontal="right" vertical="center" indent="1"/>
    </xf>
    <xf numFmtId="0" fontId="27" fillId="2" borderId="16" applyAlignment="1" pivotButton="0" quotePrefix="0" xfId="0">
      <alignment horizontal="left" vertical="center" indent="1"/>
    </xf>
    <xf numFmtId="166" fontId="8" fillId="0" borderId="16" applyAlignment="1" pivotButton="0" quotePrefix="0" xfId="0">
      <alignment horizontal="right" vertical="center" indent="1"/>
    </xf>
    <xf numFmtId="0" fontId="13" fillId="3" borderId="6" applyAlignment="1" pivotButton="0" quotePrefix="0" xfId="0">
      <alignment horizontal="center" vertical="center" wrapText="1"/>
    </xf>
    <xf numFmtId="0" fontId="12" fillId="0" borderId="16" applyAlignment="1" pivotButton="0" quotePrefix="0" xfId="0">
      <alignment horizontal="left" vertical="center" wrapText="1" indent="1"/>
    </xf>
    <xf numFmtId="0" fontId="12" fillId="2" borderId="16" applyAlignment="1" pivotButton="0" quotePrefix="0" xfId="0">
      <alignment horizontal="left" vertical="center" wrapText="1" indent="1"/>
    </xf>
    <xf numFmtId="164" fontId="12" fillId="0" borderId="16" applyAlignment="1" pivotButton="0" quotePrefix="0" xfId="0">
      <alignment horizontal="center" vertical="center" wrapText="1"/>
    </xf>
    <xf numFmtId="0" fontId="2" fillId="3" borderId="61" applyAlignment="1" pivotButton="0" quotePrefix="0" xfId="0">
      <alignment horizontal="center" vertical="center" wrapText="1"/>
    </xf>
    <xf numFmtId="0" fontId="2" fillId="3" borderId="6" applyAlignment="1" pivotButton="0" quotePrefix="0" xfId="0">
      <alignment horizontal="center" vertical="center" wrapText="1"/>
    </xf>
    <xf numFmtId="166" fontId="18" fillId="0" borderId="0" applyAlignment="1" pivotButton="0" quotePrefix="0" xfId="0">
      <alignment vertical="center"/>
    </xf>
    <xf numFmtId="0" fontId="27" fillId="2" borderId="21" applyAlignment="1" pivotButton="0" quotePrefix="0" xfId="0">
      <alignment horizontal="left" vertical="center" wrapText="1" indent="1"/>
    </xf>
    <xf numFmtId="167" fontId="8" fillId="0" borderId="16" applyAlignment="1" pivotButton="0" quotePrefix="0" xfId="0">
      <alignment horizontal="right" vertical="center" indent="1"/>
    </xf>
    <xf numFmtId="167" fontId="8" fillId="0" borderId="17" applyAlignment="1" pivotButton="0" quotePrefix="0" xfId="0">
      <alignment horizontal="right" vertical="center" indent="1"/>
    </xf>
    <xf numFmtId="167" fontId="18" fillId="0" borderId="0" applyAlignment="1" pivotButton="0" quotePrefix="0" xfId="0">
      <alignment vertical="center"/>
    </xf>
    <xf numFmtId="0" fontId="13" fillId="3" borderId="61" applyAlignment="1" pivotButton="0" quotePrefix="0" xfId="0">
      <alignment horizontal="center" vertical="center"/>
    </xf>
    <xf numFmtId="0" fontId="12" fillId="0" borderId="22" applyAlignment="1" pivotButton="0" quotePrefix="0" xfId="0">
      <alignment horizontal="left" vertical="center" indent="1"/>
    </xf>
    <xf numFmtId="167" fontId="24" fillId="0" borderId="17" applyAlignment="1" pivotButton="0" quotePrefix="0" xfId="0">
      <alignment horizontal="right" vertical="center" wrapText="1" indent="1"/>
    </xf>
    <xf numFmtId="0" fontId="14" fillId="0" borderId="0" applyAlignment="1" pivotButton="0" quotePrefix="0" xfId="0">
      <alignment horizontal="left" vertical="center"/>
    </xf>
    <xf numFmtId="167" fontId="8" fillId="0" borderId="17" applyAlignment="1" pivotButton="0" quotePrefix="0" xfId="0">
      <alignment horizontal="right" vertical="center" wrapText="1" indent="1"/>
    </xf>
    <xf numFmtId="0" fontId="28" fillId="3" borderId="6" applyAlignment="1" pivotButton="0" quotePrefix="0" xfId="0">
      <alignment horizontal="center" vertical="center" wrapText="1"/>
    </xf>
    <xf numFmtId="0" fontId="15" fillId="7" borderId="22" applyAlignment="1" pivotButton="0" quotePrefix="0" xfId="0">
      <alignment horizontal="center" vertical="center"/>
    </xf>
    <xf numFmtId="164" fontId="15" fillId="7" borderId="21" applyAlignment="1" pivotButton="0" quotePrefix="0" xfId="0">
      <alignment horizontal="centerContinuous" vertical="center"/>
    </xf>
    <xf numFmtId="166" fontId="7" fillId="7" borderId="21" applyAlignment="1" pivotButton="0" quotePrefix="0" xfId="0">
      <alignment horizontal="right" vertical="center" indent="1"/>
    </xf>
    <xf numFmtId="166" fontId="15" fillId="7" borderId="21" applyAlignment="1" pivotButton="0" quotePrefix="0" xfId="0">
      <alignment horizontal="left" vertical="center" indent="1"/>
    </xf>
    <xf numFmtId="0" fontId="15" fillId="7" borderId="21" applyAlignment="1" pivotButton="0" quotePrefix="0" xfId="0">
      <alignment horizontal="left" vertical="center" indent="1"/>
    </xf>
    <xf numFmtId="164" fontId="7" fillId="7" borderId="21" applyAlignment="1" pivotButton="0" quotePrefix="0" xfId="0">
      <alignment horizontal="right" vertical="center" indent="1"/>
    </xf>
    <xf numFmtId="165" fontId="7" fillId="7" borderId="17" applyAlignment="1" pivotButton="0" quotePrefix="0" xfId="0">
      <alignment horizontal="right" vertical="center" indent="1"/>
    </xf>
    <xf numFmtId="0" fontId="15" fillId="7" borderId="16" applyAlignment="1" pivotButton="0" quotePrefix="0" xfId="0">
      <alignment horizontal="left" vertical="center" indent="1"/>
    </xf>
    <xf numFmtId="164" fontId="15" fillId="7" borderId="17" applyAlignment="1" pivotButton="0" quotePrefix="0" xfId="0">
      <alignment horizontal="centerContinuous" vertical="center"/>
    </xf>
    <xf numFmtId="166" fontId="7" fillId="7" borderId="17" applyAlignment="1" pivotButton="0" quotePrefix="0" xfId="0">
      <alignment vertical="center"/>
    </xf>
    <xf numFmtId="164" fontId="7" fillId="7" borderId="17" applyAlignment="1" pivotButton="0" quotePrefix="0" xfId="0">
      <alignment horizontal="right" vertical="center"/>
    </xf>
    <xf numFmtId="164" fontId="12" fillId="4" borderId="16" applyAlignment="1" pivotButton="0" quotePrefix="0" xfId="0">
      <alignment horizontal="left" vertical="center" indent="1"/>
    </xf>
    <xf numFmtId="167" fontId="8" fillId="4" borderId="16" applyAlignment="1" pivotButton="0" quotePrefix="0" xfId="0">
      <alignment horizontal="right" vertical="center" indent="1"/>
    </xf>
    <xf numFmtId="164" fontId="12" fillId="4" borderId="16" applyAlignment="1" pivotButton="0" quotePrefix="0" xfId="0">
      <alignment horizontal="right" vertical="center" indent="1"/>
    </xf>
    <xf numFmtId="166" fontId="8" fillId="4" borderId="16" applyAlignment="1" pivotButton="0" quotePrefix="0" xfId="0">
      <alignment horizontal="right" vertical="center" indent="1"/>
    </xf>
    <xf numFmtId="0" fontId="27" fillId="4" borderId="16" applyAlignment="1" pivotButton="0" quotePrefix="0" xfId="0">
      <alignment horizontal="left" vertical="center" indent="1"/>
    </xf>
    <xf numFmtId="164" fontId="12" fillId="4" borderId="17" applyAlignment="1" pivotButton="0" quotePrefix="0" xfId="0">
      <alignment horizontal="left" vertical="center" indent="1"/>
    </xf>
    <xf numFmtId="167" fontId="8" fillId="4" borderId="17" applyAlignment="1" pivotButton="0" quotePrefix="0" xfId="0">
      <alignment horizontal="right" vertical="center" indent="1"/>
    </xf>
    <xf numFmtId="166" fontId="8" fillId="4" borderId="17" applyAlignment="1" pivotButton="0" quotePrefix="0" xfId="0">
      <alignment horizontal="right" vertical="center" indent="1"/>
    </xf>
    <xf numFmtId="0" fontId="2" fillId="3" borderId="6" applyAlignment="1" pivotButton="0" quotePrefix="0" xfId="0">
      <alignment horizontal="centerContinuous" vertical="center"/>
    </xf>
    <xf numFmtId="0" fontId="6" fillId="7" borderId="17" applyAlignment="1" pivotButton="0" quotePrefix="0" xfId="0">
      <alignment horizontal="left" vertical="center" indent="1"/>
    </xf>
    <xf numFmtId="166" fontId="7" fillId="7" borderId="17" applyAlignment="1" pivotButton="0" quotePrefix="0" xfId="0">
      <alignment horizontal="right" vertical="center" indent="1"/>
    </xf>
    <xf numFmtId="0" fontId="25" fillId="4" borderId="0" applyAlignment="1" pivotButton="0" quotePrefix="0" xfId="0">
      <alignment horizontal="left" vertical="center" indent="1"/>
    </xf>
    <xf numFmtId="0" fontId="26" fillId="4" borderId="0" applyAlignment="1" pivotButton="0" quotePrefix="0" xfId="0">
      <alignment horizontal="left" vertical="center" indent="1"/>
    </xf>
    <xf numFmtId="0" fontId="2" fillId="3" borderId="53" applyAlignment="1" pivotButton="0" quotePrefix="0" xfId="0">
      <alignment horizontal="centerContinuous" vertical="center"/>
    </xf>
    <xf numFmtId="0" fontId="2" fillId="3" borderId="0" applyAlignment="1" pivotButton="0" quotePrefix="0" xfId="0">
      <alignment horizontal="centerContinuous" vertical="center"/>
    </xf>
    <xf numFmtId="0" fontId="0" fillId="0" borderId="47" applyAlignment="1" pivotButton="0" quotePrefix="0" xfId="0">
      <alignment vertical="center"/>
    </xf>
    <xf numFmtId="0" fontId="25" fillId="4" borderId="19" applyAlignment="1" pivotButton="0" quotePrefix="0" xfId="0">
      <alignment horizontal="left" vertical="center" indent="1"/>
    </xf>
    <xf numFmtId="0" fontId="2" fillId="3" borderId="52" applyAlignment="1" pivotButton="0" quotePrefix="0" xfId="0">
      <alignment horizontal="centerContinuous" vertical="center"/>
    </xf>
    <xf numFmtId="0" fontId="6" fillId="7" borderId="21" applyAlignment="1" pivotButton="0" quotePrefix="0" xfId="0">
      <alignment horizontal="left" vertical="center" indent="1"/>
    </xf>
    <xf numFmtId="0" fontId="2" fillId="3" borderId="21" applyAlignment="1" pivotButton="0" quotePrefix="0" xfId="0">
      <alignment horizontal="left" vertical="center" indent="1"/>
    </xf>
    <xf numFmtId="0" fontId="2" fillId="3" borderId="69" applyAlignment="1" pivotButton="0" quotePrefix="0" xfId="0">
      <alignment horizontal="left" vertical="center" indent="1"/>
    </xf>
    <xf numFmtId="0" fontId="2" fillId="3" borderId="67" applyAlignment="1" pivotButton="0" quotePrefix="0" xfId="0">
      <alignment horizontal="left" vertical="center" indent="1"/>
    </xf>
    <xf numFmtId="0" fontId="0" fillId="0" borderId="19" applyAlignment="1" pivotButton="0" quotePrefix="0" xfId="0">
      <alignment vertical="center"/>
    </xf>
    <xf numFmtId="0" fontId="2" fillId="3" borderId="71" applyAlignment="1" pivotButton="0" quotePrefix="0" xfId="0">
      <alignment horizontal="centerContinuous" vertical="center"/>
    </xf>
    <xf numFmtId="0" fontId="2" fillId="3" borderId="19" applyAlignment="1" pivotButton="0" quotePrefix="0" xfId="0">
      <alignment horizontal="center" vertical="center"/>
    </xf>
    <xf numFmtId="0" fontId="26" fillId="4" borderId="19" applyAlignment="1" pivotButton="0" quotePrefix="0" xfId="0">
      <alignment horizontal="left" vertical="center" indent="1"/>
    </xf>
    <xf numFmtId="0" fontId="2" fillId="3" borderId="20" applyAlignment="1" pivotButton="0" quotePrefix="0" xfId="0">
      <alignment horizontal="left" vertical="center" indent="1"/>
    </xf>
    <xf numFmtId="0" fontId="25" fillId="7" borderId="21" applyAlignment="1" pivotButton="0" quotePrefix="0" xfId="0">
      <alignment horizontal="left" vertical="center" indent="1"/>
    </xf>
    <xf numFmtId="0" fontId="25" fillId="7" borderId="47" applyAlignment="1" pivotButton="0" quotePrefix="0" xfId="0">
      <alignment horizontal="left" vertical="center" indent="1"/>
    </xf>
    <xf numFmtId="0" fontId="25" fillId="4" borderId="64" applyAlignment="1" pivotButton="0" quotePrefix="0" xfId="0">
      <alignment horizontal="left" vertical="center" indent="1"/>
    </xf>
    <xf numFmtId="0" fontId="0" fillId="0" borderId="49" applyAlignment="1" pivotButton="0" quotePrefix="0" xfId="0">
      <alignment vertical="center"/>
    </xf>
    <xf numFmtId="0" fontId="2" fillId="3" borderId="49" applyAlignment="1" pivotButton="0" quotePrefix="0" xfId="0">
      <alignment horizontal="center" vertical="center"/>
    </xf>
    <xf numFmtId="0" fontId="2" fillId="11" borderId="49" applyAlignment="1" pivotButton="0" quotePrefix="0" xfId="0">
      <alignment horizontal="center" vertical="center"/>
    </xf>
    <xf numFmtId="0" fontId="2" fillId="3" borderId="62" applyAlignment="1" pivotButton="0" quotePrefix="0" xfId="0">
      <alignment horizontal="centerContinuous" vertical="center"/>
    </xf>
    <xf numFmtId="0" fontId="2" fillId="3" borderId="73" applyAlignment="1" pivotButton="0" quotePrefix="0" xfId="0">
      <alignment horizontal="center" vertical="center"/>
    </xf>
    <xf numFmtId="0" fontId="2" fillId="3" borderId="74" applyAlignment="1" pivotButton="0" quotePrefix="0" xfId="0">
      <alignment horizontal="centerContinuous" vertical="center"/>
    </xf>
    <xf numFmtId="0" fontId="2" fillId="3" borderId="63" applyAlignment="1" pivotButton="0" quotePrefix="0" xfId="0">
      <alignment horizontal="centerContinuous" vertical="center"/>
    </xf>
    <xf numFmtId="0" fontId="2" fillId="3" borderId="75" applyAlignment="1" pivotButton="0" quotePrefix="0" xfId="0">
      <alignment horizontal="centerContinuous" vertical="center"/>
    </xf>
    <xf numFmtId="0" fontId="2" fillId="3" borderId="76" applyAlignment="1" pivotButton="0" quotePrefix="0" xfId="0">
      <alignment horizontal="centerContinuous" vertical="center"/>
    </xf>
    <xf numFmtId="0" fontId="2" fillId="3" borderId="77" applyAlignment="1" pivotButton="0" quotePrefix="0" xfId="0">
      <alignment horizontal="centerContinuous" vertical="center"/>
    </xf>
    <xf numFmtId="0" fontId="2" fillId="3" borderId="78" applyAlignment="1" pivotButton="0" quotePrefix="0" xfId="0">
      <alignment horizontal="centerContinuous" vertical="center"/>
    </xf>
    <xf numFmtId="0" fontId="2" fillId="11" borderId="75" applyAlignment="1" pivotButton="0" quotePrefix="0" xfId="0">
      <alignment horizontal="centerContinuous" vertical="center"/>
    </xf>
    <xf numFmtId="0" fontId="2" fillId="11" borderId="74" applyAlignment="1" pivotButton="0" quotePrefix="0" xfId="0">
      <alignment horizontal="centerContinuous" vertical="center"/>
    </xf>
    <xf numFmtId="0" fontId="2" fillId="11" borderId="73" applyAlignment="1" pivotButton="0" quotePrefix="0" xfId="0">
      <alignment horizontal="center" vertical="center"/>
    </xf>
    <xf numFmtId="0" fontId="25" fillId="4" borderId="72" applyAlignment="1" pivotButton="0" quotePrefix="0" xfId="0">
      <alignment horizontal="left" vertical="center" indent="2"/>
    </xf>
    <xf numFmtId="0" fontId="25" fillId="4" borderId="0" applyAlignment="1" pivotButton="0" quotePrefix="0" xfId="0">
      <alignment horizontal="left" vertical="center" indent="2"/>
    </xf>
    <xf numFmtId="0" fontId="25" fillId="4" borderId="64" applyAlignment="1" pivotButton="0" quotePrefix="0" xfId="0">
      <alignment horizontal="left" vertical="center" indent="2"/>
    </xf>
    <xf numFmtId="0" fontId="9" fillId="4" borderId="57" applyAlignment="1" pivotButton="0" quotePrefix="0" xfId="0">
      <alignment horizontal="left" vertical="center" indent="2"/>
    </xf>
    <xf numFmtId="0" fontId="25" fillId="4" borderId="79" applyAlignment="1" pivotButton="0" quotePrefix="0" xfId="0">
      <alignment horizontal="left" vertical="center" indent="2"/>
    </xf>
    <xf numFmtId="0" fontId="9" fillId="4" borderId="0" applyAlignment="1" pivotButton="0" quotePrefix="0" xfId="0">
      <alignment horizontal="left" vertical="center" indent="2"/>
    </xf>
    <xf numFmtId="0" fontId="9" fillId="7" borderId="57" applyAlignment="1" pivotButton="0" quotePrefix="0" xfId="0">
      <alignment horizontal="left" vertical="center" indent="1"/>
    </xf>
    <xf numFmtId="0" fontId="25" fillId="4" borderId="79" applyAlignment="1" pivotButton="0" quotePrefix="0" xfId="0">
      <alignment horizontal="left" vertical="center" indent="3"/>
    </xf>
    <xf numFmtId="0" fontId="25" fillId="4" borderId="64" applyAlignment="1" pivotButton="0" quotePrefix="0" xfId="0">
      <alignment horizontal="left" vertical="center" indent="3"/>
    </xf>
    <xf numFmtId="0" fontId="25" fillId="4" borderId="0" applyAlignment="1" pivotButton="0" quotePrefix="0" xfId="0">
      <alignment horizontal="left" vertical="center" indent="3"/>
    </xf>
    <xf numFmtId="0" fontId="6" fillId="7" borderId="57" applyAlignment="1" pivotButton="0" quotePrefix="0" xfId="0">
      <alignment horizontal="left" vertical="center" indent="1"/>
    </xf>
    <xf numFmtId="0" fontId="6" fillId="4" borderId="64" applyAlignment="1" pivotButton="0" quotePrefix="0" xfId="0">
      <alignment horizontal="left" vertical="center" indent="1"/>
    </xf>
    <xf numFmtId="0" fontId="25" fillId="4" borderId="19" applyAlignment="1" pivotButton="0" quotePrefix="0" xfId="0">
      <alignment horizontal="left" vertical="center" indent="2"/>
    </xf>
    <xf numFmtId="0" fontId="6" fillId="7" borderId="57" applyAlignment="1" pivotButton="0" quotePrefix="0" xfId="0">
      <alignment horizontal="left" vertical="center"/>
    </xf>
    <xf numFmtId="0" fontId="2" fillId="3" borderId="68" applyAlignment="1" pivotButton="0" quotePrefix="0" xfId="0">
      <alignment horizontal="center" vertical="center"/>
    </xf>
    <xf numFmtId="0" fontId="2" fillId="11" borderId="68" applyAlignment="1" pivotButton="0" quotePrefix="0" xfId="0">
      <alignment horizontal="center" vertical="center"/>
    </xf>
    <xf numFmtId="0" fontId="25" fillId="10" borderId="67" applyAlignment="1" pivotButton="0" quotePrefix="0" xfId="0">
      <alignment horizontal="left" vertical="center" indent="2"/>
    </xf>
    <xf numFmtId="0" fontId="25" fillId="4" borderId="47" applyAlignment="1" pivotButton="0" quotePrefix="0" xfId="0">
      <alignment horizontal="left" vertical="center" indent="2"/>
    </xf>
    <xf numFmtId="0" fontId="2" fillId="3" borderId="60" applyAlignment="1" pivotButton="0" quotePrefix="0" xfId="0">
      <alignment horizontal="center" vertical="center"/>
    </xf>
    <xf numFmtId="0" fontId="2" fillId="11" borderId="60" applyAlignment="1" pivotButton="0" quotePrefix="0" xfId="0">
      <alignment horizontal="center" vertical="center"/>
    </xf>
    <xf numFmtId="0" fontId="9" fillId="7" borderId="57" applyAlignment="1" pivotButton="0" quotePrefix="0" xfId="0">
      <alignment horizontal="left" vertical="center" indent="2"/>
    </xf>
    <xf numFmtId="0" fontId="9" fillId="7" borderId="57" applyAlignment="1" pivotButton="0" quotePrefix="0" xfId="0">
      <alignment horizontal="left" vertical="center" indent="3"/>
    </xf>
    <xf numFmtId="0" fontId="26" fillId="0" borderId="57" applyAlignment="1" pivotButton="0" quotePrefix="0" xfId="0">
      <alignment horizontal="left" vertical="center" indent="2"/>
    </xf>
    <xf numFmtId="0" fontId="33" fillId="0" borderId="57" applyAlignment="1" pivotButton="0" quotePrefix="0" xfId="0">
      <alignment horizontal="left" vertical="center" indent="2"/>
    </xf>
    <xf numFmtId="0" fontId="21" fillId="11" borderId="6" applyAlignment="1" pivotButton="0" quotePrefix="0" xfId="0">
      <alignment horizontal="center" vertical="center"/>
    </xf>
    <xf numFmtId="0" fontId="34" fillId="4" borderId="22" applyAlignment="1" pivotButton="0" quotePrefix="0" xfId="0">
      <alignment horizontal="right" vertical="center" indent="1"/>
    </xf>
    <xf numFmtId="165" fontId="35" fillId="0" borderId="17" applyAlignment="1" pivotButton="0" quotePrefix="0" xfId="0">
      <alignment horizontal="right" vertical="center" indent="1"/>
    </xf>
    <xf numFmtId="0" fontId="34" fillId="0" borderId="0" applyAlignment="1" pivotButton="0" quotePrefix="0" xfId="0">
      <alignment vertical="center"/>
    </xf>
    <xf numFmtId="168" fontId="7" fillId="7" borderId="21" applyAlignment="1" pivotButton="0" quotePrefix="0" xfId="0">
      <alignment horizontal="right" vertical="center" indent="1"/>
    </xf>
    <xf numFmtId="168" fontId="8" fillId="0" borderId="0" applyAlignment="1" pivotButton="0" quotePrefix="0" xfId="0">
      <alignment horizontal="right" vertical="center" indent="1"/>
    </xf>
    <xf numFmtId="168" fontId="8" fillId="0" borderId="64" applyAlignment="1" pivotButton="0" quotePrefix="0" xfId="0">
      <alignment horizontal="right" vertical="center" indent="1"/>
    </xf>
    <xf numFmtId="168" fontId="0" fillId="0" borderId="0" applyAlignment="1" pivotButton="0" quotePrefix="0" xfId="0">
      <alignment vertical="center"/>
    </xf>
    <xf numFmtId="168" fontId="18" fillId="0" borderId="0" applyAlignment="1" pivotButton="0" quotePrefix="0" xfId="0">
      <alignment vertical="center"/>
    </xf>
    <xf numFmtId="0" fontId="2" fillId="3" borderId="1" applyAlignment="1" pivotButton="0" quotePrefix="0" xfId="0">
      <alignment horizontal="center" vertical="center"/>
    </xf>
    <xf numFmtId="0" fontId="2" fillId="3" borderId="81" applyAlignment="1" pivotButton="0" quotePrefix="0" xfId="0">
      <alignment horizontal="center" vertical="center"/>
    </xf>
    <xf numFmtId="168" fontId="7" fillId="7" borderId="17" applyAlignment="1" pivotButton="0" quotePrefix="0" xfId="0">
      <alignment horizontal="right" vertical="center" indent="1"/>
    </xf>
    <xf numFmtId="168" fontId="8" fillId="0" borderId="49" applyAlignment="1" pivotButton="0" quotePrefix="0" xfId="0">
      <alignment horizontal="right" vertical="center" indent="1"/>
    </xf>
    <xf numFmtId="168" fontId="8" fillId="0" borderId="17" applyAlignment="1" pivotButton="0" quotePrefix="0" xfId="0">
      <alignment horizontal="right" vertical="center" indent="1"/>
    </xf>
    <xf numFmtId="168" fontId="8" fillId="0" borderId="21" applyAlignment="1" pivotButton="0" quotePrefix="0" xfId="0">
      <alignment horizontal="right" vertical="center" indent="1"/>
    </xf>
    <xf numFmtId="168" fontId="28" fillId="3" borderId="67" applyAlignment="1" pivotButton="0" quotePrefix="0" xfId="0">
      <alignment horizontal="right" vertical="center" indent="1"/>
    </xf>
    <xf numFmtId="168" fontId="28" fillId="3" borderId="20" applyAlignment="1" pivotButton="0" quotePrefix="0" xfId="0">
      <alignment horizontal="right" vertical="center" indent="1"/>
    </xf>
    <xf numFmtId="168" fontId="28" fillId="3" borderId="59" applyAlignment="1" pivotButton="0" quotePrefix="0" xfId="0">
      <alignment horizontal="right" vertical="center" indent="1"/>
    </xf>
    <xf numFmtId="168" fontId="7" fillId="7" borderId="20" applyAlignment="1" pivotButton="0" quotePrefix="0" xfId="0">
      <alignment horizontal="right" vertical="center" indent="1"/>
    </xf>
    <xf numFmtId="168" fontId="8" fillId="0" borderId="19" applyAlignment="1" pivotButton="0" quotePrefix="0" xfId="0">
      <alignment horizontal="right" vertical="center" indent="1"/>
    </xf>
    <xf numFmtId="168" fontId="28" fillId="3" borderId="17" applyAlignment="1" pivotButton="0" quotePrefix="0" xfId="0">
      <alignment horizontal="right" vertical="center" indent="1"/>
    </xf>
    <xf numFmtId="0" fontId="6" fillId="4" borderId="57" applyAlignment="1" pivotButton="0" quotePrefix="0" xfId="0">
      <alignment horizontal="left" vertical="center" indent="2"/>
    </xf>
    <xf numFmtId="165" fontId="8" fillId="0" borderId="19" applyAlignment="1" pivotButton="0" quotePrefix="0" xfId="0">
      <alignment horizontal="right" vertical="center" indent="1"/>
    </xf>
    <xf numFmtId="166" fontId="31" fillId="2" borderId="49" applyAlignment="1" pivotButton="0" quotePrefix="0" xfId="0">
      <alignment horizontal="left" vertical="center" indent="1"/>
    </xf>
    <xf numFmtId="165" fontId="8" fillId="10" borderId="68" applyAlignment="1" pivotButton="0" quotePrefix="0" xfId="0">
      <alignment horizontal="right" vertical="center" indent="1"/>
    </xf>
    <xf numFmtId="165" fontId="8" fillId="7" borderId="3" applyAlignment="1" pivotButton="0" quotePrefix="0" xfId="0">
      <alignment horizontal="right" vertical="center" indent="1"/>
    </xf>
    <xf numFmtId="0" fontId="2" fillId="3" borderId="72" applyAlignment="1" pivotButton="0" quotePrefix="0" xfId="0">
      <alignment horizontal="center" vertical="center"/>
    </xf>
    <xf numFmtId="168" fontId="7" fillId="7" borderId="55" applyAlignment="1" pivotButton="0" quotePrefix="0" xfId="0">
      <alignment horizontal="right" vertical="center" indent="1"/>
    </xf>
    <xf numFmtId="0" fontId="6" fillId="7" borderId="64" applyAlignment="1" pivotButton="0" quotePrefix="0" xfId="0">
      <alignment horizontal="left" vertical="center" indent="1"/>
    </xf>
    <xf numFmtId="0" fontId="2" fillId="3" borderId="64" applyAlignment="1" pivotButton="0" quotePrefix="0" xfId="0">
      <alignment horizontal="left" vertical="center" indent="1"/>
    </xf>
    <xf numFmtId="0" fontId="26" fillId="4" borderId="64" applyAlignment="1" pivotButton="0" quotePrefix="0" xfId="0">
      <alignment horizontal="left" vertical="center" indent="1"/>
    </xf>
    <xf numFmtId="0" fontId="2" fillId="3" borderId="88" applyAlignment="1" pivotButton="0" quotePrefix="0" xfId="0">
      <alignment horizontal="left" vertical="center" indent="1"/>
    </xf>
    <xf numFmtId="0" fontId="2" fillId="3" borderId="70" applyAlignment="1" pivotButton="0" quotePrefix="0" xfId="0">
      <alignment horizontal="left" vertical="center" indent="1"/>
    </xf>
    <xf numFmtId="168" fontId="7" fillId="7" borderId="90" applyAlignment="1" pivotButton="0" quotePrefix="0" xfId="0">
      <alignment horizontal="right" vertical="center" indent="1"/>
    </xf>
    <xf numFmtId="168" fontId="8" fillId="0" borderId="91" applyAlignment="1" pivotButton="0" quotePrefix="0" xfId="0">
      <alignment horizontal="right" vertical="center" indent="1"/>
    </xf>
    <xf numFmtId="168" fontId="7" fillId="7" borderId="92" applyAlignment="1" pivotButton="0" quotePrefix="0" xfId="0">
      <alignment horizontal="right" vertical="center" indent="1"/>
    </xf>
    <xf numFmtId="168" fontId="28" fillId="3" borderId="93" applyAlignment="1" pivotButton="0" quotePrefix="0" xfId="0">
      <alignment horizontal="right" vertical="center" indent="1"/>
    </xf>
    <xf numFmtId="0" fontId="2" fillId="6" borderId="89" applyAlignment="1" pivotButton="0" quotePrefix="0" xfId="0">
      <alignment horizontal="center" vertical="center"/>
    </xf>
    <xf numFmtId="0" fontId="2" fillId="3" borderId="94" applyAlignment="1" pivotButton="0" quotePrefix="0" xfId="0">
      <alignment horizontal="center" vertical="center"/>
    </xf>
    <xf numFmtId="168" fontId="8" fillId="0" borderId="47" applyAlignment="1" pivotButton="0" quotePrefix="0" xfId="0">
      <alignment horizontal="right" vertical="center" indent="1"/>
    </xf>
    <xf numFmtId="168" fontId="28" fillId="3" borderId="21" applyAlignment="1" pivotButton="0" quotePrefix="0" xfId="0">
      <alignment horizontal="right" vertical="center" indent="1"/>
    </xf>
    <xf numFmtId="168" fontId="7" fillId="7" borderId="95" applyAlignment="1" pivotButton="0" quotePrefix="0" xfId="0">
      <alignment horizontal="right" vertical="center" indent="1"/>
    </xf>
    <xf numFmtId="168" fontId="8" fillId="0" borderId="90" applyAlignment="1" pivotButton="0" quotePrefix="0" xfId="0">
      <alignment horizontal="right" vertical="center" indent="1"/>
    </xf>
    <xf numFmtId="168" fontId="28" fillId="3" borderId="96" applyAlignment="1" pivotButton="0" quotePrefix="0" xfId="0">
      <alignment horizontal="right" vertical="center" indent="1"/>
    </xf>
    <xf numFmtId="168" fontId="28" fillId="3" borderId="98" applyAlignment="1" pivotButton="0" quotePrefix="0" xfId="0">
      <alignment horizontal="right" vertical="center" indent="1"/>
    </xf>
    <xf numFmtId="168" fontId="28" fillId="3" borderId="99" applyAlignment="1" pivotButton="0" quotePrefix="0" xfId="0">
      <alignment horizontal="right" vertical="center" indent="1"/>
    </xf>
    <xf numFmtId="0" fontId="2" fillId="11" borderId="62" applyAlignment="1" pivotButton="0" quotePrefix="0" xfId="0">
      <alignment horizontal="centerContinuous" vertical="center"/>
    </xf>
    <xf numFmtId="0" fontId="2" fillId="11" borderId="0" applyAlignment="1" pivotButton="0" quotePrefix="0" xfId="0">
      <alignment horizontal="centerContinuous" vertical="center"/>
    </xf>
    <xf numFmtId="0" fontId="2" fillId="3" borderId="66" applyAlignment="1" pivotButton="0" quotePrefix="0" xfId="0">
      <alignment horizontal="center" vertical="center"/>
    </xf>
    <xf numFmtId="0" fontId="2" fillId="11" borderId="69" applyAlignment="1" pivotButton="0" quotePrefix="0" xfId="0">
      <alignment horizontal="center" vertical="center"/>
    </xf>
    <xf numFmtId="168" fontId="7" fillId="0" borderId="20" applyAlignment="1" pivotButton="0" quotePrefix="0" xfId="0">
      <alignment horizontal="right" vertical="center" indent="1"/>
    </xf>
    <xf numFmtId="168" fontId="7" fillId="0" borderId="17" applyAlignment="1" pivotButton="0" quotePrefix="0" xfId="0">
      <alignment horizontal="right" vertical="center" indent="1"/>
    </xf>
    <xf numFmtId="168" fontId="0" fillId="0" borderId="19" applyAlignment="1" pivotButton="0" quotePrefix="0" xfId="0">
      <alignment vertical="center"/>
    </xf>
    <xf numFmtId="0" fontId="2" fillId="3" borderId="69" applyAlignment="1" pivotButton="0" quotePrefix="0" xfId="0">
      <alignment horizontal="center" vertical="center"/>
    </xf>
    <xf numFmtId="168" fontId="7" fillId="0" borderId="21" applyAlignment="1" pivotButton="0" quotePrefix="0" xfId="0">
      <alignment horizontal="right" vertical="center" indent="1"/>
    </xf>
    <xf numFmtId="168" fontId="7" fillId="0" borderId="92" applyAlignment="1" pivotButton="0" quotePrefix="0" xfId="0">
      <alignment horizontal="right" vertical="center" indent="1"/>
    </xf>
    <xf numFmtId="168" fontId="7" fillId="0" borderId="90" applyAlignment="1" pivotButton="0" quotePrefix="0" xfId="0">
      <alignment horizontal="right" vertical="center" indent="1"/>
    </xf>
    <xf numFmtId="168" fontId="7" fillId="7" borderId="96" applyAlignment="1" pivotButton="0" quotePrefix="0" xfId="0">
      <alignment horizontal="right" vertical="center" indent="1"/>
    </xf>
    <xf numFmtId="0" fontId="2" fillId="6" borderId="100" applyAlignment="1" pivotButton="0" quotePrefix="0" xfId="0">
      <alignment horizontal="center" vertical="center"/>
    </xf>
    <xf numFmtId="168" fontId="29" fillId="0" borderId="17" applyAlignment="1" pivotButton="0" quotePrefix="0" xfId="0">
      <alignment horizontal="right" vertical="center" indent="1"/>
    </xf>
    <xf numFmtId="168" fontId="29" fillId="0" borderId="64" applyAlignment="1" pivotButton="0" quotePrefix="0" xfId="0">
      <alignment horizontal="right" vertical="center" indent="1"/>
    </xf>
    <xf numFmtId="168" fontId="29" fillId="0" borderId="91" applyAlignment="1" pivotButton="0" quotePrefix="0" xfId="0">
      <alignment horizontal="right" vertical="center" indent="1"/>
    </xf>
    <xf numFmtId="168" fontId="7" fillId="7" borderId="101" applyAlignment="1" pivotButton="0" quotePrefix="0" xfId="0">
      <alignment horizontal="right" vertical="center" indent="1"/>
    </xf>
    <xf numFmtId="168" fontId="7" fillId="7" borderId="102" applyAlignment="1" pivotButton="0" quotePrefix="0" xfId="0">
      <alignment horizontal="right" vertical="center" indent="1"/>
    </xf>
    <xf numFmtId="168" fontId="7" fillId="7" borderId="104" applyAlignment="1" pivotButton="0" quotePrefix="0" xfId="0">
      <alignment horizontal="right" vertical="center" indent="1"/>
    </xf>
    <xf numFmtId="0" fontId="2" fillId="12" borderId="105" applyAlignment="1" pivotButton="0" quotePrefix="0" xfId="0">
      <alignment horizontal="centerContinuous" vertical="center"/>
    </xf>
    <xf numFmtId="0" fontId="2" fillId="3" borderId="105" applyAlignment="1" pivotButton="0" quotePrefix="0" xfId="0">
      <alignment horizontal="centerContinuous" vertical="center"/>
    </xf>
    <xf numFmtId="168" fontId="8" fillId="0" borderId="1" applyAlignment="1" pivotButton="0" quotePrefix="0" xfId="0">
      <alignment horizontal="right" vertical="center" indent="1"/>
    </xf>
    <xf numFmtId="168" fontId="8" fillId="0" borderId="3" applyAlignment="1" pivotButton="0" quotePrefix="0" xfId="0">
      <alignment horizontal="right" vertical="center" indent="1"/>
    </xf>
    <xf numFmtId="168" fontId="8" fillId="0" borderId="7" applyAlignment="1" pivotButton="0" quotePrefix="0" xfId="0">
      <alignment horizontal="right" vertical="center" indent="1"/>
    </xf>
    <xf numFmtId="168" fontId="5" fillId="5" borderId="10" applyAlignment="1" pivotButton="0" quotePrefix="0" xfId="0">
      <alignment horizontal="right" vertical="center" indent="1"/>
    </xf>
    <xf numFmtId="168" fontId="8" fillId="0" borderId="12" applyAlignment="1" pivotButton="0" quotePrefix="0" xfId="0">
      <alignment horizontal="right" vertical="center" indent="1"/>
    </xf>
    <xf numFmtId="168" fontId="8" fillId="0" borderId="13" applyAlignment="1" pivotButton="0" quotePrefix="0" xfId="0">
      <alignment horizontal="right" vertical="center" indent="1"/>
    </xf>
    <xf numFmtId="168" fontId="5" fillId="5" borderId="0" applyAlignment="1" pivotButton="0" quotePrefix="0" xfId="0">
      <alignment horizontal="right" vertical="center" indent="1"/>
    </xf>
    <xf numFmtId="0" fontId="3" fillId="2" borderId="12" applyAlignment="1" pivotButton="0" quotePrefix="0" xfId="0">
      <alignment horizontal="left" vertical="center" indent="1"/>
    </xf>
    <xf numFmtId="0" fontId="25" fillId="2" borderId="17" applyAlignment="1" pivotButton="0" quotePrefix="0" xfId="0">
      <alignment horizontal="left" vertical="center" indent="1"/>
    </xf>
    <xf numFmtId="166" fontId="8" fillId="2" borderId="17" applyAlignment="1" pivotButton="0" quotePrefix="0" xfId="0">
      <alignment horizontal="right" vertical="center" indent="1"/>
    </xf>
    <xf numFmtId="0" fontId="25" fillId="7" borderId="85" applyAlignment="1" pivotButton="0" quotePrefix="0" xfId="0">
      <alignment horizontal="left" vertical="center" indent="1"/>
    </xf>
    <xf numFmtId="168" fontId="8" fillId="2" borderId="17" applyAlignment="1" pivotButton="0" quotePrefix="0" xfId="0">
      <alignment horizontal="right" vertical="center" indent="1"/>
    </xf>
    <xf numFmtId="168" fontId="8" fillId="2" borderId="90" applyAlignment="1" pivotButton="0" quotePrefix="0" xfId="0">
      <alignment horizontal="right" vertical="center" indent="1"/>
    </xf>
    <xf numFmtId="0" fontId="25" fillId="4" borderId="25" applyAlignment="1" pivotButton="0" quotePrefix="0" xfId="0">
      <alignment horizontal="left" vertical="center" indent="1"/>
    </xf>
    <xf numFmtId="168" fontId="8" fillId="0" borderId="48" applyAlignment="1" pivotButton="0" quotePrefix="0" xfId="0">
      <alignment horizontal="right" vertical="center" indent="1"/>
    </xf>
    <xf numFmtId="168" fontId="8" fillId="0" borderId="108" applyAlignment="1" pivotButton="0" quotePrefix="0" xfId="0">
      <alignment horizontal="right" vertical="center" indent="1"/>
    </xf>
    <xf numFmtId="168" fontId="8" fillId="0" borderId="109" applyAlignment="1" pivotButton="0" quotePrefix="0" xfId="0">
      <alignment horizontal="right" vertical="center" indent="1"/>
    </xf>
    <xf numFmtId="168" fontId="8" fillId="2" borderId="20" applyAlignment="1" pivotButton="0" quotePrefix="0" xfId="0">
      <alignment horizontal="right" vertical="center" indent="1"/>
    </xf>
    <xf numFmtId="168" fontId="8" fillId="2" borderId="55" applyAlignment="1" pivotButton="0" quotePrefix="0" xfId="0">
      <alignment horizontal="right" vertical="center" indent="1"/>
    </xf>
    <xf numFmtId="168" fontId="8" fillId="2" borderId="92" applyAlignment="1" pivotButton="0" quotePrefix="0" xfId="0">
      <alignment horizontal="right" vertical="center" indent="1"/>
    </xf>
    <xf numFmtId="0" fontId="25" fillId="4" borderId="110" applyAlignment="1" pivotButton="0" quotePrefix="0" xfId="0">
      <alignment horizontal="left" vertical="center" indent="1"/>
    </xf>
    <xf numFmtId="0" fontId="25" fillId="4" borderId="48" applyAlignment="1" pivotButton="0" quotePrefix="0" xfId="0">
      <alignment horizontal="left" vertical="center" indent="1"/>
    </xf>
    <xf numFmtId="168" fontId="8" fillId="2" borderId="111" applyAlignment="1" pivotButton="0" quotePrefix="0" xfId="0">
      <alignment horizontal="right" vertical="center" indent="1"/>
    </xf>
    <xf numFmtId="168" fontId="8" fillId="2" borderId="65" applyAlignment="1" pivotButton="0" quotePrefix="0" xfId="0">
      <alignment horizontal="right" vertical="center" indent="1"/>
    </xf>
    <xf numFmtId="168" fontId="8" fillId="2" borderId="112" applyAlignment="1" pivotButton="0" quotePrefix="0" xfId="0">
      <alignment horizontal="right" vertical="center" indent="1"/>
    </xf>
    <xf numFmtId="168" fontId="8" fillId="0" borderId="103" applyAlignment="1" pivotButton="0" quotePrefix="0" xfId="0">
      <alignment horizontal="right" vertical="center" indent="1"/>
    </xf>
    <xf numFmtId="0" fontId="6" fillId="5" borderId="17" applyAlignment="1" pivotButton="0" quotePrefix="0" xfId="0">
      <alignment horizontal="left" vertical="center" indent="1"/>
    </xf>
    <xf numFmtId="168" fontId="7" fillId="5" borderId="64" applyAlignment="1" pivotButton="0" quotePrefix="0" xfId="0">
      <alignment horizontal="right" vertical="center" indent="1"/>
    </xf>
    <xf numFmtId="168" fontId="7" fillId="5" borderId="91" applyAlignment="1" pivotButton="0" quotePrefix="0" xfId="0">
      <alignment horizontal="right" vertical="center" indent="1"/>
    </xf>
    <xf numFmtId="0" fontId="6" fillId="5" borderId="82" applyAlignment="1" pivotButton="0" quotePrefix="0" xfId="0">
      <alignment horizontal="left" vertical="center" indent="1"/>
    </xf>
    <xf numFmtId="168" fontId="7" fillId="5" borderId="20" applyAlignment="1" pivotButton="0" quotePrefix="0" xfId="0">
      <alignment horizontal="right" vertical="center" indent="1"/>
    </xf>
    <xf numFmtId="168" fontId="7" fillId="5" borderId="92" applyAlignment="1" pivotButton="0" quotePrefix="0" xfId="0">
      <alignment horizontal="right" vertical="center" indent="1"/>
    </xf>
    <xf numFmtId="0" fontId="25" fillId="4" borderId="19" applyAlignment="1" pivotButton="0" quotePrefix="0" xfId="0">
      <alignment horizontal="left" vertical="center" indent="3"/>
    </xf>
    <xf numFmtId="0" fontId="25" fillId="4" borderId="17" applyAlignment="1" pivotButton="0" quotePrefix="0" xfId="0">
      <alignment horizontal="left" vertical="center" indent="3"/>
    </xf>
    <xf numFmtId="0" fontId="25" fillId="4" borderId="47" applyAlignment="1" pivotButton="0" quotePrefix="0" xfId="0">
      <alignment horizontal="left" vertical="center" indent="3"/>
    </xf>
    <xf numFmtId="0" fontId="25" fillId="4" borderId="21" applyAlignment="1" pivotButton="0" quotePrefix="0" xfId="0">
      <alignment horizontal="left" vertical="center" indent="3"/>
    </xf>
    <xf numFmtId="0" fontId="25" fillId="2" borderId="17" applyAlignment="1" pivotButton="0" quotePrefix="0" xfId="0">
      <alignment horizontal="left" vertical="center" indent="2"/>
    </xf>
    <xf numFmtId="0" fontId="26" fillId="4" borderId="19" applyAlignment="1" pivotButton="0" quotePrefix="0" xfId="0">
      <alignment horizontal="left" vertical="center" indent="3"/>
    </xf>
    <xf numFmtId="0" fontId="6" fillId="5" borderId="3" applyAlignment="1" pivotButton="0" quotePrefix="0" xfId="0">
      <alignment horizontal="left" vertical="center"/>
    </xf>
    <xf numFmtId="0" fontId="26" fillId="4" borderId="0" applyAlignment="1" pivotButton="0" quotePrefix="0" xfId="0">
      <alignment horizontal="left" vertical="center" indent="3"/>
    </xf>
    <xf numFmtId="0" fontId="26" fillId="4" borderId="47" applyAlignment="1" pivotButton="0" quotePrefix="0" xfId="0">
      <alignment horizontal="left" vertical="center" indent="3"/>
    </xf>
    <xf numFmtId="0" fontId="25" fillId="2" borderId="111" applyAlignment="1" pivotButton="0" quotePrefix="0" xfId="0">
      <alignment horizontal="left" vertical="center" indent="3"/>
    </xf>
    <xf numFmtId="0" fontId="25" fillId="2" borderId="113" applyAlignment="1" pivotButton="0" quotePrefix="0" xfId="0">
      <alignment horizontal="left" vertical="center" indent="3"/>
    </xf>
    <xf numFmtId="168" fontId="8" fillId="2" borderId="110" applyAlignment="1" pivotButton="0" quotePrefix="0" xfId="0">
      <alignment horizontal="right" vertical="center" indent="1"/>
    </xf>
    <xf numFmtId="168" fontId="8" fillId="2" borderId="114" applyAlignment="1" pivotButton="0" quotePrefix="0" xfId="0">
      <alignment horizontal="right" vertical="center" indent="1"/>
    </xf>
    <xf numFmtId="168" fontId="8" fillId="2" borderId="116" applyAlignment="1" pivotButton="0" quotePrefix="0" xfId="0">
      <alignment horizontal="right" vertical="center" indent="1"/>
    </xf>
    <xf numFmtId="168" fontId="8" fillId="2" borderId="115" applyAlignment="1" pivotButton="0" quotePrefix="0" xfId="0">
      <alignment horizontal="right" vertical="center" indent="1"/>
    </xf>
    <xf numFmtId="168" fontId="8" fillId="2" borderId="103" applyAlignment="1" pivotButton="0" quotePrefix="0" xfId="0">
      <alignment horizontal="right" vertical="center" indent="1"/>
    </xf>
    <xf numFmtId="168" fontId="8" fillId="2" borderId="102" applyAlignment="1" pivotButton="0" quotePrefix="0" xfId="0">
      <alignment horizontal="right" vertical="center" indent="1"/>
    </xf>
    <xf numFmtId="0" fontId="15" fillId="4" borderId="1" applyAlignment="1" pivotButton="0" quotePrefix="0" xfId="0">
      <alignment horizontal="left" vertical="center" indent="1"/>
    </xf>
    <xf numFmtId="169" fontId="8" fillId="0" borderId="1" applyAlignment="1" pivotButton="0" quotePrefix="0" xfId="0">
      <alignment horizontal="right" vertical="center" indent="1"/>
    </xf>
    <xf numFmtId="169" fontId="8" fillId="0" borderId="3" applyAlignment="1" pivotButton="0" quotePrefix="0" xfId="0">
      <alignment horizontal="right" vertical="center" indent="1"/>
    </xf>
    <xf numFmtId="169" fontId="8" fillId="0" borderId="7" applyAlignment="1" pivotButton="0" quotePrefix="0" xfId="0">
      <alignment horizontal="right" vertical="center" indent="1"/>
    </xf>
    <xf numFmtId="169" fontId="5" fillId="5" borderId="10" applyAlignment="1" pivotButton="0" quotePrefix="0" xfId="0">
      <alignment horizontal="right" vertical="center" indent="1"/>
    </xf>
    <xf numFmtId="0" fontId="15" fillId="5" borderId="10" applyAlignment="1" pivotButton="0" quotePrefix="0" xfId="0">
      <alignment horizontal="left" vertical="center" indent="1"/>
    </xf>
    <xf numFmtId="38" fontId="15" fillId="2" borderId="1" applyAlignment="1" pivotButton="0" quotePrefix="0" xfId="1">
      <alignment horizontal="right" vertical="center" indent="1"/>
    </xf>
    <xf numFmtId="38" fontId="15" fillId="2" borderId="19" applyAlignment="1" pivotButton="0" quotePrefix="0" xfId="1">
      <alignment horizontal="right" vertical="center" indent="1"/>
    </xf>
    <xf numFmtId="38" fontId="15" fillId="2" borderId="7" applyAlignment="1" pivotButton="0" quotePrefix="0" xfId="1">
      <alignment horizontal="right" vertical="center" indent="1"/>
    </xf>
    <xf numFmtId="38" fontId="15" fillId="2" borderId="3" applyAlignment="1" pivotButton="0" quotePrefix="0" xfId="1">
      <alignment horizontal="right" vertical="center" indent="1"/>
    </xf>
    <xf numFmtId="0" fontId="15" fillId="5" borderId="10" applyAlignment="1" pivotButton="0" quotePrefix="0" xfId="0">
      <alignment horizontal="right" vertical="center" indent="1"/>
    </xf>
    <xf numFmtId="168" fontId="8" fillId="5" borderId="1" applyAlignment="1" pivotButton="0" quotePrefix="0" xfId="0">
      <alignment horizontal="right" vertical="center" indent="1"/>
    </xf>
    <xf numFmtId="168" fontId="8" fillId="2" borderId="1" applyAlignment="1" pivotButton="0" quotePrefix="0" xfId="0">
      <alignment horizontal="right" vertical="center" indent="1"/>
    </xf>
    <xf numFmtId="168" fontId="12" fillId="2" borderId="1" applyAlignment="1" pivotButton="0" quotePrefix="0" xfId="0">
      <alignment horizontal="right" vertical="center" indent="1"/>
    </xf>
    <xf numFmtId="168" fontId="24" fillId="2" borderId="1" applyAlignment="1" pivotButton="0" quotePrefix="0" xfId="0">
      <alignment horizontal="right" vertical="center" indent="1"/>
    </xf>
    <xf numFmtId="168" fontId="8" fillId="5" borderId="19" applyAlignment="1" pivotButton="0" quotePrefix="0" xfId="0">
      <alignment horizontal="right" vertical="center" indent="1"/>
    </xf>
    <xf numFmtId="168" fontId="12" fillId="2" borderId="3" applyAlignment="1" pivotButton="0" quotePrefix="0" xfId="0">
      <alignment horizontal="right" vertical="center" indent="1"/>
    </xf>
    <xf numFmtId="168" fontId="13" fillId="3" borderId="3" applyAlignment="1" pivotButton="0" quotePrefix="0" xfId="0">
      <alignment horizontal="centerContinuous" vertical="center"/>
    </xf>
    <xf numFmtId="0" fontId="3" fillId="2" borderId="117" applyAlignment="1" pivotButton="0" quotePrefix="0" xfId="0">
      <alignment horizontal="left" vertical="center" indent="1"/>
    </xf>
    <xf numFmtId="38" fontId="12" fillId="2" borderId="1" applyAlignment="1" pivotButton="0" quotePrefix="0" xfId="1">
      <alignment horizontal="center" vertical="center"/>
    </xf>
    <xf numFmtId="38" fontId="12" fillId="2" borderId="3" applyAlignment="1" pivotButton="0" quotePrefix="0" xfId="1">
      <alignment horizontal="center" vertical="center"/>
    </xf>
    <xf numFmtId="38" fontId="12" fillId="2" borderId="7" applyAlignment="1" pivotButton="0" quotePrefix="0" xfId="1">
      <alignment horizontal="center" vertical="center"/>
    </xf>
    <xf numFmtId="0" fontId="12" fillId="5" borderId="10" applyAlignment="1" pivotButton="0" quotePrefix="0" xfId="0">
      <alignment horizontal="right" vertical="center" indent="1"/>
    </xf>
    <xf numFmtId="168" fontId="24" fillId="0" borderId="3" applyAlignment="1" pivotButton="0" quotePrefix="0" xfId="0">
      <alignment horizontal="right" vertical="center" indent="1"/>
    </xf>
    <xf numFmtId="168" fontId="12" fillId="2" borderId="19" applyAlignment="1" pivotButton="0" quotePrefix="0" xfId="0">
      <alignment horizontal="right" vertical="center" indent="1"/>
    </xf>
    <xf numFmtId="0" fontId="15" fillId="5" borderId="118" applyAlignment="1" pivotButton="0" quotePrefix="0" xfId="0">
      <alignment horizontal="left" vertical="center" indent="1"/>
    </xf>
    <xf numFmtId="0" fontId="15" fillId="4" borderId="11" applyAlignment="1" pivotButton="0" quotePrefix="0" xfId="0">
      <alignment horizontal="left" vertical="center" indent="1"/>
    </xf>
    <xf numFmtId="0" fontId="15" fillId="7" borderId="11" applyAlignment="1" pivotButton="0" quotePrefix="0" xfId="0">
      <alignment horizontal="left" vertical="center" indent="1"/>
    </xf>
    <xf numFmtId="0" fontId="15" fillId="5" borderId="10" applyAlignment="1" pivotButton="0" quotePrefix="0" xfId="0">
      <alignment horizontal="left" vertical="center" wrapText="1" indent="1"/>
    </xf>
    <xf numFmtId="0" fontId="15" fillId="5" borderId="10" applyAlignment="1" pivotButton="0" quotePrefix="0" xfId="0">
      <alignment horizontal="center" vertical="center" wrapText="1"/>
    </xf>
    <xf numFmtId="168" fontId="8" fillId="0" borderId="114" applyAlignment="1" pivotButton="0" quotePrefix="0" xfId="0">
      <alignment horizontal="right" vertical="center" indent="1"/>
    </xf>
    <xf numFmtId="0" fontId="15" fillId="7" borderId="118" applyAlignment="1" pivotButton="0" quotePrefix="0" xfId="0">
      <alignment horizontal="left" vertical="center" indent="1"/>
    </xf>
    <xf numFmtId="168" fontId="8" fillId="0" borderId="1" applyAlignment="1" pivotButton="0" quotePrefix="0" xfId="0">
      <alignment horizontal="centerContinuous" vertical="center"/>
    </xf>
    <xf numFmtId="168" fontId="8" fillId="0" borderId="121" applyAlignment="1" pivotButton="0" quotePrefix="0" xfId="0">
      <alignment horizontal="centerContinuous" vertical="center"/>
    </xf>
    <xf numFmtId="168" fontId="8" fillId="0" borderId="121" applyAlignment="1" pivotButton="0" quotePrefix="0" xfId="0">
      <alignment horizontal="right" vertical="center"/>
    </xf>
    <xf numFmtId="168" fontId="8" fillId="0" borderId="1" applyAlignment="1" pivotButton="0" quotePrefix="0" xfId="0">
      <alignment horizontal="right" vertical="center"/>
    </xf>
    <xf numFmtId="168" fontId="8" fillId="0" borderId="19" applyAlignment="1" pivotButton="0" quotePrefix="0" xfId="0">
      <alignment horizontal="centerContinuous" vertical="center"/>
    </xf>
    <xf numFmtId="168" fontId="8" fillId="0" borderId="114" applyAlignment="1" pivotButton="0" quotePrefix="0" xfId="0">
      <alignment horizontal="centerContinuous" vertical="center"/>
    </xf>
    <xf numFmtId="0" fontId="15" fillId="5" borderId="122" applyAlignment="1" pivotButton="0" quotePrefix="0" xfId="0">
      <alignment horizontal="left" vertical="center" indent="1"/>
    </xf>
    <xf numFmtId="0" fontId="15" fillId="5" borderId="80" applyAlignment="1" pivotButton="0" quotePrefix="0" xfId="0">
      <alignment horizontal="left" vertical="center" indent="1"/>
    </xf>
    <xf numFmtId="0" fontId="12" fillId="0" borderId="1" applyAlignment="1" pivotButton="0" quotePrefix="0" xfId="0">
      <alignment horizontal="left" vertical="center" indent="1"/>
    </xf>
    <xf numFmtId="0" fontId="12" fillId="0" borderId="11" applyAlignment="1" pivotButton="0" quotePrefix="0" xfId="0">
      <alignment horizontal="left" vertical="center" indent="1"/>
    </xf>
    <xf numFmtId="0" fontId="12" fillId="0" borderId="49" applyAlignment="1" pivotButton="0" quotePrefix="0" xfId="0">
      <alignment horizontal="left" vertical="center" indent="1"/>
    </xf>
    <xf numFmtId="0" fontId="15" fillId="5" borderId="122" applyAlignment="1" pivotButton="0" quotePrefix="0" xfId="0">
      <alignment horizontal="right" vertical="center" indent="1"/>
    </xf>
    <xf numFmtId="0" fontId="15" fillId="5" borderId="80" applyAlignment="1" pivotButton="0" quotePrefix="0" xfId="0">
      <alignment horizontal="right" vertical="center" indent="1"/>
    </xf>
    <xf numFmtId="170" fontId="8" fillId="0" borderId="1" applyAlignment="1" pivotButton="0" quotePrefix="0" xfId="0">
      <alignment horizontal="right" vertical="center" indent="1"/>
    </xf>
    <xf numFmtId="170" fontId="8" fillId="0" borderId="3" applyAlignment="1" pivotButton="0" quotePrefix="0" xfId="0">
      <alignment horizontal="right" vertical="center" indent="1"/>
    </xf>
    <xf numFmtId="170" fontId="8" fillId="0" borderId="19" applyAlignment="1" pivotButton="0" quotePrefix="0" xfId="0">
      <alignment horizontal="right" vertical="center" indent="1"/>
    </xf>
    <xf numFmtId="170" fontId="5" fillId="5" borderId="122" applyAlignment="1" pivotButton="0" quotePrefix="0" xfId="0">
      <alignment horizontal="right" vertical="center" indent="1"/>
    </xf>
    <xf numFmtId="170" fontId="5" fillId="5" borderId="0" applyAlignment="1" pivotButton="0" quotePrefix="0" xfId="0">
      <alignment horizontal="right" vertical="center" indent="1"/>
    </xf>
    <xf numFmtId="0" fontId="37" fillId="2" borderId="16" applyAlignment="1" pivotButton="0" quotePrefix="0" xfId="0">
      <alignment horizontal="left" vertical="center" indent="1"/>
    </xf>
    <xf numFmtId="0" fontId="37" fillId="2" borderId="21" applyAlignment="1" pivotButton="0" quotePrefix="0" xfId="0">
      <alignment horizontal="left" vertical="center" indent="1"/>
    </xf>
    <xf numFmtId="0" fontId="37" fillId="2" borderId="21" applyAlignment="1" pivotButton="0" quotePrefix="0" xfId="0">
      <alignment horizontal="left" vertical="center" wrapText="1" indent="1"/>
    </xf>
    <xf numFmtId="166" fontId="8" fillId="0" borderId="11" applyAlignment="1" pivotButton="0" quotePrefix="0" xfId="1">
      <alignment horizontal="right" vertical="center" indent="1"/>
    </xf>
    <xf numFmtId="166" fontId="8" fillId="0" borderId="3" applyAlignment="1" pivotButton="0" quotePrefix="0" xfId="1">
      <alignment horizontal="right" vertical="center" indent="1"/>
    </xf>
    <xf numFmtId="0" fontId="2" fillId="3" borderId="62" applyAlignment="1" pivotButton="0" quotePrefix="0" xfId="0">
      <alignment vertical="center"/>
    </xf>
    <xf numFmtId="166" fontId="8" fillId="0" borderId="3" applyAlignment="1" pivotButton="0" quotePrefix="0" xfId="1">
      <alignment horizontal="right" vertical="center" indent="1"/>
    </xf>
    <xf numFmtId="0" fontId="2" fillId="3" borderId="59" applyAlignment="1" pivotButton="0" quotePrefix="0" xfId="0">
      <alignment horizontal="centerContinuous" vertical="center"/>
    </xf>
    <xf numFmtId="0" fontId="2" fillId="11" borderId="68" applyAlignment="1" pivotButton="0" quotePrefix="0" xfId="0">
      <alignment horizontal="center" vertical="center" wrapText="1"/>
    </xf>
    <xf numFmtId="0" fontId="2" fillId="11" borderId="123" applyAlignment="1" pivotButton="0" quotePrefix="0" xfId="0">
      <alignment horizontal="center" vertical="center" wrapText="1"/>
    </xf>
    <xf numFmtId="38" fontId="2" fillId="3" borderId="6" applyAlignment="1" pivotButton="0" quotePrefix="0" xfId="0">
      <alignment horizontal="center" vertical="center"/>
    </xf>
    <xf numFmtId="0" fontId="25" fillId="0" borderId="16" applyAlignment="1" pivotButton="0" quotePrefix="0" xfId="0">
      <alignment horizontal="left" vertical="center" indent="1"/>
    </xf>
    <xf numFmtId="0" fontId="25" fillId="0" borderId="18" applyAlignment="1" pivotButton="0" quotePrefix="0" xfId="0">
      <alignment horizontal="left" vertical="center" indent="1"/>
    </xf>
    <xf numFmtId="0" fontId="6" fillId="7" borderId="18" applyAlignment="1" pivotButton="0" quotePrefix="0" xfId="0">
      <alignment horizontal="left" vertical="center" indent="1"/>
    </xf>
    <xf numFmtId="164" fontId="7" fillId="7" borderId="17" applyAlignment="1" pivotButton="0" quotePrefix="0" xfId="0">
      <alignment horizontal="right" vertical="center" indent="1"/>
    </xf>
    <xf numFmtId="0" fontId="38" fillId="7" borderId="21" applyAlignment="1" pivotButton="0" quotePrefix="0" xfId="0">
      <alignment horizontal="left" vertical="center" wrapText="1" indent="1"/>
    </xf>
    <xf numFmtId="0" fontId="40" fillId="0" borderId="47" applyAlignment="1" pivotButton="0" quotePrefix="0" xfId="0">
      <alignment vertical="center"/>
    </xf>
    <xf numFmtId="0" fontId="13" fillId="3" borderId="1" applyAlignment="1" pivotButton="0" quotePrefix="0" xfId="0">
      <alignment horizontal="center" vertical="center"/>
    </xf>
    <xf numFmtId="0" fontId="13" fillId="3" borderId="113" applyAlignment="1" pivotButton="0" quotePrefix="0" xfId="0">
      <alignment horizontal="center" vertical="center"/>
    </xf>
    <xf numFmtId="0" fontId="41" fillId="2" borderId="0" applyAlignment="1" pivotButton="0" quotePrefix="0" xfId="0">
      <alignment vertical="center"/>
    </xf>
    <xf numFmtId="168" fontId="8" fillId="2" borderId="0" applyAlignment="1" pivotButton="0" quotePrefix="0" xfId="0">
      <alignment horizontal="right" vertical="center" indent="1"/>
    </xf>
    <xf numFmtId="168" fontId="8" fillId="2" borderId="20" applyAlignment="1" pivotButton="0" quotePrefix="0" xfId="0">
      <alignment horizontal="right" vertical="center" indent="2"/>
    </xf>
    <xf numFmtId="168" fontId="8" fillId="2" borderId="55" applyAlignment="1" pivotButton="0" quotePrefix="0" xfId="0">
      <alignment horizontal="right" vertical="center" indent="2"/>
    </xf>
    <xf numFmtId="168" fontId="8" fillId="2" borderId="92" applyAlignment="1" pivotButton="0" quotePrefix="0" xfId="0">
      <alignment horizontal="right" vertical="center" indent="2"/>
    </xf>
    <xf numFmtId="0" fontId="12" fillId="4" borderId="7" applyAlignment="1" pivotButton="0" quotePrefix="0" xfId="0">
      <alignment horizontal="left" vertical="center" indent="1"/>
    </xf>
    <xf numFmtId="0" fontId="8" fillId="4" borderId="12" applyAlignment="1" pivotButton="0" quotePrefix="0" xfId="0">
      <alignment horizontal="left" vertical="center" indent="1"/>
    </xf>
    <xf numFmtId="0" fontId="42" fillId="4" borderId="12" applyAlignment="1" pivotButton="0" quotePrefix="0" xfId="0">
      <alignment horizontal="left" vertical="center" indent="1"/>
    </xf>
    <xf numFmtId="0" fontId="8" fillId="4" borderId="0" applyAlignment="1" pivotButton="0" quotePrefix="0" xfId="0">
      <alignment horizontal="left" vertical="center" indent="1"/>
    </xf>
    <xf numFmtId="0" fontId="8" fillId="4" borderId="13" applyAlignment="1" pivotButton="0" quotePrefix="0" xfId="0">
      <alignment horizontal="left" vertical="center" indent="1"/>
    </xf>
    <xf numFmtId="0" fontId="12" fillId="4" borderId="3" applyAlignment="1" pivotButton="0" quotePrefix="0" xfId="0">
      <alignment horizontal="left" vertical="center" indent="1"/>
    </xf>
    <xf numFmtId="0" fontId="12" fillId="4" borderId="19" applyAlignment="1" pivotButton="0" quotePrefix="0" xfId="0">
      <alignment horizontal="left" vertical="center" indent="1"/>
    </xf>
    <xf numFmtId="0" fontId="6" fillId="7" borderId="87" applyAlignment="1" pivotButton="0" quotePrefix="0" xfId="0">
      <alignment horizontal="left" vertical="center" indent="1"/>
    </xf>
    <xf numFmtId="168" fontId="7" fillId="7" borderId="83" applyAlignment="1" pivotButton="0" quotePrefix="0" xfId="0">
      <alignment horizontal="right" vertical="center" indent="1"/>
    </xf>
    <xf numFmtId="168" fontId="7" fillId="7" borderId="84" applyAlignment="1" pivotButton="0" quotePrefix="0" xfId="0">
      <alignment horizontal="right" vertical="center" indent="1"/>
    </xf>
    <xf numFmtId="168" fontId="7" fillId="7" borderId="97" applyAlignment="1" pivotButton="0" quotePrefix="0" xfId="0">
      <alignment horizontal="right" vertical="center" indent="1"/>
    </xf>
    <xf numFmtId="171" fontId="12" fillId="4" borderId="1" applyAlignment="1" pivotButton="0" quotePrefix="0" xfId="0">
      <alignment horizontal="left" vertical="center" indent="1"/>
    </xf>
    <xf numFmtId="168" fontId="12" fillId="4" borderId="1" applyAlignment="1" pivotButton="0" quotePrefix="0" xfId="0">
      <alignment horizontal="left" vertical="center" indent="1"/>
    </xf>
    <xf numFmtId="168" fontId="12" fillId="4" borderId="3" applyAlignment="1" pivotButton="0" quotePrefix="0" xfId="0">
      <alignment horizontal="left" vertical="center" indent="1"/>
    </xf>
    <xf numFmtId="168" fontId="12" fillId="4" borderId="19" applyAlignment="1" pivotButton="0" quotePrefix="0" xfId="0">
      <alignment horizontal="left" vertical="center" indent="1"/>
    </xf>
    <xf numFmtId="0" fontId="12" fillId="4" borderId="11" applyAlignment="1" pivotButton="0" quotePrefix="0" xfId="0">
      <alignment horizontal="left" vertical="center" indent="1"/>
    </xf>
    <xf numFmtId="0" fontId="12" fillId="4" borderId="121" applyAlignment="1" pivotButton="0" quotePrefix="0" xfId="0">
      <alignment horizontal="left" vertical="center" indent="1"/>
    </xf>
    <xf numFmtId="0" fontId="12" fillId="4" borderId="16" applyAlignment="1" pivotButton="0" quotePrefix="0" xfId="0">
      <alignment horizontal="left" vertical="center" indent="1"/>
    </xf>
    <xf numFmtId="0" fontId="12" fillId="4" borderId="17" applyAlignment="1" pivotButton="0" quotePrefix="0" xfId="0">
      <alignment horizontal="center" vertical="center"/>
    </xf>
    <xf numFmtId="0" fontId="12" fillId="4" borderId="22" applyAlignment="1" pivotButton="0" quotePrefix="0" xfId="0">
      <alignment horizontal="center" vertical="center"/>
    </xf>
    <xf numFmtId="0" fontId="12" fillId="4" borderId="16" applyAlignment="1" pivotButton="0" quotePrefix="0" xfId="0">
      <alignment horizontal="center" vertical="center"/>
    </xf>
    <xf numFmtId="0" fontId="25" fillId="4" borderId="16" applyAlignment="1" pivotButton="0" quotePrefix="0" xfId="0">
      <alignment horizontal="center" vertical="center"/>
    </xf>
    <xf numFmtId="0" fontId="25" fillId="2" borderId="16" applyAlignment="1" pivotButton="0" quotePrefix="0" xfId="0">
      <alignment horizontal="left" vertical="center" indent="1"/>
    </xf>
    <xf numFmtId="14" fontId="8" fillId="2" borderId="16" applyAlignment="1" pivotButton="0" quotePrefix="0" xfId="0">
      <alignment horizontal="right" vertical="center" indent="1"/>
    </xf>
    <xf numFmtId="172" fontId="8" fillId="2" borderId="16" applyAlignment="1" pivotButton="0" quotePrefix="0" xfId="0">
      <alignment horizontal="right" vertical="center" indent="1"/>
    </xf>
    <xf numFmtId="0" fontId="26" fillId="4" borderId="18" applyAlignment="1" pivotButton="0" quotePrefix="0" xfId="0">
      <alignment horizontal="center" vertical="center"/>
    </xf>
    <xf numFmtId="0" fontId="26" fillId="2" borderId="22" applyAlignment="1" pivotButton="0" quotePrefix="0" xfId="0">
      <alignment horizontal="left" vertical="center" indent="1"/>
    </xf>
    <xf numFmtId="0" fontId="8" fillId="2" borderId="22" applyAlignment="1" pivotButton="0" quotePrefix="0" xfId="0">
      <alignment horizontal="right" vertical="center" indent="1"/>
    </xf>
    <xf numFmtId="0" fontId="25" fillId="2" borderId="22" applyAlignment="1" pivotButton="0" quotePrefix="0" xfId="0">
      <alignment horizontal="left" vertical="center" indent="1"/>
    </xf>
    <xf numFmtId="0" fontId="25" fillId="2" borderId="22" applyAlignment="1" pivotButton="0" quotePrefix="0" xfId="0">
      <alignment horizontal="right" vertical="center" indent="1"/>
    </xf>
    <xf numFmtId="0" fontId="25" fillId="4" borderId="18" applyAlignment="1" pivotButton="0" quotePrefix="0" xfId="0">
      <alignment horizontal="center" vertical="center"/>
    </xf>
    <xf numFmtId="0" fontId="44" fillId="3" borderId="5" applyAlignment="1" pivotButton="0" quotePrefix="0" xfId="0">
      <alignment horizontal="center" vertical="center"/>
    </xf>
    <xf numFmtId="0" fontId="26" fillId="7" borderId="22" applyAlignment="1" pivotButton="0" quotePrefix="0" xfId="0">
      <alignment horizontal="center" vertical="center"/>
    </xf>
    <xf numFmtId="0" fontId="25" fillId="4" borderId="16" applyAlignment="1" pivotButton="0" quotePrefix="0" xfId="0">
      <alignment horizontal="left" vertical="center" indent="1"/>
    </xf>
    <xf numFmtId="0" fontId="25" fillId="4" borderId="18" applyAlignment="1" pivotButton="0" quotePrefix="0" xfId="0">
      <alignment horizontal="left" vertical="center" indent="1"/>
    </xf>
    <xf numFmtId="0" fontId="13" fillId="3" borderId="49" applyAlignment="1" pivotButton="0" quotePrefix="0" xfId="0">
      <alignment horizontal="center" vertical="center"/>
    </xf>
    <xf numFmtId="0" fontId="0" fillId="12" borderId="0" applyAlignment="1" pivotButton="0" quotePrefix="0" xfId="0">
      <alignment vertical="center"/>
    </xf>
    <xf numFmtId="0" fontId="0" fillId="13" borderId="0" applyAlignment="1" pivotButton="0" quotePrefix="0" xfId="0">
      <alignment vertical="center"/>
    </xf>
    <xf numFmtId="0" fontId="0" fillId="7" borderId="0" applyAlignment="1" pivotButton="0" quotePrefix="0" xfId="0">
      <alignment vertical="center"/>
    </xf>
    <xf numFmtId="0" fontId="0" fillId="6" borderId="0" applyAlignment="1" pivotButton="0" quotePrefix="0" xfId="0">
      <alignment vertical="center"/>
    </xf>
    <xf numFmtId="0" fontId="15" fillId="7" borderId="10" applyAlignment="1" pivotButton="0" quotePrefix="0" xfId="0">
      <alignment horizontal="left" vertical="center" indent="1"/>
    </xf>
    <xf numFmtId="0" fontId="15" fillId="7" borderId="57" applyAlignment="1" pivotButton="0" quotePrefix="0" xfId="0">
      <alignment horizontal="left" vertical="center" indent="1"/>
    </xf>
    <xf numFmtId="0" fontId="15" fillId="13" borderId="56" applyAlignment="1" pivotButton="0" quotePrefix="0" xfId="0">
      <alignment horizontal="left" vertical="center" indent="1"/>
    </xf>
    <xf numFmtId="166" fontId="7" fillId="13" borderId="56" applyAlignment="1" pivotButton="0" quotePrefix="0" xfId="0">
      <alignment vertical="center"/>
    </xf>
    <xf numFmtId="0" fontId="15" fillId="13" borderId="57" applyAlignment="1" pivotButton="0" quotePrefix="0" xfId="0">
      <alignment horizontal="left" vertical="center" indent="1"/>
    </xf>
    <xf numFmtId="166" fontId="7" fillId="13" borderId="57" applyAlignment="1" pivotButton="0" quotePrefix="0" xfId="0">
      <alignment vertical="center"/>
    </xf>
    <xf numFmtId="168" fontId="8" fillId="7" borderId="1" applyAlignment="1" pivotButton="0" quotePrefix="0" xfId="0">
      <alignment horizontal="right" vertical="center" indent="1"/>
    </xf>
    <xf numFmtId="0" fontId="12" fillId="4" borderId="25" applyAlignment="1" pivotButton="0" quotePrefix="0" xfId="0">
      <alignment horizontal="left" vertical="center" indent="2"/>
    </xf>
    <xf numFmtId="0" fontId="12" fillId="4" borderId="49" applyAlignment="1" pivotButton="0" quotePrefix="0" xfId="0">
      <alignment horizontal="left" vertical="center" indent="2"/>
    </xf>
    <xf numFmtId="0" fontId="12" fillId="4" borderId="124" applyAlignment="1" pivotButton="0" quotePrefix="0" xfId="0">
      <alignment horizontal="left" vertical="center" indent="2"/>
    </xf>
    <xf numFmtId="168" fontId="7" fillId="0" borderId="50" applyAlignment="1" pivotButton="0" quotePrefix="0" xfId="0">
      <alignment horizontal="right" vertical="center" indent="1"/>
    </xf>
    <xf numFmtId="168" fontId="18" fillId="0" borderId="33" applyAlignment="1" pivotButton="0" quotePrefix="0" xfId="0">
      <alignment vertical="center"/>
    </xf>
    <xf numFmtId="168" fontId="19" fillId="0" borderId="0" applyAlignment="1" pivotButton="0" quotePrefix="0" xfId="0">
      <alignment horizontal="center" vertical="center"/>
    </xf>
    <xf numFmtId="168" fontId="19" fillId="0" borderId="0" applyAlignment="1" pivotButton="0" quotePrefix="0" xfId="0">
      <alignment vertical="center"/>
    </xf>
    <xf numFmtId="168" fontId="17" fillId="0" borderId="0" applyAlignment="1" pivotButton="0" quotePrefix="0" xfId="0">
      <alignment horizontal="center" vertical="center"/>
    </xf>
    <xf numFmtId="168" fontId="17" fillId="0" borderId="0" applyAlignment="1" pivotButton="0" quotePrefix="0" xfId="0">
      <alignment vertical="center"/>
    </xf>
    <xf numFmtId="168" fontId="7" fillId="7" borderId="3" applyAlignment="1" pivotButton="0" quotePrefix="0" xfId="0">
      <alignment horizontal="right" vertical="center" indent="1"/>
    </xf>
    <xf numFmtId="168" fontId="45" fillId="0" borderId="57" applyAlignment="1" pivotButton="0" quotePrefix="0" xfId="0">
      <alignment vertical="center"/>
    </xf>
    <xf numFmtId="168" fontId="8" fillId="0" borderId="25" applyAlignment="1" pivotButton="0" quotePrefix="0" xfId="0">
      <alignment horizontal="right" vertical="center"/>
    </xf>
    <xf numFmtId="168" fontId="46" fillId="0" borderId="19" applyAlignment="1" pivotButton="0" quotePrefix="0" xfId="0">
      <alignment horizontal="right" vertical="center"/>
    </xf>
    <xf numFmtId="168" fontId="8" fillId="0" borderId="19" applyAlignment="1" pivotButton="0" quotePrefix="0" xfId="0">
      <alignment horizontal="right" vertical="center"/>
    </xf>
    <xf numFmtId="168" fontId="8" fillId="0" borderId="110" applyAlignment="1" pivotButton="0" quotePrefix="0" xfId="0">
      <alignment horizontal="right" vertical="center"/>
    </xf>
    <xf numFmtId="168" fontId="8" fillId="0" borderId="20" applyAlignment="1" pivotButton="0" quotePrefix="0" xfId="0">
      <alignment horizontal="right" vertical="center"/>
    </xf>
    <xf numFmtId="166" fontId="7" fillId="13" borderId="57" applyAlignment="1" pivotButton="0" quotePrefix="0" xfId="0">
      <alignment horizontal="right" vertical="center" indent="1"/>
    </xf>
    <xf numFmtId="168" fontId="8" fillId="2" borderId="19" applyAlignment="1" pivotButton="0" quotePrefix="0" xfId="0">
      <alignment horizontal="right" vertical="center" indent="1"/>
    </xf>
    <xf numFmtId="168" fontId="7" fillId="5" borderId="3" applyAlignment="1" pivotButton="0" quotePrefix="0" xfId="0">
      <alignment horizontal="right" vertical="center" indent="1"/>
    </xf>
    <xf numFmtId="168" fontId="28" fillId="3" borderId="86" applyAlignment="1" pivotButton="0" quotePrefix="0" xfId="0">
      <alignment horizontal="right" vertical="center" indent="1"/>
    </xf>
    <xf numFmtId="168" fontId="39" fillId="0" borderId="0" applyAlignment="1" pivotButton="0" quotePrefix="0" xfId="0">
      <alignment vertical="center"/>
    </xf>
    <xf numFmtId="168" fontId="28" fillId="3" borderId="64" applyAlignment="1" pivotButton="0" quotePrefix="0" xfId="0">
      <alignment horizontal="right" vertical="center" indent="1"/>
    </xf>
    <xf numFmtId="168" fontId="2" fillId="3" borderId="5" applyAlignment="1" pivotButton="0" quotePrefix="0" xfId="0">
      <alignment horizontal="centerContinuous" vertical="center"/>
    </xf>
    <xf numFmtId="168" fontId="2" fillId="3" borderId="61" applyAlignment="1" pivotButton="0" quotePrefix="0" xfId="0">
      <alignment horizontal="centerContinuous" vertical="center"/>
    </xf>
    <xf numFmtId="168" fontId="2" fillId="3" borderId="6" applyAlignment="1" pivotButton="0" quotePrefix="0" xfId="0">
      <alignment horizontal="centerContinuous" vertical="center"/>
    </xf>
    <xf numFmtId="168" fontId="8" fillId="7" borderId="22" applyAlignment="1" pivotButton="0" quotePrefix="0" xfId="0">
      <alignment horizontal="right" vertical="center" indent="1"/>
    </xf>
    <xf numFmtId="168" fontId="8" fillId="0" borderId="22" applyAlignment="1" pivotButton="0" quotePrefix="0" xfId="0">
      <alignment horizontal="right" vertical="center" indent="1"/>
    </xf>
    <xf numFmtId="168" fontId="8" fillId="0" borderId="107" applyAlignment="1" pivotButton="0" quotePrefix="0" xfId="0">
      <alignment horizontal="right" vertical="center" indent="1"/>
    </xf>
    <xf numFmtId="168" fontId="8" fillId="0" borderId="106" applyAlignment="1" pivotButton="0" quotePrefix="0" xfId="0">
      <alignment horizontal="right" vertical="center" indent="1"/>
    </xf>
    <xf numFmtId="168" fontId="8" fillId="7" borderId="49" applyAlignment="1" pivotButton="0" quotePrefix="0" xfId="0">
      <alignment horizontal="right" vertical="center" indent="1"/>
    </xf>
    <xf numFmtId="168" fontId="8" fillId="7" borderId="19" applyAlignment="1" pivotButton="0" quotePrefix="0" xfId="0">
      <alignment horizontal="right" vertical="center" indent="1"/>
    </xf>
    <xf numFmtId="168" fontId="28" fillId="3" borderId="60" applyAlignment="1" pivotButton="0" quotePrefix="0" xfId="0">
      <alignment horizontal="right" vertical="center" indent="1"/>
    </xf>
    <xf numFmtId="168" fontId="28" fillId="3" borderId="68" applyAlignment="1" pivotButton="0" quotePrefix="0" xfId="0">
      <alignment horizontal="right" vertical="center" indent="1"/>
    </xf>
    <xf numFmtId="168" fontId="0" fillId="0" borderId="47" applyAlignment="1" pivotButton="0" quotePrefix="0" xfId="0">
      <alignment vertical="center"/>
    </xf>
    <xf numFmtId="168" fontId="40" fillId="0" borderId="47" applyAlignment="1" pivotButton="0" quotePrefix="0" xfId="0">
      <alignment vertical="center"/>
    </xf>
    <xf numFmtId="168" fontId="8" fillId="10" borderId="80" applyAlignment="1" pivotButton="0" quotePrefix="0" xfId="0">
      <alignment horizontal="right" vertical="center" indent="1"/>
    </xf>
    <xf numFmtId="168" fontId="8" fillId="10" borderId="68" applyAlignment="1" pivotButton="0" quotePrefix="0" xfId="0">
      <alignment horizontal="right" vertical="center" indent="1"/>
    </xf>
    <xf numFmtId="168" fontId="7" fillId="7" borderId="22" applyAlignment="1" pivotButton="0" quotePrefix="0" xfId="0">
      <alignment horizontal="right" vertical="center" indent="1"/>
    </xf>
    <xf numFmtId="168" fontId="29" fillId="0" borderId="22" applyAlignment="1" pivotButton="0" quotePrefix="0" xfId="0">
      <alignment horizontal="right" vertical="center" indent="1"/>
    </xf>
    <xf numFmtId="168" fontId="0" fillId="0" borderId="49" applyAlignment="1" pivotButton="0" quotePrefix="0" xfId="0">
      <alignment vertical="center"/>
    </xf>
    <xf numFmtId="168" fontId="7" fillId="7" borderId="11" applyAlignment="1" pivotButton="0" quotePrefix="0" xfId="0">
      <alignment horizontal="right" vertical="center" indent="1"/>
    </xf>
    <xf numFmtId="173" fontId="47" fillId="0" borderId="0" applyAlignment="1" pivotButton="0" quotePrefix="0" xfId="0">
      <alignment horizontal="center" vertical="center"/>
    </xf>
    <xf numFmtId="0" fontId="48" fillId="0" borderId="0" applyAlignment="1" pivotButton="0" quotePrefix="0" xfId="0">
      <alignment vertical="center"/>
    </xf>
    <xf numFmtId="0" fontId="47" fillId="0" borderId="0" applyAlignment="1" pivotButton="0" quotePrefix="0" xfId="0">
      <alignment vertical="center"/>
    </xf>
    <xf numFmtId="173" fontId="47" fillId="0" borderId="0" applyAlignment="1" pivotButton="0" quotePrefix="0" xfId="0">
      <alignment vertical="center"/>
    </xf>
    <xf numFmtId="173" fontId="51" fillId="2" borderId="125" applyAlignment="1" pivotButton="0" quotePrefix="0" xfId="0">
      <alignment horizontal="center" vertical="center"/>
    </xf>
    <xf numFmtId="173" fontId="14" fillId="0" borderId="0" applyAlignment="1" pivotButton="0" quotePrefix="0" xfId="0">
      <alignment horizontal="center" vertical="center"/>
    </xf>
    <xf numFmtId="0" fontId="15" fillId="0" borderId="0" applyAlignment="1" pivotButton="0" quotePrefix="0" xfId="0">
      <alignment vertical="center"/>
    </xf>
    <xf numFmtId="0" fontId="15" fillId="0" borderId="0" applyAlignment="1" pivotButton="0" quotePrefix="0" xfId="0">
      <alignment horizontal="left" vertical="center"/>
    </xf>
    <xf numFmtId="0" fontId="14" fillId="0" borderId="0" applyAlignment="1" pivotButton="0" quotePrefix="0" xfId="0">
      <alignment horizontal="center" vertical="center"/>
    </xf>
    <xf numFmtId="173" fontId="14" fillId="15" borderId="125" applyAlignment="1" pivotButton="0" quotePrefix="0" xfId="0">
      <alignment horizontal="center" vertical="center"/>
    </xf>
    <xf numFmtId="173" fontId="14" fillId="16" borderId="125" applyAlignment="1" pivotButton="0" quotePrefix="0" xfId="0">
      <alignment horizontal="center" vertical="center"/>
    </xf>
    <xf numFmtId="173" fontId="14" fillId="0" borderId="0" applyAlignment="1" pivotButton="0" quotePrefix="0" xfId="0">
      <alignment vertical="center"/>
    </xf>
    <xf numFmtId="173" fontId="52" fillId="12" borderId="126" applyAlignment="1" pivotButton="0" quotePrefix="0" xfId="0">
      <alignment horizontal="center" vertical="center"/>
    </xf>
    <xf numFmtId="0" fontId="52" fillId="12" borderId="126" applyAlignment="1" pivotButton="0" quotePrefix="0" xfId="0">
      <alignment horizontal="center" vertical="center"/>
    </xf>
    <xf numFmtId="173" fontId="14" fillId="8" borderId="126" applyAlignment="1" pivotButton="0" quotePrefix="0" xfId="0">
      <alignment horizontal="center" vertical="center"/>
    </xf>
    <xf numFmtId="0" fontId="14" fillId="8" borderId="126" applyAlignment="1" pivotButton="0" quotePrefix="0" xfId="0">
      <alignment horizontal="centerContinuous" vertical="center"/>
    </xf>
    <xf numFmtId="173" fontId="14" fillId="0" borderId="126" applyAlignment="1" pivotButton="0" quotePrefix="0" xfId="0">
      <alignment horizontal="center" vertical="center"/>
    </xf>
    <xf numFmtId="0" fontId="14" fillId="0" borderId="126" applyAlignment="1" pivotButton="0" quotePrefix="0" xfId="0">
      <alignment vertical="center"/>
    </xf>
    <xf numFmtId="0" fontId="14" fillId="13" borderId="126" applyAlignment="1" pivotButton="0" quotePrefix="0" xfId="0">
      <alignment horizontal="center" vertical="center"/>
    </xf>
    <xf numFmtId="0" fontId="14" fillId="14" borderId="126" applyAlignment="1" pivotButton="0" quotePrefix="0" xfId="0">
      <alignment horizontal="center" vertical="center"/>
    </xf>
    <xf numFmtId="173" fontId="14" fillId="15" borderId="126" applyAlignment="1" pivotButton="0" quotePrefix="0" xfId="0">
      <alignment horizontal="center" vertical="center"/>
    </xf>
    <xf numFmtId="173" fontId="14" fillId="16" borderId="126" applyAlignment="1" pivotButton="0" quotePrefix="0" xfId="0">
      <alignment horizontal="center" vertical="center"/>
    </xf>
    <xf numFmtId="173" fontId="14" fillId="13" borderId="126" applyAlignment="1" pivotButton="0" quotePrefix="0" xfId="0">
      <alignment horizontal="center" vertical="center"/>
    </xf>
    <xf numFmtId="0" fontId="20" fillId="13" borderId="126" applyAlignment="1" pivotButton="0" quotePrefix="0" xfId="0">
      <alignment horizontal="center" vertical="center"/>
    </xf>
    <xf numFmtId="173" fontId="49" fillId="12" borderId="126" applyAlignment="1" pivotButton="0" quotePrefix="0" xfId="0">
      <alignment horizontal="centerContinuous" vertical="center"/>
    </xf>
    <xf numFmtId="172" fontId="50" fillId="12" borderId="126" applyAlignment="1" pivotButton="0" quotePrefix="0" xfId="0">
      <alignment horizontal="center" vertical="center"/>
    </xf>
    <xf numFmtId="172" fontId="51" fillId="15" borderId="126" applyAlignment="1" pivotButton="0" quotePrefix="0" xfId="0">
      <alignment horizontal="center" vertical="center"/>
    </xf>
    <xf numFmtId="172" fontId="53" fillId="16" borderId="126" applyAlignment="1" pivotButton="0" quotePrefix="0" xfId="0">
      <alignment horizontal="center" vertical="center"/>
    </xf>
    <xf numFmtId="173" fontId="47" fillId="6" borderId="126" applyAlignment="1" pivotButton="0" quotePrefix="0" xfId="0">
      <alignment horizontal="center" vertical="center"/>
    </xf>
    <xf numFmtId="173" fontId="47" fillId="2" borderId="126" applyAlignment="1" pivotButton="0" quotePrefix="0" xfId="0">
      <alignment horizontal="center" vertical="center"/>
    </xf>
    <xf numFmtId="173" fontId="51" fillId="2" borderId="126" applyAlignment="1" pivotButton="0" quotePrefix="0" xfId="0">
      <alignment horizontal="center" vertical="center"/>
    </xf>
    <xf numFmtId="173" fontId="47" fillId="0" borderId="126" applyAlignment="1" pivotButton="0" quotePrefix="0" xfId="0">
      <alignment horizontal="center" vertical="center"/>
    </xf>
    <xf numFmtId="173" fontId="54" fillId="6" borderId="126" applyAlignment="1" pivotButton="0" quotePrefix="0" xfId="0">
      <alignment horizontal="center" vertical="center"/>
    </xf>
    <xf numFmtId="0" fontId="55" fillId="0" borderId="0" applyAlignment="1" pivotButton="0" quotePrefix="0" xfId="0">
      <alignment vertical="center"/>
    </xf>
    <xf numFmtId="168" fontId="15" fillId="5" borderId="10" applyAlignment="1" pivotButton="0" quotePrefix="0" xfId="0">
      <alignment horizontal="center" vertical="center" wrapText="1"/>
    </xf>
    <xf numFmtId="168" fontId="5" fillId="7" borderId="120" applyAlignment="1" pivotButton="0" quotePrefix="0" xfId="0">
      <alignment horizontal="right" vertical="center" indent="1"/>
    </xf>
    <xf numFmtId="168" fontId="5" fillId="7" borderId="119" applyAlignment="1" pivotButton="0" quotePrefix="0" xfId="0">
      <alignment horizontal="right" vertical="center" indent="1"/>
    </xf>
    <xf numFmtId="168" fontId="36" fillId="5" borderId="10" applyAlignment="1" pivotButton="0" quotePrefix="0" xfId="0">
      <alignment horizontal="right" vertical="center" indent="1"/>
    </xf>
    <xf numFmtId="168" fontId="36" fillId="5" borderId="119" applyAlignment="1" pivotButton="0" quotePrefix="0" xfId="0">
      <alignment horizontal="right" vertical="center" indent="1"/>
    </xf>
    <xf numFmtId="0" fontId="40" fillId="0" borderId="0" applyAlignment="1" pivotButton="0" quotePrefix="0" xfId="0">
      <alignment horizontal="center" vertical="center"/>
    </xf>
    <xf numFmtId="0" fontId="40" fillId="8" borderId="0" applyAlignment="1" pivotButton="0" quotePrefix="0" xfId="0">
      <alignment horizontal="centerContinuous" vertical="center"/>
    </xf>
    <xf numFmtId="0" fontId="0" fillId="8" borderId="0" applyAlignment="1" pivotButton="0" quotePrefix="0" xfId="0">
      <alignment horizontal="centerContinuous" vertical="center"/>
    </xf>
    <xf numFmtId="165" fontId="7" fillId="0" borderId="20" applyAlignment="1" pivotButton="0" quotePrefix="0" xfId="0">
      <alignment horizontal="right" vertical="center" indent="1"/>
    </xf>
    <xf numFmtId="165" fontId="7" fillId="0" borderId="17" applyAlignment="1" pivotButton="0" quotePrefix="0" xfId="0">
      <alignment horizontal="right" vertical="center" indent="1"/>
    </xf>
    <xf numFmtId="165" fontId="0" fillId="0" borderId="0" applyAlignment="1" pivotButton="0" quotePrefix="0" xfId="0">
      <alignment vertical="center"/>
    </xf>
    <xf numFmtId="165" fontId="0" fillId="0" borderId="47" applyAlignment="1" pivotButton="0" quotePrefix="0" xfId="0">
      <alignment vertical="center"/>
    </xf>
    <xf numFmtId="165" fontId="29" fillId="0" borderId="17" applyAlignment="1" pivotButton="0" quotePrefix="0" xfId="0">
      <alignment horizontal="right" vertical="center" indent="1"/>
    </xf>
    <xf numFmtId="165" fontId="0" fillId="0" borderId="19" applyAlignment="1" pivotButton="0" quotePrefix="0" xfId="0">
      <alignment vertical="center"/>
    </xf>
    <xf numFmtId="165" fontId="0" fillId="0" borderId="49" applyAlignment="1" pivotButton="0" quotePrefix="0" xfId="0">
      <alignment vertical="center"/>
    </xf>
    <xf numFmtId="165" fontId="2" fillId="3" borderId="74" applyAlignment="1" pivotButton="0" quotePrefix="0" xfId="0">
      <alignment horizontal="centerContinuous" vertical="center"/>
    </xf>
    <xf numFmtId="165" fontId="2" fillId="3" borderId="76" applyAlignment="1" pivotButton="0" quotePrefix="0" xfId="0">
      <alignment horizontal="center" vertical="center"/>
    </xf>
    <xf numFmtId="165" fontId="2" fillId="3" borderId="0" applyAlignment="1" pivotButton="0" quotePrefix="0" xfId="0">
      <alignment horizontal="centerContinuous" vertical="center"/>
    </xf>
    <xf numFmtId="165" fontId="2" fillId="3" borderId="60" applyAlignment="1" pivotButton="0" quotePrefix="0" xfId="0">
      <alignment horizontal="center" vertical="center"/>
    </xf>
    <xf numFmtId="165" fontId="2" fillId="3" borderId="76" applyAlignment="1" pivotButton="0" quotePrefix="0" xfId="0">
      <alignment horizontal="centerContinuous" vertical="center"/>
    </xf>
    <xf numFmtId="165" fontId="2" fillId="3" borderId="78" applyAlignment="1" pivotButton="0" quotePrefix="0" xfId="0">
      <alignment horizontal="centerContinuous" vertical="center"/>
    </xf>
    <xf numFmtId="165" fontId="2" fillId="11" borderId="74" applyAlignment="1" pivotButton="0" quotePrefix="0" xfId="0">
      <alignment horizontal="centerContinuous" vertical="center"/>
    </xf>
    <xf numFmtId="165" fontId="2" fillId="11" borderId="76" applyAlignment="1" pivotButton="0" quotePrefix="0" xfId="0">
      <alignment horizontal="center" vertical="center"/>
    </xf>
    <xf numFmtId="166" fontId="56" fillId="0" borderId="3" applyAlignment="1" pivotButton="0" quotePrefix="0" xfId="1">
      <alignment horizontal="right" vertical="center" indent="1"/>
    </xf>
    <xf numFmtId="168" fontId="24" fillId="2" borderId="114" applyAlignment="1" pivotButton="0" quotePrefix="0" xfId="0">
      <alignment horizontal="right" vertical="center" indent="1"/>
    </xf>
    <xf numFmtId="0" fontId="2" fillId="3" borderId="47" applyAlignment="1" pivotButton="0" quotePrefix="0" xfId="0">
      <alignment horizontal="center" vertical="center"/>
    </xf>
    <xf numFmtId="0" fontId="2" fillId="3" borderId="52" applyAlignment="1" pivotButton="0" quotePrefix="0" xfId="0">
      <alignment horizontal="center" vertical="center"/>
    </xf>
    <xf numFmtId="0" fontId="2" fillId="3" borderId="58" applyAlignment="1" pivotButton="0" quotePrefix="0" xfId="0">
      <alignment horizontal="center" vertical="center"/>
    </xf>
    <xf numFmtId="0" fontId="13" fillId="3" borderId="47" applyAlignment="1" pivotButton="0" quotePrefix="0" xfId="0">
      <alignment horizontal="center" vertical="center"/>
    </xf>
    <xf numFmtId="0" fontId="13" fillId="3" borderId="58" applyAlignment="1" pivotButton="0" quotePrefix="0" xfId="0">
      <alignment horizontal="center" vertical="center"/>
    </xf>
    <xf numFmtId="0" fontId="13" fillId="3" borderId="19" applyAlignment="1" pivotButton="0" quotePrefix="0" xfId="0">
      <alignment horizontal="center" vertical="center"/>
    </xf>
    <xf numFmtId="0" fontId="13" fillId="3" borderId="59" applyAlignment="1" pivotButton="0" quotePrefix="0" xfId="0">
      <alignment horizontal="center" vertical="center"/>
    </xf>
    <xf numFmtId="0" fontId="13" fillId="3" borderId="60" applyAlignment="1" pivotButton="0" quotePrefix="0" xfId="0">
      <alignment horizontal="center" vertical="center"/>
    </xf>
    <xf numFmtId="0" fontId="13" fillId="3" borderId="59" applyAlignment="1" pivotButton="0" quotePrefix="0" xfId="0">
      <alignment horizontal="center" vertical="center" wrapText="1"/>
    </xf>
    <xf numFmtId="0" fontId="13" fillId="3" borderId="19" applyAlignment="1" pivotButton="0" quotePrefix="0" xfId="0">
      <alignment horizontal="center" vertical="center" wrapText="1"/>
    </xf>
    <xf numFmtId="164" fontId="12" fillId="4" borderId="1" applyAlignment="1" pivotButton="0" quotePrefix="0" xfId="0">
      <alignment horizontal="center" vertical="center"/>
    </xf>
    <xf numFmtId="164" fontId="12" fillId="4" borderId="19" applyAlignment="1" pivotButton="0" quotePrefix="0" xfId="0">
      <alignment horizontal="center" vertical="center"/>
    </xf>
    <xf numFmtId="164" fontId="12" fillId="4" borderId="17" applyAlignment="1" pivotButton="0" quotePrefix="0" xfId="0">
      <alignment horizontal="center" vertical="center"/>
    </xf>
    <xf numFmtId="164" fontId="12" fillId="0" borderId="1" applyAlignment="1" pivotButton="0" quotePrefix="0" xfId="0">
      <alignment horizontal="center" vertical="center"/>
    </xf>
    <xf numFmtId="164" fontId="12" fillId="0" borderId="19" applyAlignment="1" pivotButton="0" quotePrefix="0" xfId="0">
      <alignment horizontal="center" vertical="center"/>
    </xf>
    <xf numFmtId="164" fontId="12" fillId="0" borderId="17" applyAlignment="1" pivotButton="0" quotePrefix="0" xfId="0">
      <alignment horizontal="center" vertical="center"/>
    </xf>
    <xf numFmtId="0" fontId="6" fillId="2" borderId="0" applyAlignment="1" pivotButton="0" quotePrefix="0" xfId="0">
      <alignment horizontal="left" vertical="center" indent="1"/>
    </xf>
    <xf numFmtId="173" fontId="49" fillId="12" borderId="126" applyAlignment="1" pivotButton="0" quotePrefix="0" xfId="0">
      <alignment horizontal="center" vertical="center"/>
    </xf>
    <xf numFmtId="173" fontId="17" fillId="13" borderId="126" applyAlignment="1" pivotButton="0" quotePrefix="0" xfId="0">
      <alignment horizontal="center" vertical="center"/>
    </xf>
    <xf numFmtId="0" fontId="14" fillId="13" borderId="126" applyAlignment="1" pivotButton="0" quotePrefix="0" xfId="0">
      <alignment horizontal="center" vertical="center"/>
    </xf>
    <xf numFmtId="0" fontId="14" fillId="14" borderId="126" applyAlignment="1" pivotButton="0" quotePrefix="0" xfId="0">
      <alignment horizontal="center" vertical="center"/>
    </xf>
    <xf numFmtId="0" fontId="20" fillId="13" borderId="126" applyAlignment="1" pivotButton="0" quotePrefix="0" xfId="0">
      <alignment horizontal="center" vertical="center"/>
    </xf>
    <xf numFmtId="0" fontId="25" fillId="4" borderId="2" applyAlignment="1" pivotButton="0" quotePrefix="0" xfId="0">
      <alignment horizontal="left" vertical="center" indent="1"/>
    </xf>
    <xf numFmtId="0" fontId="25" fillId="4" borderId="22" applyAlignment="1" pivotButton="0" quotePrefix="0" xfId="0">
      <alignment horizontal="left" vertical="center" indent="1"/>
    </xf>
    <xf numFmtId="0" fontId="25" fillId="4" borderId="25" applyAlignment="1" pivotButton="0" quotePrefix="0" xfId="0">
      <alignment horizontal="left" vertical="center" indent="1"/>
    </xf>
    <xf numFmtId="0" fontId="25" fillId="4" borderId="43" applyAlignment="1" pivotButton="0" quotePrefix="0" xfId="0">
      <alignment horizontal="left" vertical="center" indent="1"/>
    </xf>
    <xf numFmtId="0" fontId="6" fillId="7" borderId="42" applyAlignment="1" pivotButton="0" quotePrefix="0" xfId="0">
      <alignment horizontal="left" vertical="center" indent="1"/>
    </xf>
    <xf numFmtId="0" fontId="0" fillId="0" borderId="0" pivotButton="0" quotePrefix="0" xfId="0"/>
    <xf numFmtId="168" fontId="7" fillId="7" borderId="21" applyAlignment="1" pivotButton="0" quotePrefix="0" xfId="0">
      <alignment horizontal="right" vertical="center" indent="1"/>
    </xf>
    <xf numFmtId="168" fontId="7" fillId="7" borderId="90" applyAlignment="1" pivotButton="0" quotePrefix="0" xfId="0">
      <alignment horizontal="right" vertical="center" indent="1"/>
    </xf>
    <xf numFmtId="168" fontId="8" fillId="0" borderId="0" applyAlignment="1" pivotButton="0" quotePrefix="0" xfId="0">
      <alignment horizontal="right" vertical="center" indent="1"/>
    </xf>
    <xf numFmtId="168" fontId="8" fillId="0" borderId="91" applyAlignment="1" pivotButton="0" quotePrefix="0" xfId="0">
      <alignment horizontal="right" vertical="center" indent="1"/>
    </xf>
    <xf numFmtId="166" fontId="7" fillId="7" borderId="17" applyAlignment="1" pivotButton="0" quotePrefix="0" xfId="0">
      <alignment horizontal="right" vertical="center" indent="1"/>
    </xf>
    <xf numFmtId="166" fontId="8" fillId="0" borderId="19" applyAlignment="1" pivotButton="0" quotePrefix="0" xfId="0">
      <alignment horizontal="right" vertical="center" indent="1"/>
    </xf>
    <xf numFmtId="166" fontId="8" fillId="0" borderId="17" applyAlignment="1" pivotButton="0" quotePrefix="0" xfId="0">
      <alignment horizontal="right" vertical="center" indent="1"/>
    </xf>
    <xf numFmtId="166" fontId="8" fillId="2" borderId="17" applyAlignment="1" pivotButton="0" quotePrefix="0" xfId="0">
      <alignment horizontal="right" vertical="center" indent="1"/>
    </xf>
    <xf numFmtId="168" fontId="8" fillId="2" borderId="17" applyAlignment="1" pivotButton="0" quotePrefix="0" xfId="0">
      <alignment horizontal="right" vertical="center" indent="1"/>
    </xf>
    <xf numFmtId="168" fontId="8" fillId="0" borderId="19" applyAlignment="1" pivotButton="0" quotePrefix="0" xfId="0">
      <alignment horizontal="right" vertical="center" indent="1"/>
    </xf>
    <xf numFmtId="168" fontId="8" fillId="2" borderId="19" applyAlignment="1" pivotButton="0" quotePrefix="0" xfId="0">
      <alignment horizontal="right" vertical="center" indent="1"/>
    </xf>
    <xf numFmtId="168" fontId="8" fillId="0" borderId="17" applyAlignment="1" pivotButton="0" quotePrefix="0" xfId="0">
      <alignment horizontal="right" vertical="center" indent="1"/>
    </xf>
    <xf numFmtId="168" fontId="7" fillId="5" borderId="3" applyAlignment="1" pivotButton="0" quotePrefix="0" xfId="0">
      <alignment horizontal="right" vertical="center" indent="1"/>
    </xf>
    <xf numFmtId="168" fontId="28" fillId="3" borderId="86" applyAlignment="1" pivotButton="0" quotePrefix="0" xfId="0">
      <alignment horizontal="right" vertical="center" indent="1"/>
    </xf>
    <xf numFmtId="168" fontId="0" fillId="0" borderId="0" applyAlignment="1" pivotButton="0" quotePrefix="0" xfId="0">
      <alignment vertical="center"/>
    </xf>
    <xf numFmtId="168" fontId="39" fillId="0" borderId="0" applyAlignment="1" pivotButton="0" quotePrefix="0" xfId="0">
      <alignment vertical="center"/>
    </xf>
    <xf numFmtId="168" fontId="8" fillId="0" borderId="47" applyAlignment="1" pivotButton="0" quotePrefix="0" xfId="0">
      <alignment horizontal="right" vertical="center" indent="1"/>
    </xf>
    <xf numFmtId="168" fontId="8" fillId="0" borderId="21" applyAlignment="1" pivotButton="0" quotePrefix="0" xfId="0">
      <alignment horizontal="right" vertical="center" indent="1"/>
    </xf>
    <xf numFmtId="168" fontId="8" fillId="0" borderId="64" applyAlignment="1" pivotButton="0" quotePrefix="0" xfId="0">
      <alignment horizontal="right" vertical="center" indent="1"/>
    </xf>
    <xf numFmtId="168" fontId="28" fillId="3" borderId="21" applyAlignment="1" pivotButton="0" quotePrefix="0" xfId="0">
      <alignment horizontal="right" vertical="center" indent="1"/>
    </xf>
    <xf numFmtId="168" fontId="28" fillId="3" borderId="64" applyAlignment="1" pivotButton="0" quotePrefix="0" xfId="0">
      <alignment horizontal="right" vertical="center" indent="1"/>
    </xf>
    <xf numFmtId="166" fontId="8" fillId="0" borderId="47" applyAlignment="1" pivotButton="0" quotePrefix="0" xfId="0">
      <alignment horizontal="right" vertical="center" indent="1"/>
    </xf>
    <xf numFmtId="168" fontId="8" fillId="0" borderId="49" applyAlignment="1" pivotButton="0" quotePrefix="0" xfId="0">
      <alignment horizontal="right" vertical="center" indent="1"/>
    </xf>
    <xf numFmtId="168" fontId="2" fillId="3" borderId="5" applyAlignment="1" pivotButton="0" quotePrefix="0" xfId="0">
      <alignment horizontal="centerContinuous" vertical="center"/>
    </xf>
    <xf numFmtId="168" fontId="2" fillId="3" borderId="61" applyAlignment="1" pivotButton="0" quotePrefix="0" xfId="0">
      <alignment horizontal="centerContinuous" vertical="center"/>
    </xf>
    <xf numFmtId="168" fontId="2" fillId="3" borderId="6" applyAlignment="1" pivotButton="0" quotePrefix="0" xfId="0">
      <alignment horizontal="centerContinuous" vertical="center"/>
    </xf>
    <xf numFmtId="168" fontId="8" fillId="7" borderId="22" applyAlignment="1" pivotButton="0" quotePrefix="0" xfId="0">
      <alignment horizontal="right" vertical="center" indent="1"/>
    </xf>
    <xf numFmtId="168" fontId="8" fillId="0" borderId="22" applyAlignment="1" pivotButton="0" quotePrefix="0" xfId="0">
      <alignment horizontal="right" vertical="center" indent="1"/>
    </xf>
    <xf numFmtId="168" fontId="8" fillId="0" borderId="107" applyAlignment="1" pivotButton="0" quotePrefix="0" xfId="0">
      <alignment horizontal="right" vertical="center" indent="1"/>
    </xf>
    <xf numFmtId="168" fontId="8" fillId="0" borderId="106" applyAlignment="1" pivotButton="0" quotePrefix="0" xfId="0">
      <alignment horizontal="right" vertical="center" indent="1"/>
    </xf>
    <xf numFmtId="168" fontId="8" fillId="7" borderId="49" applyAlignment="1" pivotButton="0" quotePrefix="0" xfId="0">
      <alignment horizontal="right" vertical="center" indent="1"/>
    </xf>
    <xf numFmtId="168" fontId="8" fillId="7" borderId="19" applyAlignment="1" pivotButton="0" quotePrefix="0" xfId="0">
      <alignment horizontal="right" vertical="center" indent="1"/>
    </xf>
    <xf numFmtId="168" fontId="28" fillId="3" borderId="60" applyAlignment="1" pivotButton="0" quotePrefix="0" xfId="0">
      <alignment horizontal="right" vertical="center" indent="1"/>
    </xf>
    <xf numFmtId="168" fontId="28" fillId="3" borderId="68" applyAlignment="1" pivotButton="0" quotePrefix="0" xfId="0">
      <alignment horizontal="right" vertical="center" indent="1"/>
    </xf>
    <xf numFmtId="168" fontId="0" fillId="0" borderId="47" applyAlignment="1" pivotButton="0" quotePrefix="0" xfId="0">
      <alignment vertical="center"/>
    </xf>
    <xf numFmtId="168" fontId="40" fillId="0" borderId="47" applyAlignment="1" pivotButton="0" quotePrefix="0" xfId="0">
      <alignment vertical="center"/>
    </xf>
    <xf numFmtId="0" fontId="0" fillId="0" borderId="52" pivotButton="0" quotePrefix="0" xfId="0"/>
    <xf numFmtId="168" fontId="8" fillId="0" borderId="1" applyAlignment="1" pivotButton="0" quotePrefix="0" xfId="0">
      <alignment horizontal="right" vertical="center" indent="1"/>
    </xf>
    <xf numFmtId="165" fontId="8" fillId="0" borderId="19" applyAlignment="1" pivotButton="0" quotePrefix="0" xfId="0">
      <alignment horizontal="right" vertical="center" indent="1"/>
    </xf>
    <xf numFmtId="165" fontId="8" fillId="0" borderId="17" applyAlignment="1" pivotButton="0" quotePrefix="0" xfId="0">
      <alignment horizontal="right" vertical="center" indent="1"/>
    </xf>
    <xf numFmtId="168" fontId="7" fillId="7" borderId="17" applyAlignment="1" pivotButton="0" quotePrefix="0" xfId="0">
      <alignment horizontal="right" vertical="center" indent="1"/>
    </xf>
    <xf numFmtId="165" fontId="7" fillId="7" borderId="17" applyAlignment="1" pivotButton="0" quotePrefix="0" xfId="0">
      <alignment horizontal="right" vertical="center" indent="1"/>
    </xf>
    <xf numFmtId="168" fontId="7" fillId="0" borderId="20" applyAlignment="1" pivotButton="0" quotePrefix="0" xfId="0">
      <alignment horizontal="right" vertical="center" indent="1"/>
    </xf>
    <xf numFmtId="165" fontId="7" fillId="0" borderId="20" applyAlignment="1" pivotButton="0" quotePrefix="0" xfId="0">
      <alignment horizontal="right" vertical="center" indent="1"/>
    </xf>
    <xf numFmtId="168" fontId="7" fillId="0" borderId="17" applyAlignment="1" pivotButton="0" quotePrefix="0" xfId="0">
      <alignment horizontal="right" vertical="center" indent="1"/>
    </xf>
    <xf numFmtId="165" fontId="7" fillId="0" borderId="17" applyAlignment="1" pivotButton="0" quotePrefix="0" xfId="0">
      <alignment horizontal="right" vertical="center" indent="1"/>
    </xf>
    <xf numFmtId="165" fontId="0" fillId="0" borderId="0" applyAlignment="1" pivotButton="0" quotePrefix="0" xfId="0">
      <alignment vertical="center"/>
    </xf>
    <xf numFmtId="165" fontId="0" fillId="0" borderId="47" applyAlignment="1" pivotButton="0" quotePrefix="0" xfId="0">
      <alignment vertical="center"/>
    </xf>
    <xf numFmtId="165" fontId="0" fillId="0" borderId="49" applyAlignment="1" pivotButton="0" quotePrefix="0" xfId="0">
      <alignment vertical="center"/>
    </xf>
    <xf numFmtId="165" fontId="2" fillId="3" borderId="74" applyAlignment="1" pivotButton="0" quotePrefix="0" xfId="0">
      <alignment horizontal="centerContinuous" vertical="center"/>
    </xf>
    <xf numFmtId="165" fontId="2" fillId="3" borderId="0" applyAlignment="1" pivotButton="0" quotePrefix="0" xfId="0">
      <alignment horizontal="centerContinuous" vertical="center"/>
    </xf>
    <xf numFmtId="165" fontId="2" fillId="3" borderId="76" applyAlignment="1" pivotButton="0" quotePrefix="0" xfId="0">
      <alignment horizontal="centerContinuous" vertical="center"/>
    </xf>
    <xf numFmtId="165" fontId="2" fillId="3" borderId="78" applyAlignment="1" pivotButton="0" quotePrefix="0" xfId="0">
      <alignment horizontal="centerContinuous" vertical="center"/>
    </xf>
    <xf numFmtId="165" fontId="2" fillId="11" borderId="74" applyAlignment="1" pivotButton="0" quotePrefix="0" xfId="0">
      <alignment horizontal="centerContinuous" vertical="center"/>
    </xf>
    <xf numFmtId="0" fontId="0" fillId="0" borderId="58" pivotButton="0" quotePrefix="0" xfId="0"/>
    <xf numFmtId="165" fontId="2" fillId="3" borderId="76" applyAlignment="1" pivotButton="0" quotePrefix="0" xfId="0">
      <alignment horizontal="center" vertical="center"/>
    </xf>
    <xf numFmtId="165" fontId="2" fillId="3" borderId="60" applyAlignment="1" pivotButton="0" quotePrefix="0" xfId="0">
      <alignment horizontal="center" vertical="center"/>
    </xf>
    <xf numFmtId="165" fontId="2" fillId="11" borderId="76" applyAlignment="1" pivotButton="0" quotePrefix="0" xfId="0">
      <alignment horizontal="center" vertical="center"/>
    </xf>
    <xf numFmtId="166" fontId="31" fillId="2" borderId="49" applyAlignment="1" pivotButton="0" quotePrefix="0" xfId="0">
      <alignment horizontal="left" vertical="center" indent="1"/>
    </xf>
    <xf numFmtId="168" fontId="8" fillId="10" borderId="80" applyAlignment="1" pivotButton="0" quotePrefix="0" xfId="0">
      <alignment horizontal="right" vertical="center" indent="1"/>
    </xf>
    <xf numFmtId="165" fontId="8" fillId="10" borderId="68" applyAlignment="1" pivotButton="0" quotePrefix="0" xfId="0">
      <alignment horizontal="right" vertical="center" indent="1"/>
    </xf>
    <xf numFmtId="168" fontId="8" fillId="10" borderId="68" applyAlignment="1" pivotButton="0" quotePrefix="0" xfId="0">
      <alignment horizontal="right" vertical="center" indent="1"/>
    </xf>
    <xf numFmtId="168" fontId="7" fillId="7" borderId="22" applyAlignment="1" pivotButton="0" quotePrefix="0" xfId="0">
      <alignment horizontal="right" vertical="center" indent="1"/>
    </xf>
    <xf numFmtId="168" fontId="29" fillId="0" borderId="22" applyAlignment="1" pivotButton="0" quotePrefix="0" xfId="0">
      <alignment horizontal="right" vertical="center" indent="1"/>
    </xf>
    <xf numFmtId="165" fontId="29" fillId="0" borderId="17" applyAlignment="1" pivotButton="0" quotePrefix="0" xfId="0">
      <alignment horizontal="right" vertical="center" indent="1"/>
    </xf>
    <xf numFmtId="168" fontId="29" fillId="0" borderId="17" applyAlignment="1" pivotButton="0" quotePrefix="0" xfId="0">
      <alignment horizontal="right" vertical="center" indent="1"/>
    </xf>
    <xf numFmtId="168" fontId="0" fillId="0" borderId="49" applyAlignment="1" pivotButton="0" quotePrefix="0" xfId="0">
      <alignment vertical="center"/>
    </xf>
    <xf numFmtId="165" fontId="0" fillId="0" borderId="19" applyAlignment="1" pivotButton="0" quotePrefix="0" xfId="0">
      <alignment vertical="center"/>
    </xf>
    <xf numFmtId="168" fontId="0" fillId="0" borderId="19" applyAlignment="1" pivotButton="0" quotePrefix="0" xfId="0">
      <alignment vertical="center"/>
    </xf>
    <xf numFmtId="0" fontId="0" fillId="0" borderId="47" pivotButton="0" quotePrefix="0" xfId="0"/>
    <xf numFmtId="168" fontId="7" fillId="7" borderId="11" applyAlignment="1" pivotButton="0" quotePrefix="0" xfId="0">
      <alignment horizontal="right" vertical="center" indent="1"/>
    </xf>
    <xf numFmtId="165" fontId="8" fillId="7" borderId="3" applyAlignment="1" pivotButton="0" quotePrefix="0" xfId="0">
      <alignment horizontal="right" vertical="center" indent="1"/>
    </xf>
    <xf numFmtId="168" fontId="7" fillId="7" borderId="3" applyAlignment="1" pivotButton="0" quotePrefix="0" xfId="0">
      <alignment horizontal="right" vertical="center" indent="1"/>
    </xf>
    <xf numFmtId="166" fontId="8" fillId="0" borderId="3" applyAlignment="1" pivotButton="0" quotePrefix="0" xfId="1">
      <alignment horizontal="right" vertical="center" indent="1"/>
    </xf>
    <xf numFmtId="166" fontId="8" fillId="0" borderId="11" applyAlignment="1" pivotButton="0" quotePrefix="0" xfId="1">
      <alignment horizontal="right" vertical="center" indent="1"/>
    </xf>
    <xf numFmtId="166" fontId="56" fillId="0" borderId="3" applyAlignment="1" pivotButton="0" quotePrefix="0" xfId="1">
      <alignment horizontal="right" vertical="center" indent="1"/>
    </xf>
    <xf numFmtId="168" fontId="7" fillId="7" borderId="20" applyAlignment="1" pivotButton="0" quotePrefix="0" xfId="0">
      <alignment horizontal="right" vertical="center" indent="1"/>
    </xf>
    <xf numFmtId="168" fontId="7" fillId="7" borderId="92" applyAlignment="1" pivotButton="0" quotePrefix="0" xfId="0">
      <alignment horizontal="right" vertical="center" indent="1"/>
    </xf>
    <xf numFmtId="168" fontId="8" fillId="2" borderId="90" applyAlignment="1" pivotButton="0" quotePrefix="0" xfId="0">
      <alignment horizontal="right" vertical="center" indent="1"/>
    </xf>
    <xf numFmtId="168" fontId="8" fillId="2" borderId="20" applyAlignment="1" pivotButton="0" quotePrefix="0" xfId="0">
      <alignment horizontal="right" vertical="center" indent="1"/>
    </xf>
    <xf numFmtId="168" fontId="8" fillId="2" borderId="55" applyAlignment="1" pivotButton="0" quotePrefix="0" xfId="0">
      <alignment horizontal="right" vertical="center" indent="1"/>
    </xf>
    <xf numFmtId="168" fontId="8" fillId="2" borderId="92" applyAlignment="1" pivotButton="0" quotePrefix="0" xfId="0">
      <alignment horizontal="right" vertical="center" indent="1"/>
    </xf>
    <xf numFmtId="168" fontId="8" fillId="2" borderId="20" applyAlignment="1" pivotButton="0" quotePrefix="0" xfId="0">
      <alignment horizontal="right" vertical="center" indent="2"/>
    </xf>
    <xf numFmtId="168" fontId="8" fillId="2" borderId="55" applyAlignment="1" pivotButton="0" quotePrefix="0" xfId="0">
      <alignment horizontal="right" vertical="center" indent="2"/>
    </xf>
    <xf numFmtId="168" fontId="8" fillId="2" borderId="92" applyAlignment="1" pivotButton="0" quotePrefix="0" xfId="0">
      <alignment horizontal="right" vertical="center" indent="2"/>
    </xf>
    <xf numFmtId="168" fontId="7" fillId="5" borderId="20" applyAlignment="1" pivotButton="0" quotePrefix="0" xfId="0">
      <alignment horizontal="right" vertical="center" indent="1"/>
    </xf>
    <xf numFmtId="168" fontId="7" fillId="5" borderId="92" applyAlignment="1" pivotButton="0" quotePrefix="0" xfId="0">
      <alignment horizontal="right" vertical="center" indent="1"/>
    </xf>
    <xf numFmtId="168" fontId="8" fillId="2" borderId="65" applyAlignment="1" pivotButton="0" quotePrefix="0" xfId="0">
      <alignment horizontal="right" vertical="center" indent="1"/>
    </xf>
    <xf numFmtId="168" fontId="8" fillId="2" borderId="112" applyAlignment="1" pivotButton="0" quotePrefix="0" xfId="0">
      <alignment horizontal="right" vertical="center" indent="1"/>
    </xf>
    <xf numFmtId="168" fontId="8" fillId="0" borderId="109" applyAlignment="1" pivotButton="0" quotePrefix="0" xfId="0">
      <alignment horizontal="right" vertical="center" indent="1"/>
    </xf>
    <xf numFmtId="168" fontId="8" fillId="2" borderId="0" applyAlignment="1" pivotButton="0" quotePrefix="0" xfId="0">
      <alignment horizontal="right" vertical="center" indent="1"/>
    </xf>
    <xf numFmtId="168" fontId="8" fillId="2" borderId="111" applyAlignment="1" pivotButton="0" quotePrefix="0" xfId="0">
      <alignment horizontal="right" vertical="center" indent="1"/>
    </xf>
    <xf numFmtId="168" fontId="8" fillId="0" borderId="103" applyAlignment="1" pivotButton="0" quotePrefix="0" xfId="0">
      <alignment horizontal="right" vertical="center" indent="1"/>
    </xf>
    <xf numFmtId="168" fontId="7" fillId="5" borderId="64" applyAlignment="1" pivotButton="0" quotePrefix="0" xfId="0">
      <alignment horizontal="right" vertical="center" indent="1"/>
    </xf>
    <xf numFmtId="168" fontId="7" fillId="5" borderId="91" applyAlignment="1" pivotButton="0" quotePrefix="0" xfId="0">
      <alignment horizontal="right" vertical="center" indent="1"/>
    </xf>
    <xf numFmtId="168" fontId="28" fillId="3" borderId="20" applyAlignment="1" pivotButton="0" quotePrefix="0" xfId="0">
      <alignment horizontal="right" vertical="center" indent="1"/>
    </xf>
    <xf numFmtId="168" fontId="28" fillId="3" borderId="93" applyAlignment="1" pivotButton="0" quotePrefix="0" xfId="0">
      <alignment horizontal="right" vertical="center" indent="1"/>
    </xf>
    <xf numFmtId="168" fontId="18" fillId="0" borderId="0" applyAlignment="1" pivotButton="0" quotePrefix="0" xfId="0">
      <alignment vertical="center"/>
    </xf>
    <xf numFmtId="166" fontId="18" fillId="0" borderId="0" applyAlignment="1" pivotButton="0" quotePrefix="0" xfId="0">
      <alignment vertical="center"/>
    </xf>
    <xf numFmtId="0" fontId="12" fillId="4" borderId="1" applyAlignment="1" pivotButton="0" quotePrefix="0" xfId="0">
      <alignment horizontal="left" vertical="center" wrapText="1" indent="1"/>
    </xf>
    <xf numFmtId="0" fontId="3" fillId="2" borderId="4" applyAlignment="1" pivotButton="0" quotePrefix="0" xfId="0">
      <alignment horizontal="left" vertical="center" wrapText="1" indent="1"/>
    </xf>
    <xf numFmtId="168" fontId="8" fillId="0" borderId="3" applyAlignment="1" pivotButton="0" quotePrefix="0" xfId="0">
      <alignment horizontal="right" vertical="center" indent="1"/>
    </xf>
    <xf numFmtId="0" fontId="12" fillId="4" borderId="7" applyAlignment="1" pivotButton="0" quotePrefix="0" xfId="0">
      <alignment horizontal="left" vertical="center" wrapText="1" indent="1"/>
    </xf>
    <xf numFmtId="168" fontId="8" fillId="0" borderId="7" applyAlignment="1" pivotButton="0" quotePrefix="0" xfId="0">
      <alignment horizontal="right" vertical="center" indent="1"/>
    </xf>
    <xf numFmtId="0" fontId="3" fillId="2" borderId="8" applyAlignment="1" pivotButton="0" quotePrefix="0" xfId="0">
      <alignment horizontal="left" vertical="center" wrapText="1" indent="1"/>
    </xf>
    <xf numFmtId="0" fontId="15" fillId="5" borderId="10" applyAlignment="1" pivotButton="0" quotePrefix="0" xfId="0">
      <alignment horizontal="left" vertical="center" wrapText="1" indent="1"/>
    </xf>
    <xf numFmtId="168" fontId="5" fillId="5" borderId="10" applyAlignment="1" pivotButton="0" quotePrefix="0" xfId="0">
      <alignment horizontal="right" vertical="center" indent="1"/>
    </xf>
    <xf numFmtId="0" fontId="4" fillId="5" borderId="9" applyAlignment="1" pivotButton="0" quotePrefix="0" xfId="0">
      <alignment horizontal="left" vertical="center" wrapText="1" indent="1"/>
    </xf>
    <xf numFmtId="168" fontId="8" fillId="0" borderId="12" applyAlignment="1" pivotButton="0" quotePrefix="0" xfId="0">
      <alignment horizontal="right" vertical="center" indent="1"/>
    </xf>
    <xf numFmtId="0" fontId="3" fillId="2" borderId="12" applyAlignment="1" pivotButton="0" quotePrefix="0" xfId="0">
      <alignment horizontal="left" vertical="center" wrapText="1" indent="1"/>
    </xf>
    <xf numFmtId="0" fontId="3" fillId="2" borderId="0" applyAlignment="1" pivotButton="0" quotePrefix="0" xfId="0">
      <alignment horizontal="left" vertical="center" wrapText="1" indent="1"/>
    </xf>
    <xf numFmtId="168" fontId="8" fillId="0" borderId="13" applyAlignment="1" pivotButton="0" quotePrefix="0" xfId="0">
      <alignment horizontal="right" vertical="center" indent="1"/>
    </xf>
    <xf numFmtId="0" fontId="3" fillId="2" borderId="13" applyAlignment="1" pivotButton="0" quotePrefix="0" xfId="0">
      <alignment horizontal="left" vertical="center" wrapText="1" indent="1"/>
    </xf>
    <xf numFmtId="168" fontId="5" fillId="5" borderId="0" applyAlignment="1" pivotButton="0" quotePrefix="0" xfId="0">
      <alignment horizontal="right" vertical="center" indent="1"/>
    </xf>
    <xf numFmtId="0" fontId="3" fillId="5" borderId="0" applyAlignment="1" pivotButton="0" quotePrefix="0" xfId="0">
      <alignment horizontal="left" vertical="center" wrapText="1" indent="1"/>
    </xf>
    <xf numFmtId="169" fontId="8" fillId="0" borderId="1" applyAlignment="1" pivotButton="0" quotePrefix="0" xfId="0">
      <alignment horizontal="right" vertical="center" wrapText="1" indent="1"/>
    </xf>
    <xf numFmtId="168" fontId="8" fillId="0" borderId="1" applyAlignment="1" pivotButton="0" quotePrefix="0" xfId="0">
      <alignment horizontal="right" vertical="center" wrapText="1" indent="1"/>
    </xf>
    <xf numFmtId="169" fontId="8" fillId="0" borderId="3" applyAlignment="1" pivotButton="0" quotePrefix="0" xfId="0">
      <alignment horizontal="right" vertical="center" indent="1"/>
    </xf>
    <xf numFmtId="169" fontId="8" fillId="0" borderId="7" applyAlignment="1" pivotButton="0" quotePrefix="0" xfId="0">
      <alignment horizontal="right" vertical="center" indent="1"/>
    </xf>
    <xf numFmtId="169" fontId="5" fillId="5" borderId="10" applyAlignment="1" pivotButton="0" quotePrefix="0" xfId="0">
      <alignment horizontal="right" vertical="center" indent="1"/>
    </xf>
    <xf numFmtId="168" fontId="7" fillId="7" borderId="95" applyAlignment="1" pivotButton="0" quotePrefix="0" xfId="0">
      <alignment horizontal="right" vertical="center" indent="1"/>
    </xf>
    <xf numFmtId="168" fontId="7" fillId="7" borderId="55" applyAlignment="1" pivotButton="0" quotePrefix="0" xfId="0">
      <alignment horizontal="right" vertical="center" indent="1"/>
    </xf>
    <xf numFmtId="168" fontId="28" fillId="3" borderId="17" applyAlignment="1" pivotButton="0" quotePrefix="0" xfId="0">
      <alignment horizontal="right" vertical="center" indent="1"/>
    </xf>
    <xf numFmtId="168" fontId="28" fillId="3" borderId="96" applyAlignment="1" pivotButton="0" quotePrefix="0" xfId="0">
      <alignment horizontal="right" vertical="center" indent="1"/>
    </xf>
    <xf numFmtId="166" fontId="8" fillId="0" borderId="0" applyAlignment="1" pivotButton="0" quotePrefix="0" xfId="0">
      <alignment horizontal="right" vertical="center" indent="1"/>
    </xf>
    <xf numFmtId="168" fontId="8" fillId="0" borderId="48" applyAlignment="1" pivotButton="0" quotePrefix="0" xfId="0">
      <alignment horizontal="right" vertical="center" indent="1"/>
    </xf>
    <xf numFmtId="168" fontId="8" fillId="0" borderId="108" applyAlignment="1" pivotButton="0" quotePrefix="0" xfId="0">
      <alignment horizontal="right" vertical="center" indent="1"/>
    </xf>
    <xf numFmtId="168" fontId="7" fillId="7" borderId="83" applyAlignment="1" pivotButton="0" quotePrefix="0" xfId="0">
      <alignment horizontal="right" vertical="center" indent="1"/>
    </xf>
    <xf numFmtId="168" fontId="7" fillId="7" borderId="84" applyAlignment="1" pivotButton="0" quotePrefix="0" xfId="0">
      <alignment horizontal="right" vertical="center" indent="1"/>
    </xf>
    <xf numFmtId="168" fontId="7" fillId="7" borderId="97" applyAlignment="1" pivotButton="0" quotePrefix="0" xfId="0">
      <alignment horizontal="right" vertical="center" indent="1"/>
    </xf>
    <xf numFmtId="168" fontId="24" fillId="2" borderId="114" applyAlignment="1" pivotButton="0" quotePrefix="0" xfId="0">
      <alignment horizontal="right" vertical="center" indent="1"/>
    </xf>
    <xf numFmtId="168" fontId="8" fillId="2" borderId="115" applyAlignment="1" pivotButton="0" quotePrefix="0" xfId="0">
      <alignment horizontal="right" vertical="center" indent="1"/>
    </xf>
    <xf numFmtId="168" fontId="8" fillId="2" borderId="102" applyAlignment="1" pivotButton="0" quotePrefix="0" xfId="0">
      <alignment horizontal="right" vertical="center" indent="1"/>
    </xf>
    <xf numFmtId="168" fontId="8" fillId="2" borderId="110" applyAlignment="1" pivotButton="0" quotePrefix="0" xfId="0">
      <alignment horizontal="right" vertical="center" indent="1"/>
    </xf>
    <xf numFmtId="168" fontId="8" fillId="2" borderId="116" applyAlignment="1" pivotButton="0" quotePrefix="0" xfId="0">
      <alignment horizontal="right" vertical="center" indent="1"/>
    </xf>
    <xf numFmtId="168" fontId="8" fillId="2" borderId="103" applyAlignment="1" pivotButton="0" quotePrefix="0" xfId="0">
      <alignment horizontal="right" vertical="center" indent="1"/>
    </xf>
    <xf numFmtId="168" fontId="28" fillId="3" borderId="59" applyAlignment="1" pivotButton="0" quotePrefix="0" xfId="0">
      <alignment horizontal="right" vertical="center" indent="1"/>
    </xf>
    <xf numFmtId="168" fontId="28" fillId="3" borderId="98" applyAlignment="1" pivotButton="0" quotePrefix="0" xfId="0">
      <alignment horizontal="right" vertical="center" indent="1"/>
    </xf>
    <xf numFmtId="168" fontId="28" fillId="3" borderId="67" applyAlignment="1" pivotButton="0" quotePrefix="0" xfId="0">
      <alignment horizontal="right" vertical="center" indent="1"/>
    </xf>
    <xf numFmtId="168" fontId="28" fillId="3" borderId="99" applyAlignment="1" pivotButton="0" quotePrefix="0" xfId="0">
      <alignment horizontal="right" vertical="center" indent="1"/>
    </xf>
    <xf numFmtId="168" fontId="13" fillId="3" borderId="3" applyAlignment="1" pivotButton="0" quotePrefix="0" xfId="0">
      <alignment horizontal="centerContinuous" vertical="center"/>
    </xf>
    <xf numFmtId="168" fontId="8" fillId="2" borderId="1" applyAlignment="1" pivotButton="0" quotePrefix="0" xfId="0">
      <alignment horizontal="right" vertical="center" indent="1"/>
    </xf>
    <xf numFmtId="168" fontId="12" fillId="2" borderId="1" applyAlignment="1" pivotButton="0" quotePrefix="0" xfId="0">
      <alignment horizontal="right" vertical="center" wrapText="1" indent="1"/>
    </xf>
    <xf numFmtId="168" fontId="8" fillId="5" borderId="1" applyAlignment="1" pivotButton="0" quotePrefix="0" xfId="0">
      <alignment horizontal="right" vertical="center" indent="1"/>
    </xf>
    <xf numFmtId="168" fontId="8" fillId="2" borderId="114" applyAlignment="1" pivotButton="0" quotePrefix="0" xfId="0">
      <alignment horizontal="right" vertical="center" indent="1"/>
    </xf>
    <xf numFmtId="168" fontId="24" fillId="2" borderId="1" applyAlignment="1" pivotButton="0" quotePrefix="0" xfId="0">
      <alignment horizontal="right" vertical="center" indent="1"/>
    </xf>
    <xf numFmtId="168" fontId="8" fillId="7" borderId="1" applyAlignment="1" pivotButton="0" quotePrefix="0" xfId="0">
      <alignment horizontal="right" vertical="center" indent="1"/>
    </xf>
    <xf numFmtId="168" fontId="8" fillId="5" borderId="19" applyAlignment="1" pivotButton="0" quotePrefix="0" xfId="0">
      <alignment horizontal="right" vertical="center" indent="1"/>
    </xf>
    <xf numFmtId="171" fontId="12" fillId="4" borderId="1" applyAlignment="1" pivotButton="0" quotePrefix="0" xfId="0">
      <alignment horizontal="left" vertical="center" indent="1"/>
    </xf>
    <xf numFmtId="168" fontId="12" fillId="4" borderId="1" applyAlignment="1" pivotButton="0" quotePrefix="0" xfId="0">
      <alignment horizontal="left" vertical="center" indent="1"/>
    </xf>
    <xf numFmtId="168" fontId="12" fillId="2" borderId="1" applyAlignment="1" pivotButton="0" quotePrefix="0" xfId="0">
      <alignment horizontal="right" vertical="center" indent="1"/>
    </xf>
    <xf numFmtId="168" fontId="24" fillId="0" borderId="3" applyAlignment="1" pivotButton="0" quotePrefix="0" xfId="0">
      <alignment horizontal="right" vertical="center" indent="1"/>
    </xf>
    <xf numFmtId="168" fontId="12" fillId="4" borderId="3" applyAlignment="1" pivotButton="0" quotePrefix="0" xfId="0">
      <alignment horizontal="left" vertical="center" indent="1"/>
    </xf>
    <xf numFmtId="168" fontId="12" fillId="2" borderId="3" applyAlignment="1" pivotButton="0" quotePrefix="0" xfId="0">
      <alignment horizontal="right" vertical="center" indent="1"/>
    </xf>
    <xf numFmtId="168" fontId="12" fillId="4" borderId="19" applyAlignment="1" pivotButton="0" quotePrefix="0" xfId="0">
      <alignment horizontal="left" vertical="center" indent="1"/>
    </xf>
    <xf numFmtId="168" fontId="12" fillId="2" borderId="19" applyAlignment="1" pivotButton="0" quotePrefix="0" xfId="0">
      <alignment horizontal="right" vertical="center" indent="1"/>
    </xf>
    <xf numFmtId="168" fontId="36" fillId="5" borderId="10" applyAlignment="1" pivotButton="0" quotePrefix="0" xfId="0">
      <alignment horizontal="right" vertical="center" indent="1"/>
    </xf>
    <xf numFmtId="168" fontId="36" fillId="5" borderId="119" applyAlignment="1" pivotButton="0" quotePrefix="0" xfId="0">
      <alignment horizontal="right" vertical="center" indent="1"/>
    </xf>
    <xf numFmtId="0" fontId="57" fillId="0" borderId="140" applyAlignment="1" pivotButton="0" quotePrefix="0" xfId="0">
      <alignment horizontal="left" vertical="center"/>
    </xf>
    <xf numFmtId="168" fontId="8" fillId="0" borderId="90" applyAlignment="1" pivotButton="0" quotePrefix="0" xfId="0">
      <alignment horizontal="right" vertical="center" indent="1"/>
    </xf>
    <xf numFmtId="168" fontId="7" fillId="0" borderId="92" applyAlignment="1" pivotButton="0" quotePrefix="0" xfId="0">
      <alignment horizontal="right" vertical="center" indent="1"/>
    </xf>
    <xf numFmtId="168" fontId="7" fillId="0" borderId="21" applyAlignment="1" pivotButton="0" quotePrefix="0" xfId="0">
      <alignment horizontal="right" vertical="center" indent="1"/>
    </xf>
    <xf numFmtId="168" fontId="7" fillId="0" borderId="90" applyAlignment="1" pivotButton="0" quotePrefix="0" xfId="0">
      <alignment horizontal="right" vertical="center" indent="1"/>
    </xf>
    <xf numFmtId="168" fontId="7" fillId="7" borderId="96" applyAlignment="1" pivotButton="0" quotePrefix="0" xfId="0">
      <alignment horizontal="right" vertical="center" indent="1"/>
    </xf>
    <xf numFmtId="168" fontId="7" fillId="7" borderId="104" applyAlignment="1" pivotButton="0" quotePrefix="0" xfId="0">
      <alignment horizontal="right" vertical="center" indent="1"/>
    </xf>
    <xf numFmtId="168" fontId="7" fillId="7" borderId="101" applyAlignment="1" pivotButton="0" quotePrefix="0" xfId="0">
      <alignment horizontal="right" vertical="center" indent="1"/>
    </xf>
    <xf numFmtId="168" fontId="7" fillId="7" borderId="102" applyAlignment="1" pivotButton="0" quotePrefix="0" xfId="0">
      <alignment horizontal="right" vertical="center" indent="1"/>
    </xf>
    <xf numFmtId="168" fontId="29" fillId="0" borderId="64" applyAlignment="1" pivotButton="0" quotePrefix="0" xfId="0">
      <alignment horizontal="right" vertical="center" indent="1"/>
    </xf>
    <xf numFmtId="168" fontId="29" fillId="0" borderId="91" applyAlignment="1" pivotButton="0" quotePrefix="0" xfId="0">
      <alignment horizontal="right" vertical="center" indent="1"/>
    </xf>
    <xf numFmtId="168" fontId="8" fillId="0" borderId="121" applyAlignment="1" pivotButton="0" quotePrefix="0" xfId="0">
      <alignment horizontal="centerContinuous" vertical="center"/>
    </xf>
    <xf numFmtId="168" fontId="8" fillId="0" borderId="1" applyAlignment="1" pivotButton="0" quotePrefix="0" xfId="0">
      <alignment horizontal="centerContinuous" vertical="center"/>
    </xf>
    <xf numFmtId="168" fontId="8" fillId="0" borderId="114" applyAlignment="1" pivotButton="0" quotePrefix="0" xfId="0">
      <alignment horizontal="right" vertical="center" indent="1"/>
    </xf>
    <xf numFmtId="168" fontId="5" fillId="7" borderId="120" applyAlignment="1" pivotButton="0" quotePrefix="0" xfId="0">
      <alignment horizontal="right" vertical="center" indent="1"/>
    </xf>
    <xf numFmtId="168" fontId="5" fillId="7" borderId="119" applyAlignment="1" pivotButton="0" quotePrefix="0" xfId="0">
      <alignment horizontal="right" vertical="center" indent="1"/>
    </xf>
    <xf numFmtId="168" fontId="15" fillId="5" borderId="10" applyAlignment="1" pivotButton="0" quotePrefix="0" xfId="0">
      <alignment horizontal="center" vertical="center" wrapText="1"/>
    </xf>
    <xf numFmtId="168" fontId="8" fillId="0" borderId="121" applyAlignment="1" pivotButton="0" quotePrefix="0" xfId="0">
      <alignment horizontal="right" vertical="center"/>
    </xf>
    <xf numFmtId="168" fontId="8" fillId="0" borderId="1" applyAlignment="1" pivotButton="0" quotePrefix="0" xfId="0">
      <alignment horizontal="right" vertical="center"/>
    </xf>
    <xf numFmtId="168" fontId="8" fillId="0" borderId="19" applyAlignment="1" pivotButton="0" quotePrefix="0" xfId="0">
      <alignment horizontal="centerContinuous" vertical="center"/>
    </xf>
    <xf numFmtId="168" fontId="8" fillId="0" borderId="114" applyAlignment="1" pivotButton="0" quotePrefix="0" xfId="0">
      <alignment horizontal="centerContinuous" vertical="center"/>
    </xf>
    <xf numFmtId="168" fontId="5" fillId="7" borderId="120" applyAlignment="1" pivotButton="0" quotePrefix="0" xfId="0">
      <alignment horizontal="right" vertical="center"/>
    </xf>
    <xf numFmtId="168" fontId="5" fillId="7" borderId="119" applyAlignment="1" pivotButton="0" quotePrefix="0" xfId="0">
      <alignment horizontal="right" vertical="center"/>
    </xf>
    <xf numFmtId="170" fontId="8" fillId="0" borderId="1" applyAlignment="1" pivotButton="0" quotePrefix="0" xfId="0">
      <alignment horizontal="right" vertical="center" indent="1"/>
    </xf>
    <xf numFmtId="170" fontId="8" fillId="0" borderId="3" applyAlignment="1" pivotButton="0" quotePrefix="0" xfId="0">
      <alignment horizontal="right" vertical="center" indent="1"/>
    </xf>
    <xf numFmtId="170" fontId="8" fillId="0" borderId="19" applyAlignment="1" pivotButton="0" quotePrefix="0" xfId="0">
      <alignment horizontal="right" vertical="center" indent="1"/>
    </xf>
    <xf numFmtId="170" fontId="5" fillId="5" borderId="122" applyAlignment="1" pivotButton="0" quotePrefix="0" xfId="0">
      <alignment horizontal="right" vertical="center" indent="1"/>
    </xf>
    <xf numFmtId="170" fontId="5" fillId="5" borderId="0" applyAlignment="1" pivotButton="0" quotePrefix="0" xfId="0">
      <alignment horizontal="right" vertical="center" indent="1"/>
    </xf>
    <xf numFmtId="0" fontId="17" fillId="4" borderId="16" applyAlignment="1" pivotButton="0" quotePrefix="0" xfId="0">
      <alignment horizontal="left" vertical="center" indent="1"/>
    </xf>
    <xf numFmtId="164" fontId="17" fillId="0" borderId="16" applyAlignment="1" pivotButton="0" quotePrefix="0" xfId="0">
      <alignment horizontal="left" vertical="center" wrapText="1" indent="1"/>
    </xf>
    <xf numFmtId="0" fontId="17" fillId="4" borderId="18" applyAlignment="1" pivotButton="0" quotePrefix="0" xfId="0">
      <alignment horizontal="left" vertical="center" indent="1"/>
    </xf>
    <xf numFmtId="164" fontId="17" fillId="0" borderId="17" applyAlignment="1" pivotButton="0" quotePrefix="0" xfId="0">
      <alignment horizontal="left" vertical="center" wrapText="1" indent="1"/>
    </xf>
    <xf numFmtId="165" fontId="35" fillId="0" borderId="17" applyAlignment="1" pivotButton="0" quotePrefix="0" xfId="0">
      <alignment horizontal="right" vertical="center" indent="1"/>
    </xf>
    <xf numFmtId="168" fontId="8" fillId="0" borderId="20" applyAlignment="1" pivotButton="0" quotePrefix="0" xfId="0">
      <alignment horizontal="right" vertical="center"/>
    </xf>
    <xf numFmtId="168" fontId="45" fillId="0" borderId="57" applyAlignment="1" pivotButton="0" quotePrefix="0" xfId="0">
      <alignment vertical="center"/>
    </xf>
    <xf numFmtId="168" fontId="8" fillId="0" borderId="25" applyAlignment="1" pivotButton="0" quotePrefix="0" xfId="0">
      <alignment horizontal="right" vertical="center"/>
    </xf>
    <xf numFmtId="168" fontId="46" fillId="0" borderId="19" applyAlignment="1" pivotButton="0" quotePrefix="0" xfId="0">
      <alignment horizontal="right" vertical="center"/>
    </xf>
    <xf numFmtId="168" fontId="8" fillId="0" borderId="19" applyAlignment="1" pivotButton="0" quotePrefix="0" xfId="0">
      <alignment horizontal="right" vertical="center"/>
    </xf>
    <xf numFmtId="168" fontId="8" fillId="0" borderId="110" applyAlignment="1" pivotButton="0" quotePrefix="0" xfId="0">
      <alignment horizontal="right" vertical="center"/>
    </xf>
    <xf numFmtId="168" fontId="7" fillId="0" borderId="50" applyAlignment="1" pivotButton="0" quotePrefix="0" xfId="0">
      <alignment horizontal="right" vertical="center" indent="1"/>
    </xf>
    <xf numFmtId="168" fontId="18" fillId="0" borderId="33" applyAlignment="1" pivotButton="0" quotePrefix="0" xfId="0">
      <alignment vertical="center"/>
    </xf>
    <xf numFmtId="168" fontId="19" fillId="0" borderId="0" applyAlignment="1" pivotButton="0" quotePrefix="0" xfId="0">
      <alignment horizontal="center" vertical="center"/>
    </xf>
    <xf numFmtId="168" fontId="19" fillId="0" borderId="0" applyAlignment="1" pivotButton="0" quotePrefix="0" xfId="0">
      <alignment vertical="center"/>
    </xf>
    <xf numFmtId="168" fontId="17" fillId="0" borderId="0" applyAlignment="1" pivotButton="0" quotePrefix="0" xfId="0">
      <alignment horizontal="center" vertical="center"/>
    </xf>
    <xf numFmtId="168" fontId="17" fillId="0" borderId="0" applyAlignment="1" pivotButton="0" quotePrefix="0" xfId="0">
      <alignment vertical="center"/>
    </xf>
    <xf numFmtId="166" fontId="8" fillId="4" borderId="54" applyAlignment="1" pivotButton="0" quotePrefix="0" xfId="0">
      <alignment horizontal="right" vertical="center" indent="1"/>
    </xf>
    <xf numFmtId="164" fontId="12" fillId="0" borderId="2" applyAlignment="1" pivotButton="0" quotePrefix="0" xfId="0">
      <alignment horizontal="right" vertical="center" indent="1"/>
    </xf>
    <xf numFmtId="166" fontId="8" fillId="4" borderId="57" applyAlignment="1" pivotButton="0" quotePrefix="0" xfId="0">
      <alignment vertical="center"/>
    </xf>
    <xf numFmtId="164" fontId="12" fillId="0" borderId="19" applyAlignment="1" pivotButton="0" quotePrefix="0" xfId="0">
      <alignment horizontal="right" vertical="center" indent="1"/>
    </xf>
    <xf numFmtId="164" fontId="12" fillId="0" borderId="19" applyAlignment="1" pivotButton="0" quotePrefix="0" xfId="0">
      <alignment horizontal="left" vertical="center" indent="2"/>
    </xf>
    <xf numFmtId="166" fontId="8" fillId="0" borderId="19" applyAlignment="1" pivotButton="0" quotePrefix="0" xfId="0">
      <alignment vertical="center"/>
    </xf>
    <xf numFmtId="164" fontId="12" fillId="0" borderId="0" applyAlignment="1" pivotButton="0" quotePrefix="0" xfId="0">
      <alignment horizontal="right" vertical="center" indent="1"/>
    </xf>
    <xf numFmtId="164" fontId="12" fillId="0" borderId="0" applyAlignment="1" pivotButton="0" quotePrefix="0" xfId="0">
      <alignment horizontal="left" vertical="center" indent="2"/>
    </xf>
    <xf numFmtId="166" fontId="8" fillId="0" borderId="0" applyAlignment="1" pivotButton="0" quotePrefix="0" xfId="0">
      <alignment vertical="center"/>
    </xf>
    <xf numFmtId="166" fontId="8" fillId="4" borderId="18" applyAlignment="1" pivotButton="0" quotePrefix="0" xfId="0">
      <alignment horizontal="right" vertical="center" indent="1"/>
    </xf>
    <xf numFmtId="166" fontId="8" fillId="4" borderId="18" applyAlignment="1" pivotButton="0" quotePrefix="0" xfId="0">
      <alignment vertical="center"/>
    </xf>
    <xf numFmtId="166" fontId="7" fillId="13" borderId="56" applyAlignment="1" pivotButton="0" quotePrefix="0" xfId="0">
      <alignment vertical="center"/>
    </xf>
    <xf numFmtId="166" fontId="7" fillId="13" borderId="57" applyAlignment="1" pivotButton="0" quotePrefix="0" xfId="0">
      <alignment vertical="center"/>
    </xf>
    <xf numFmtId="166" fontId="7" fillId="13" borderId="57" applyAlignment="1" pivotButton="0" quotePrefix="0" xfId="0">
      <alignment horizontal="right" vertical="center" indent="1"/>
    </xf>
    <xf numFmtId="166" fontId="14" fillId="0" borderId="0" applyAlignment="1" pivotButton="0" quotePrefix="0" xfId="0">
      <alignment vertical="center"/>
    </xf>
    <xf numFmtId="0" fontId="0" fillId="0" borderId="59" pivotButton="0" quotePrefix="0" xfId="0"/>
    <xf numFmtId="164" fontId="12" fillId="0" borderId="17" applyAlignment="1" pivotButton="0" quotePrefix="0" xfId="0">
      <alignment horizontal="left" vertical="center" indent="1"/>
    </xf>
    <xf numFmtId="166" fontId="8" fillId="0" borderId="17" applyAlignment="1" pivotButton="0" quotePrefix="0" xfId="0">
      <alignment vertical="center"/>
    </xf>
    <xf numFmtId="164" fontId="12" fillId="0" borderId="17" applyAlignment="1" pivotButton="0" quotePrefix="0" xfId="0">
      <alignment horizontal="centerContinuous" vertical="center"/>
    </xf>
    <xf numFmtId="164" fontId="15" fillId="7" borderId="17" applyAlignment="1" pivotButton="0" quotePrefix="0" xfId="0">
      <alignment horizontal="centerContinuous" vertical="center"/>
    </xf>
    <xf numFmtId="166" fontId="7" fillId="7" borderId="17" applyAlignment="1" pivotButton="0" quotePrefix="0" xfId="0">
      <alignment vertical="center"/>
    </xf>
    <xf numFmtId="165" fontId="7" fillId="7" borderId="17" applyAlignment="1" pivotButton="0" quotePrefix="0" xfId="0">
      <alignment horizontal="right" vertical="center"/>
    </xf>
    <xf numFmtId="164" fontId="7" fillId="7" borderId="17" applyAlignment="1" pivotButton="0" quotePrefix="0" xfId="0">
      <alignment horizontal="right" vertical="center"/>
    </xf>
    <xf numFmtId="164" fontId="8" fillId="0" borderId="17" applyAlignment="1" pivotButton="0" quotePrefix="0" xfId="0">
      <alignment horizontal="right" vertical="center" indent="1"/>
    </xf>
    <xf numFmtId="0" fontId="12" fillId="2" borderId="17" applyAlignment="1" pivotButton="0" quotePrefix="0" xfId="0">
      <alignment horizontal="left" vertical="center" wrapText="1" indent="1"/>
    </xf>
    <xf numFmtId="164" fontId="15" fillId="7" borderId="21" applyAlignment="1" pivotButton="0" quotePrefix="0" xfId="0">
      <alignment horizontal="centerContinuous" vertical="center"/>
    </xf>
    <xf numFmtId="166" fontId="7" fillId="7" borderId="21" applyAlignment="1" pivotButton="0" quotePrefix="0" xfId="0">
      <alignment horizontal="right" vertical="center" indent="1"/>
    </xf>
    <xf numFmtId="164" fontId="7" fillId="7" borderId="21" applyAlignment="1" pivotButton="0" quotePrefix="0" xfId="0">
      <alignment horizontal="right" vertical="center" indent="1"/>
    </xf>
    <xf numFmtId="166" fontId="12" fillId="0" borderId="17" applyAlignment="1" pivotButton="0" quotePrefix="0" xfId="0">
      <alignment horizontal="left" vertical="center" indent="1"/>
    </xf>
    <xf numFmtId="166" fontId="12" fillId="0" borderId="21" applyAlignment="1" pivotButton="0" quotePrefix="0" xfId="0">
      <alignment horizontal="left" vertical="center" indent="1"/>
    </xf>
    <xf numFmtId="166" fontId="24" fillId="0" borderId="17" applyAlignment="1" pivotButton="0" quotePrefix="0" xfId="0">
      <alignment horizontal="right" vertical="center" indent="1"/>
    </xf>
    <xf numFmtId="166" fontId="15" fillId="7" borderId="21" applyAlignment="1" pivotButton="0" quotePrefix="0" xfId="0">
      <alignment horizontal="left" vertical="center" indent="1"/>
    </xf>
    <xf numFmtId="0" fontId="25" fillId="2" borderId="16" applyAlignment="1" pivotButton="0" quotePrefix="0" xfId="0">
      <alignment horizontal="left" vertical="center"/>
    </xf>
    <xf numFmtId="172" fontId="8" fillId="2" borderId="16" applyAlignment="1" pivotButton="0" quotePrefix="0" xfId="0">
      <alignment horizontal="right" vertical="center" indent="1"/>
    </xf>
    <xf numFmtId="164" fontId="24" fillId="0" borderId="16" applyAlignment="1" pivotButton="0" quotePrefix="0" xfId="0">
      <alignment horizontal="left" vertical="center"/>
    </xf>
    <xf numFmtId="164" fontId="24" fillId="0" borderId="16" applyAlignment="1" pivotButton="0" quotePrefix="0" xfId="0">
      <alignment horizontal="left" vertical="center" indent="1"/>
    </xf>
    <xf numFmtId="164" fontId="8" fillId="0" borderId="16" applyAlignment="1" pivotButton="0" quotePrefix="0" xfId="0">
      <alignment horizontal="right" vertical="center"/>
    </xf>
    <xf numFmtId="164" fontId="8" fillId="0" borderId="16" applyAlignment="1" pivotButton="0" quotePrefix="0" xfId="0">
      <alignment vertical="center"/>
    </xf>
    <xf numFmtId="164" fontId="8" fillId="0" borderId="16" applyAlignment="1" pivotButton="0" quotePrefix="0" xfId="0">
      <alignment horizontal="right" vertical="center" indent="1"/>
    </xf>
    <xf numFmtId="0" fontId="3" fillId="2" borderId="16" applyAlignment="1" pivotButton="0" quotePrefix="0" xfId="0">
      <alignment horizontal="left" vertical="center"/>
    </xf>
    <xf numFmtId="0" fontId="26" fillId="2" borderId="22" applyAlignment="1" pivotButton="0" quotePrefix="0" xfId="0">
      <alignment horizontal="left" vertical="center"/>
    </xf>
    <xf numFmtId="164" fontId="8" fillId="0" borderId="17" applyAlignment="1" pivotButton="0" quotePrefix="0" xfId="0">
      <alignment horizontal="left" vertical="center"/>
    </xf>
    <xf numFmtId="164" fontId="8" fillId="0" borderId="17" applyAlignment="1" pivotButton="0" quotePrefix="0" xfId="0">
      <alignment horizontal="left" vertical="center" indent="1"/>
    </xf>
    <xf numFmtId="164" fontId="8" fillId="0" borderId="17" applyAlignment="1" pivotButton="0" quotePrefix="0" xfId="0">
      <alignment horizontal="right" vertical="center"/>
    </xf>
    <xf numFmtId="164" fontId="8" fillId="0" borderId="17" applyAlignment="1" pivotButton="0" quotePrefix="0" xfId="0">
      <alignment vertical="center"/>
    </xf>
    <xf numFmtId="0" fontId="3" fillId="2" borderId="21" applyAlignment="1" pivotButton="0" quotePrefix="0" xfId="0">
      <alignment horizontal="left" vertical="center"/>
    </xf>
    <xf numFmtId="164" fontId="8" fillId="0" borderId="17" applyAlignment="1" pivotButton="0" quotePrefix="0" xfId="0">
      <alignment vertical="center"/>
    </xf>
    <xf numFmtId="168" fontId="8" fillId="0" borderId="16" applyAlignment="1" pivotButton="0" quotePrefix="0" xfId="0">
      <alignment horizontal="right" vertical="center"/>
    </xf>
    <xf numFmtId="168" fontId="8" fillId="0" borderId="17" applyAlignment="1" pivotButton="0" quotePrefix="0" xfId="0">
      <alignment vertical="center"/>
    </xf>
    <xf numFmtId="0" fontId="12" fillId="0" borderId="16" applyAlignment="1" pivotButton="0" quotePrefix="0" xfId="0">
      <alignment horizontal="left" vertical="center" wrapText="1" indent="1"/>
    </xf>
    <xf numFmtId="164" fontId="12" fillId="0" borderId="16" applyAlignment="1" pivotButton="0" quotePrefix="0" xfId="0">
      <alignment horizontal="center" vertical="center" wrapText="1"/>
    </xf>
    <xf numFmtId="164" fontId="12" fillId="0" borderId="16" applyAlignment="1" pivotButton="0" quotePrefix="0" xfId="0">
      <alignment horizontal="right" vertical="center" wrapText="1" indent="1"/>
    </xf>
    <xf numFmtId="166" fontId="8" fillId="0" borderId="16" applyAlignment="1" pivotButton="0" quotePrefix="0" xfId="0">
      <alignment horizontal="right" vertical="center" wrapText="1" indent="1"/>
    </xf>
    <xf numFmtId="0" fontId="12" fillId="2" borderId="16" applyAlignment="1" pivotButton="0" quotePrefix="0" xfId="0">
      <alignment horizontal="left" vertical="center" wrapText="1" indent="1"/>
    </xf>
    <xf numFmtId="167" fontId="18" fillId="0" borderId="0" applyAlignment="1" pivotButton="0" quotePrefix="0" xfId="0">
      <alignment vertical="center"/>
    </xf>
    <xf numFmtId="164" fontId="12" fillId="4" borderId="16" applyAlignment="1" pivotButton="0" quotePrefix="0" xfId="0">
      <alignment horizontal="center" vertical="center" wrapText="1"/>
    </xf>
    <xf numFmtId="164" fontId="12" fillId="4" borderId="16" applyAlignment="1" pivotButton="0" quotePrefix="0" xfId="0">
      <alignment horizontal="left" vertical="center" wrapText="1" indent="1"/>
    </xf>
    <xf numFmtId="167" fontId="8" fillId="4" borderId="16" applyAlignment="1" pivotButton="0" quotePrefix="0" xfId="0">
      <alignment horizontal="right" vertical="center" wrapText="1" indent="1"/>
    </xf>
    <xf numFmtId="164" fontId="12" fillId="4" borderId="16" applyAlignment="1" pivotButton="0" quotePrefix="0" xfId="0">
      <alignment horizontal="right" vertical="center" wrapText="1" indent="1"/>
    </xf>
    <xf numFmtId="166" fontId="8" fillId="4" borderId="16" applyAlignment="1" pivotButton="0" quotePrefix="0" xfId="0">
      <alignment horizontal="right" vertical="center" wrapText="1" indent="1"/>
    </xf>
    <xf numFmtId="0" fontId="27" fillId="4" borderId="16" applyAlignment="1" pivotButton="0" quotePrefix="0" xfId="0">
      <alignment horizontal="left" vertical="center" wrapText="1" indent="1"/>
    </xf>
    <xf numFmtId="0" fontId="0" fillId="0" borderId="19" applyAlignment="1" pivotButton="0" quotePrefix="0" xfId="0">
      <alignment vertical="center" wrapText="1"/>
    </xf>
    <xf numFmtId="164" fontId="12" fillId="4" borderId="17" applyAlignment="1" pivotButton="0" quotePrefix="0" xfId="0">
      <alignment horizontal="left" vertical="center" wrapText="1" indent="1"/>
    </xf>
    <xf numFmtId="167" fontId="8" fillId="4" borderId="17" applyAlignment="1" pivotButton="0" quotePrefix="0" xfId="0">
      <alignment horizontal="right" vertical="center" wrapText="1" indent="1"/>
    </xf>
    <xf numFmtId="166" fontId="8" fillId="4" borderId="17" applyAlignment="1" pivotButton="0" quotePrefix="0" xfId="0">
      <alignment horizontal="right" vertical="center" wrapText="1" indent="1"/>
    </xf>
    <xf numFmtId="0" fontId="0" fillId="0" borderId="17" applyAlignment="1" pivotButton="0" quotePrefix="0" xfId="0">
      <alignment vertical="center" wrapText="1"/>
    </xf>
    <xf numFmtId="164" fontId="12" fillId="0" borderId="17" applyAlignment="1" pivotButton="0" quotePrefix="0" xfId="0">
      <alignment horizontal="left" vertical="center" wrapText="1" indent="1"/>
    </xf>
    <xf numFmtId="167" fontId="8" fillId="0" borderId="17" applyAlignment="1" pivotButton="0" quotePrefix="0" xfId="0">
      <alignment horizontal="right" vertical="center" wrapText="1" indent="1"/>
    </xf>
    <xf numFmtId="164" fontId="12" fillId="0" borderId="17" applyAlignment="1" pivotButton="0" quotePrefix="0" xfId="0">
      <alignment horizontal="right" vertical="center" wrapText="1" indent="1"/>
    </xf>
    <xf numFmtId="166" fontId="8" fillId="0" borderId="17" applyAlignment="1" pivotButton="0" quotePrefix="0" xfId="0">
      <alignment horizontal="right" vertical="center" wrapText="1" indent="1"/>
    </xf>
    <xf numFmtId="166" fontId="24" fillId="0" borderId="17" applyAlignment="1" pivotButton="0" quotePrefix="0" xfId="0">
      <alignment horizontal="right" vertical="center" wrapText="1" indent="1"/>
    </xf>
    <xf numFmtId="0" fontId="27" fillId="2" borderId="21" applyAlignment="1" pivotButton="0" quotePrefix="0" xfId="0">
      <alignment horizontal="left" vertical="center" wrapText="1" indent="1"/>
    </xf>
    <xf numFmtId="167" fontId="8" fillId="0" borderId="17" applyAlignment="1" pivotButton="0" quotePrefix="0" xfId="0">
      <alignment horizontal="right" vertical="center" wrapText="1" indent="1"/>
    </xf>
    <xf numFmtId="164" fontId="12" fillId="0" borderId="17" applyAlignment="1" pivotButton="0" quotePrefix="0" xfId="0">
      <alignment horizontal="left" vertical="center" wrapText="1" indent="1"/>
    </xf>
    <xf numFmtId="164" fontId="12" fillId="0" borderId="17" applyAlignment="1" pivotButton="0" quotePrefix="0" xfId="0">
      <alignment horizontal="right" vertical="center" indent="1"/>
    </xf>
    <xf numFmtId="167" fontId="8" fillId="0" borderId="17" applyAlignment="1" pivotButton="0" quotePrefix="0" xfId="0">
      <alignment horizontal="right" vertical="center" indent="1"/>
    </xf>
    <xf numFmtId="164" fontId="12" fillId="0" borderId="16" applyAlignment="1" pivotButton="0" quotePrefix="0" xfId="0">
      <alignment horizontal="center" vertical="center"/>
    </xf>
    <xf numFmtId="164" fontId="12" fillId="0" borderId="16" applyAlignment="1" pivotButton="0" quotePrefix="0" xfId="0">
      <alignment horizontal="left" vertical="center" indent="1"/>
    </xf>
    <xf numFmtId="167" fontId="8" fillId="0" borderId="16" applyAlignment="1" pivotButton="0" quotePrefix="0" xfId="0">
      <alignment horizontal="right" vertical="center" indent="1"/>
    </xf>
    <xf numFmtId="164" fontId="12" fillId="0" borderId="16" applyAlignment="1" pivotButton="0" quotePrefix="0" xfId="0">
      <alignment horizontal="right" vertical="center" indent="1"/>
    </xf>
    <xf numFmtId="166" fontId="8" fillId="0" borderId="16" applyAlignment="1" pivotButton="0" quotePrefix="0" xfId="0">
      <alignment horizontal="right" vertical="center" indent="1"/>
    </xf>
    <xf numFmtId="0" fontId="25" fillId="4" borderId="18" applyAlignment="1" pivotButton="0" quotePrefix="0" xfId="0">
      <alignment horizontal="center" vertical="center" wrapText="1"/>
    </xf>
    <xf numFmtId="164" fontId="12" fillId="0" borderId="16" applyAlignment="1" pivotButton="0" quotePrefix="0" xfId="0">
      <alignment horizontal="left" vertical="center" wrapText="1" indent="1"/>
    </xf>
    <xf numFmtId="167" fontId="8" fillId="0" borderId="16" applyAlignment="1" pivotButton="0" quotePrefix="0" xfId="0">
      <alignment horizontal="right" vertical="center" wrapText="1" indent="1"/>
    </xf>
    <xf numFmtId="0" fontId="27" fillId="2" borderId="16" applyAlignment="1" pivotButton="0" quotePrefix="0" xfId="0">
      <alignment horizontal="left" vertical="center" wrapText="1" indent="1"/>
    </xf>
    <xf numFmtId="164" fontId="12" fillId="0" borderId="16" applyAlignment="1" pivotButton="0" quotePrefix="0" xfId="0">
      <alignment horizontal="center" vertical="center" wrapText="1"/>
    </xf>
    <xf numFmtId="167" fontId="24" fillId="0" borderId="17" applyAlignment="1" pivotButton="0" quotePrefix="0" xfId="0">
      <alignment horizontal="right" vertical="center" wrapText="1" indent="1"/>
    </xf>
    <xf numFmtId="1" fontId="8" fillId="0" borderId="16" applyAlignment="1" pivotButton="0" quotePrefix="0" xfId="0">
      <alignment horizontal="right" vertical="center" indent="1"/>
    </xf>
    <xf numFmtId="1" fontId="8" fillId="0" borderId="17" applyAlignment="1" pivotButton="0" quotePrefix="0" xfId="0">
      <alignment horizontal="right" vertical="center" indent="1"/>
    </xf>
    <xf numFmtId="164" fontId="8" fillId="0" borderId="20" applyAlignment="1" pivotButton="0" quotePrefix="0" xfId="0">
      <alignment horizontal="right" vertical="center" indent="1"/>
    </xf>
    <xf numFmtId="164" fontId="7" fillId="7" borderId="17" applyAlignment="1" pivotButton="0" quotePrefix="0" xfId="0">
      <alignment horizontal="right" vertical="center" indent="1"/>
    </xf>
    <xf numFmtId="164" fontId="8" fillId="2" borderId="0" applyAlignment="1" pivotButton="0" quotePrefix="0" xfId="0">
      <alignment horizontal="right" vertical="center" indent="1"/>
    </xf>
    <xf numFmtId="164" fontId="7" fillId="2" borderId="0" applyAlignment="1" pivotButton="0" quotePrefix="0" xfId="0">
      <alignment horizontal="right" vertical="center" indent="1"/>
    </xf>
  </cellXfs>
  <cellStyles count="3">
    <cellStyle name="標準" xfId="0" builtinId="0"/>
    <cellStyle name="桁区切り" xfId="1" builtinId="6"/>
    <cellStyle name="標準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'株式価値 '!$B$4:$B$6</c:f>
              <c:strCache>
                <c:ptCount val="3"/>
                <c:pt idx="0">
                  <c:v>インカム</c:v>
                </c:pt>
                <c:pt idx="1">
                  <c:v>マーケット</c:v>
                </c:pt>
                <c:pt idx="2">
                  <c:v>コスト</c:v>
                </c:pt>
              </c:strCache>
            </c:strRef>
          </c:cat>
          <c:val>
            <c:numRef>
              <c:f>'株式価値 '!$C$4:$C$6</c:f>
              <c:numCache>
                <c:formatCode>#,##0,</c:formatCode>
                <c:ptCount val="3"/>
                <c:pt idx="0">
                  <c:v>0</c:v>
                </c:pt>
                <c:pt idx="1">
                  <c:v>1069000000</c:v>
                </c:pt>
                <c:pt idx="2">
                  <c:v>571000000</c:v>
                </c:pt>
              </c:numCache>
            </c:numRef>
          </c:val>
          <c:extLst>
            <c:ext xmlns:c16="http://schemas.microsoft.com/office/drawing/2014/chart" uri="{C3380CC4-5D6E-409C-BE32-E72D297353CC}">
              <c16:uniqueId val="{00000000-6627-4162-991B-CB4F3B97A72F}"/>
            </c:ext>
          </c:extLst>
        </c:ser>
        <c:ser>
          <c:idx val="1"/>
          <c:order val="1"/>
          <c:spPr>
            <a:solidFill>
              <a:schemeClr val="accent4"/>
            </a:solidFill>
            <a:ln>
              <a:noFill/>
            </a:ln>
            <a:effectLst/>
          </c:spPr>
          <c:invertIfNegative val="0"/>
          <c:cat>
            <c:strRef>
              <c:f>'株式価値 '!$B$4:$B$6</c:f>
              <c:strCache>
                <c:ptCount val="3"/>
                <c:pt idx="0">
                  <c:v>インカム</c:v>
                </c:pt>
                <c:pt idx="1">
                  <c:v>マーケット</c:v>
                </c:pt>
                <c:pt idx="2">
                  <c:v>コスト</c:v>
                </c:pt>
              </c:strCache>
            </c:strRef>
          </c:cat>
          <c:val>
            <c:numRef>
              <c:f>'株式価値 '!$D$4:$D$6</c:f>
              <c:numCache>
                <c:formatCode>#,##0,</c:formatCode>
                <c:ptCount val="3"/>
                <c:pt idx="0">
                  <c:v>0</c:v>
                </c:pt>
                <c:pt idx="1">
                  <c:v>546000000</c:v>
                </c:pt>
                <c:pt idx="2">
                  <c:v>542000000</c:v>
                </c:pt>
              </c:numCache>
            </c:numRef>
          </c:val>
          <c:extLst>
            <c:ext xmlns:c16="http://schemas.microsoft.com/office/drawing/2014/chart" uri="{C3380CC4-5D6E-409C-BE32-E72D297353CC}">
              <c16:uniqueId val="{00000001-6627-4162-991B-CB4F3B97A72F}"/>
            </c:ext>
          </c:extLst>
        </c:ser>
        <c:dLbls>
          <c:showLegendKey val="0"/>
          <c:showVal val="0"/>
          <c:showCatName val="0"/>
          <c:showSerName val="0"/>
          <c:showPercent val="0"/>
          <c:showBubbleSize val="0"/>
        </c:dLbls>
        <c:gapWidth val="70"/>
        <c:overlap val="100"/>
        <c:axId val="1437092543"/>
        <c:axId val="1437094943"/>
      </c:barChart>
      <c:catAx>
        <c:axId val="1437092543"/>
        <c:scaling>
          <c:orientation val="minMax"/>
        </c:scaling>
        <c:delete val="1"/>
        <c:axPos val="l"/>
        <c:numFmt formatCode="General" sourceLinked="1"/>
        <c:majorTickMark val="out"/>
        <c:minorTickMark val="none"/>
        <c:tickLblPos val="nextTo"/>
        <c:crossAx val="1437094943"/>
        <c:crosses val="autoZero"/>
        <c:auto val="1"/>
        <c:lblAlgn val="ctr"/>
        <c:lblOffset val="100"/>
        <c:noMultiLvlLbl val="0"/>
      </c:catAx>
      <c:valAx>
        <c:axId val="1437094943"/>
        <c:scaling>
          <c:orientation val="minMax"/>
        </c:scaling>
        <c:delete val="0"/>
        <c:axPos val="b"/>
        <c:majorGridlines>
          <c:spPr>
            <a:ln w="9525" cap="flat" cmpd="sng" algn="ctr">
              <a:solidFill>
                <a:schemeClr val="tx2"/>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ja-JP"/>
          </a:p>
        </c:txPr>
        <c:crossAx val="143709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240030</xdr:colOff>
      <xdr:row>7</xdr:row>
      <xdr:rowOff>160020</xdr:rowOff>
    </xdr:from>
    <xdr:to>
      <xdr:col>5</xdr:col>
      <xdr:colOff>883920</xdr:colOff>
      <xdr:row>21</xdr:row>
      <xdr:rowOff>38100</xdr:rowOff>
    </xdr:to>
    <xdr:graphicFrame macro="">
      <xdr:nvGraphicFramePr>
        <xdr:cNvPr id="5" name="グラフ 4">
          <a:extLst>
            <a:ext uri="{FF2B5EF4-FFF2-40B4-BE49-F238E27FC236}">
              <a16:creationId xmlns:a16="http://schemas.microsoft.com/office/drawing/2014/main" id="{B231C6BD-24C9-189D-83D7-4348EC4AE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テーマ">
  <a:themeElements>
    <a:clrScheme name="M&amp;A">
      <a:dk1>
        <a:srgbClr val="000000"/>
      </a:dk1>
      <a:lt1>
        <a:srgbClr val="FFFFFF"/>
      </a:lt1>
      <a:dk2>
        <a:srgbClr val="0B3041"/>
      </a:dk2>
      <a:lt2>
        <a:srgbClr val="E3E7E9"/>
      </a:lt2>
      <a:accent1>
        <a:srgbClr val="727F88"/>
      </a:accent1>
      <a:accent2>
        <a:srgbClr val="E1F3FB"/>
      </a:accent2>
      <a:accent3>
        <a:srgbClr val="54CCB3"/>
      </a:accent3>
      <a:accent4>
        <a:srgbClr val="0889C9"/>
      </a:accent4>
      <a:accent5>
        <a:srgbClr val="FFFFFF"/>
      </a:accent5>
      <a:accent6>
        <a:srgbClr val="FFFFFF"/>
      </a:accent6>
      <a:hlink>
        <a:srgbClr val="FFFFFF"/>
      </a:hlink>
      <a:folHlink>
        <a:srgbClr val="FFFFFF"/>
      </a:folHlink>
    </a:clrScheme>
    <a:fontScheme name="游ゴシック&amp;Arial">
      <a:majorFont>
        <a:latin typeface="Arial"/>
        <a:ea typeface="游ゴシック"/>
        <a:cs typeface=""/>
      </a:majorFont>
      <a:minorFont>
        <a:latin typeface="Arial"/>
        <a:ea typeface="游ゴシック Medium"/>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Relationships xmlns="http://schemas.openxmlformats.org/package/2006/relationships"><Relationship Type="http://schemas.openxmlformats.org/officeDocument/2006/relationships/drawing" Target="/xl/drawings/drawing1.xml" Id="rId1"/><Relationship Id="rIdDrw1" Type="http://schemas.openxmlformats.org/officeDocument/2006/relationships/drawing" Target="../drawings/drawing1.xml"/></Relationships>
</file>

<file path=xl/worksheets/sheet1.xml><?xml version="1.0" encoding="utf-8"?>
<worksheet xmlns="http://schemas.openxmlformats.org/spreadsheetml/2006/main">
  <sheetPr>
    <tabColor rgb="FFFFFF00"/>
    <outlinePr summaryBelow="1" summaryRight="1"/>
    <pageSetUpPr/>
  </sheetPr>
  <dimension ref="B3:G14"/>
  <sheetViews>
    <sheetView showGridLines="0" tabSelected="1" workbookViewId="0">
      <selection activeCell="A1" sqref="A1"/>
    </sheetView>
  </sheetViews>
  <sheetFormatPr baseColWidth="8" defaultRowHeight="18"/>
  <cols>
    <col width="6.296875" customWidth="1" style="118" min="2" max="2"/>
  </cols>
  <sheetData>
    <row r="3">
      <c r="B3" s="118" t="n">
        <v>1</v>
      </c>
      <c r="C3" s="0" t="inlineStr">
        <is>
          <t>文字は「游ゴシック」、数字は「Arial」を基本。備考欄などの細かい文章は「游ゴシック Medium」。</t>
        </is>
      </c>
    </row>
    <row r="4">
      <c r="B4" s="118" t="n">
        <v>2</v>
      </c>
      <c r="C4" s="0" t="inlineStr">
        <is>
          <t>タイトル、合計欄は太字</t>
        </is>
      </c>
    </row>
    <row r="5">
      <c r="B5" s="118" t="n">
        <v>3</v>
      </c>
      <c r="C5" s="0" t="inlineStr">
        <is>
          <t>数字は円単位で入力、表示は千円単位に設定済み</t>
        </is>
      </c>
    </row>
    <row r="6">
      <c r="B6" s="118" t="n">
        <v>4</v>
      </c>
      <c r="C6" s="0" t="inlineStr">
        <is>
          <t>基本の背景は以下の通り。紺、水色、グレー、白、青。パレットの上部の色。</t>
        </is>
      </c>
    </row>
    <row r="7">
      <c r="C7" s="456" t="n"/>
      <c r="D7" s="458" t="n"/>
      <c r="E7" s="457" t="n"/>
      <c r="F7" s="51" t="n"/>
      <c r="G7" s="459" t="n"/>
    </row>
    <row r="8">
      <c r="B8" s="0" t="n"/>
      <c r="C8" s="0" t="inlineStr">
        <is>
          <t>線は紺か白か青。</t>
        </is>
      </c>
    </row>
    <row r="10" ht="20.4" customHeight="1" s="594" thickBot="1">
      <c r="C10" s="185" t="inlineStr">
        <is>
          <t>資産の部</t>
        </is>
      </c>
      <c r="D10" s="175" t="n"/>
      <c r="E10" s="175" t="n"/>
      <c r="F10" s="176" t="n"/>
    </row>
    <row r="11" ht="19.8" customHeight="1" s="594">
      <c r="C11" s="186" t="inlineStr">
        <is>
          <t>科目</t>
        </is>
      </c>
      <c r="D11" s="239">
        <f>'BS(借方)'!F10</f>
        <v>0</v>
      </c>
      <c r="E11" s="256" t="inlineStr">
        <is>
          <t>調整額</t>
        </is>
      </c>
      <c r="F11" s="267" t="inlineStr">
        <is>
          <t>調整後</t>
        </is>
      </c>
    </row>
    <row r="12" ht="19.8" customHeight="1" s="594">
      <c r="C12" s="171" t="inlineStr">
        <is>
          <t>【流動資産】</t>
        </is>
      </c>
      <c r="D12" s="595">
        <f>SUM(D13:D26)</f>
        <v>5000000</v>
      </c>
      <c r="E12" s="595">
        <f>SUM(E13:E26)</f>
        <v>-500000</v>
      </c>
      <c r="F12" s="596">
        <f>SUM(F13:F26)</f>
        <v>4500000</v>
      </c>
    </row>
    <row r="13" ht="19.8" customHeight="1" s="594">
      <c r="C13" s="329" t="inlineStr">
        <is>
          <t>現金及び預金</t>
        </is>
      </c>
      <c r="D13" s="597" t="n">
        <v>5000000</v>
      </c>
      <c r="E13" s="597" t="n">
        <v>-500000</v>
      </c>
      <c r="F13" s="598">
        <f>D13+E13</f>
        <v>4500000</v>
      </c>
    </row>
    <row r="14" ht="19.8" customHeight="1" s="594">
      <c r="C14" s="329" t="n"/>
      <c r="D14" s="597" t="n"/>
      <c r="E14" s="597" t="n"/>
      <c r="F14" s="598">
        <f>D14+E14</f>
        <v>0</v>
      </c>
    </row>
  </sheetData>
  <pageMargins left="0.7" right="0.7" top="0.75" bottom="0.75" header="0.3" footer="0.3"/>
</worksheet>
</file>

<file path=xl/worksheets/sheet2.xml><?xml version="1.0" encoding="utf-8"?>
<worksheet xmlns="http://schemas.openxmlformats.org/spreadsheetml/2006/main">
  <sheetPr>
    <tabColor theme="7" tint="-0.499984740745262"/>
    <outlinePr summaryBelow="1" summaryRight="1"/>
    <pageSetUpPr/>
  </sheetPr>
  <dimension ref="A1:A1"/>
  <sheetViews>
    <sheetView showGridLines="0" workbookViewId="0">
      <selection activeCell="A1" sqref="A1"/>
    </sheetView>
  </sheetViews>
  <sheetFormatPr baseColWidth="8" defaultRowHeight="18"/>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1:G78"/>
  <sheetViews>
    <sheetView showGridLines="0" zoomScale="54" zoomScaleNormal="100" workbookViewId="0">
      <pane ySplit="4" topLeftCell="A26" activePane="bottomLeft" state="frozen"/>
      <selection pane="bottomLeft" activeCell="N61" sqref="N61"/>
    </sheetView>
  </sheetViews>
  <sheetFormatPr baseColWidth="8" defaultRowHeight="18"/>
  <cols>
    <col width="28" bestFit="1" customWidth="1" style="184" min="2" max="2"/>
    <col width="18" customWidth="1" style="594" min="3" max="3"/>
    <col width="18" customWidth="1" style="594" min="4" max="4"/>
    <col width="18" customWidth="1" style="594" min="5" max="5"/>
    <col width="16.09765625" customWidth="1" style="594" min="6" max="7"/>
    <col width="8.796875" customWidth="1" style="594" min="8" max="8"/>
  </cols>
  <sheetData>
    <row r="1">
      <c r="C1" s="548" t="n"/>
      <c r="D1" s="549" t="n"/>
      <c r="E1" s="549" t="n"/>
    </row>
    <row r="2">
      <c r="C2" s="547" t="inlineStr">
        <is>
          <t>1期目</t>
        </is>
      </c>
      <c r="D2" s="547" t="inlineStr">
        <is>
          <t>2期目</t>
        </is>
      </c>
      <c r="E2" s="547" t="inlineStr">
        <is>
          <t>3期目</t>
        </is>
      </c>
      <c r="F2" s="547" t="inlineStr">
        <is>
          <t>（4期目）</t>
        </is>
      </c>
      <c r="G2" s="547" t="inlineStr">
        <is>
          <t>進行期</t>
        </is>
      </c>
    </row>
    <row r="3" ht="28.2" customHeight="1" s="594">
      <c r="B3" s="403" t="inlineStr">
        <is>
          <t>資産の部</t>
        </is>
      </c>
      <c r="C3" s="403" t="n"/>
      <c r="D3" s="403" t="n"/>
      <c r="E3" s="403" t="n"/>
      <c r="F3" s="403" t="n"/>
      <c r="G3" s="403" t="n"/>
    </row>
    <row r="4" ht="39.6" customHeight="1" s="594">
      <c r="B4" s="220" t="inlineStr">
        <is>
          <t>科目</t>
        </is>
      </c>
      <c r="C4" s="220" t="inlineStr">
        <is>
          <t>令和6年3月期</t>
        </is>
      </c>
      <c r="D4" s="220" t="inlineStr">
        <is>
          <t>令和7年3月期</t>
        </is>
      </c>
      <c r="E4" s="220" t="inlineStr">
        <is>
          <t>令和8年3月期</t>
        </is>
      </c>
      <c r="F4" s="220" t="inlineStr">
        <is>
          <t>－</t>
        </is>
      </c>
      <c r="G4" s="404" t="inlineStr">
        <is>
          <t>進行期
（試算表未受領）</t>
        </is>
      </c>
    </row>
    <row r="5" ht="22.5" customHeight="1" s="594">
      <c r="B5" s="171" t="inlineStr">
        <is>
          <t>【流動資産】</t>
        </is>
      </c>
      <c r="C5" s="599">
        <f>SUM(C6:C19)</f>
        <v>243651732</v>
      </c>
      <c r="D5" s="599">
        <f>SUM(D6:D19)</f>
        <v>899318583</v>
      </c>
      <c r="E5" s="599">
        <f>SUM(E6:E19)</f>
        <v>293198020</v>
      </c>
      <c r="F5" s="599">
        <f>SUM(F6:F19)</f>
        <v>0</v>
      </c>
      <c r="G5" s="599">
        <f>SUM(G6:G19)</f>
        <v>0</v>
      </c>
    </row>
    <row r="6" ht="22.5" customHeight="1" s="594">
      <c r="B6" s="329" t="inlineStr">
        <is>
          <t>現金及び預金</t>
        </is>
      </c>
      <c r="C6" s="600" t="n">
        <v>154741516</v>
      </c>
      <c r="D6" s="600" t="n">
        <v>31966530</v>
      </c>
      <c r="E6" s="600" t="n">
        <v>226057309</v>
      </c>
      <c r="F6" s="600" t="n"/>
      <c r="G6" s="600" t="n"/>
    </row>
    <row r="7" ht="22.5" customHeight="1" s="594">
      <c r="B7" s="329" t="inlineStr">
        <is>
          <t>受取手形</t>
        </is>
      </c>
      <c r="C7" s="600" t="n"/>
      <c r="D7" s="600" t="n"/>
      <c r="E7" s="600" t="n"/>
      <c r="F7" s="600" t="n"/>
      <c r="G7" s="600" t="n"/>
    </row>
    <row r="8" ht="22.5" customHeight="1" s="594">
      <c r="B8" s="329" t="inlineStr">
        <is>
          <t>売掛金</t>
        </is>
      </c>
      <c r="C8" s="600" t="n">
        <v>2064629</v>
      </c>
      <c r="D8" s="600" t="n">
        <v>841410642</v>
      </c>
      <c r="E8" s="600" t="n">
        <v>28512083</v>
      </c>
      <c r="F8" s="600" t="n"/>
      <c r="G8" s="600" t="n"/>
    </row>
    <row r="9" ht="22.5" customHeight="1" s="594">
      <c r="B9" s="329" t="inlineStr">
        <is>
          <t>原材料</t>
        </is>
      </c>
      <c r="C9" s="600" t="n"/>
      <c r="D9" s="600" t="n"/>
      <c r="E9" s="600" t="n"/>
      <c r="F9" s="600" t="n"/>
      <c r="G9" s="600" t="n"/>
    </row>
    <row r="10" ht="22.5" customHeight="1" s="594">
      <c r="B10" s="329" t="inlineStr">
        <is>
          <t>仕掛品</t>
        </is>
      </c>
      <c r="C10" s="600" t="n"/>
      <c r="D10" s="600" t="n"/>
      <c r="E10" s="600" t="n"/>
      <c r="F10" s="600" t="n"/>
      <c r="G10" s="600" t="n"/>
    </row>
    <row r="11" ht="22.5" customHeight="1" s="594">
      <c r="B11" s="329" t="inlineStr">
        <is>
          <t>貯蔵品</t>
        </is>
      </c>
      <c r="C11" s="600" t="n"/>
      <c r="D11" s="600" t="n"/>
      <c r="E11" s="600" t="n"/>
      <c r="F11" s="600" t="n"/>
      <c r="G11" s="600" t="n"/>
    </row>
    <row r="12" ht="22.5" customHeight="1" s="594">
      <c r="B12" s="329" t="inlineStr">
        <is>
          <t>前渡金</t>
        </is>
      </c>
      <c r="C12" s="600" t="n">
        <v>0</v>
      </c>
      <c r="D12" s="600" t="n">
        <v>0</v>
      </c>
      <c r="E12" s="600" t="n">
        <v>18507883</v>
      </c>
      <c r="F12" s="600" t="n"/>
      <c r="G12" s="600" t="n"/>
    </row>
    <row r="13" ht="22.5" customHeight="1" s="594">
      <c r="B13" s="329" t="inlineStr">
        <is>
          <t>未収入金</t>
        </is>
      </c>
      <c r="C13" s="600" t="n">
        <v>77752587</v>
      </c>
      <c r="D13" s="600" t="n">
        <v>16432051</v>
      </c>
      <c r="E13" s="600" t="n">
        <v>0</v>
      </c>
      <c r="F13" s="600" t="n"/>
      <c r="G13" s="600" t="n"/>
    </row>
    <row r="14" ht="22.5" customHeight="1" s="594">
      <c r="B14" s="329" t="inlineStr">
        <is>
          <t>貸倒引当金</t>
        </is>
      </c>
      <c r="C14" s="600" t="n"/>
      <c r="D14" s="600" t="n"/>
      <c r="E14" s="600" t="n"/>
      <c r="F14" s="600" t="n"/>
      <c r="G14" s="600" t="n"/>
    </row>
    <row r="15" ht="22.5" customHeight="1" s="594">
      <c r="B15" s="329" t="inlineStr">
        <is>
          <t>商品</t>
        </is>
      </c>
      <c r="C15" s="600" t="n">
        <v>8732000</v>
      </c>
      <c r="D15" s="600" t="n">
        <v>8732000</v>
      </c>
      <c r="E15" s="600" t="n">
        <v>8532000</v>
      </c>
      <c r="F15" s="600" t="n"/>
      <c r="G15" s="600" t="n"/>
    </row>
    <row r="16" ht="22.5" customHeight="1" s="594">
      <c r="B16" s="329" t="inlineStr">
        <is>
          <t>前払費用</t>
        </is>
      </c>
      <c r="C16" s="600" t="n">
        <v>361000</v>
      </c>
      <c r="D16" s="600" t="n">
        <v>386500</v>
      </c>
      <c r="E16" s="600" t="n">
        <v>710345</v>
      </c>
      <c r="F16" s="600" t="n"/>
      <c r="G16" s="600" t="n"/>
    </row>
    <row r="17" ht="22.5" customHeight="1" s="594">
      <c r="B17" s="329" t="inlineStr">
        <is>
          <t>立替金</t>
        </is>
      </c>
      <c r="C17" s="600" t="n">
        <v>0</v>
      </c>
      <c r="D17" s="600" t="n">
        <v>390860</v>
      </c>
      <c r="E17" s="600" t="n">
        <v>0</v>
      </c>
      <c r="F17" s="600" t="n"/>
      <c r="G17" s="600" t="n"/>
    </row>
    <row r="18" ht="22.5" customHeight="1" s="594">
      <c r="B18" s="329" t="inlineStr">
        <is>
          <t>未収還付法人税等</t>
        </is>
      </c>
      <c r="C18" s="600" t="n">
        <v>0</v>
      </c>
      <c r="D18" s="600" t="n">
        <v>0</v>
      </c>
      <c r="E18" s="600" t="n">
        <v>10878400</v>
      </c>
      <c r="F18" s="600" t="n"/>
      <c r="G18" s="600" t="n"/>
    </row>
    <row r="19" ht="22.5" customHeight="1" s="594">
      <c r="B19" s="330" t="n"/>
      <c r="C19" s="601" t="n"/>
      <c r="D19" s="601" t="n"/>
      <c r="E19" s="601" t="n"/>
      <c r="F19" s="601" t="n"/>
      <c r="G19" s="601" t="n"/>
    </row>
    <row r="20" ht="22.5" customHeight="1" s="594">
      <c r="B20" s="171" t="inlineStr">
        <is>
          <t>【固定資産】</t>
        </is>
      </c>
      <c r="C20" s="599">
        <f>C21+C35+C46</f>
        <v>1096640549</v>
      </c>
      <c r="D20" s="599">
        <f>D21+D35+D46</f>
        <v>509171536</v>
      </c>
      <c r="E20" s="599">
        <f>E21+E35+E46</f>
        <v>503310970</v>
      </c>
      <c r="F20" s="599">
        <f>F21+F35+F46</f>
        <v>0</v>
      </c>
      <c r="G20" s="599">
        <f>G21+G35+G46</f>
        <v>0</v>
      </c>
    </row>
    <row r="21" ht="22.5" customHeight="1" s="594">
      <c r="B21" s="333" t="inlineStr">
        <is>
          <t>［有形固定資産］</t>
        </is>
      </c>
      <c r="C21" s="602">
        <f>SUM(C22:C34)</f>
        <v>1074867927</v>
      </c>
      <c r="D21" s="602">
        <f>SUM(D22:D34)</f>
        <v>496979036</v>
      </c>
      <c r="E21" s="602">
        <f>SUM(E22:E34)</f>
        <v>490145870</v>
      </c>
      <c r="F21" s="602">
        <f>SUM(F22:F34)</f>
        <v>0</v>
      </c>
      <c r="G21" s="602">
        <f>SUM(G22:G34)</f>
        <v>0</v>
      </c>
    </row>
    <row r="22" ht="22.5" customHeight="1" s="594">
      <c r="B22" s="329" t="inlineStr">
        <is>
          <t>建物</t>
        </is>
      </c>
      <c r="C22" s="600" t="n">
        <v>160070644</v>
      </c>
      <c r="D22" s="600" t="n">
        <v>125537878</v>
      </c>
      <c r="E22" s="600" t="n">
        <v>118721091</v>
      </c>
      <c r="F22" s="600" t="n"/>
      <c r="G22" s="600" t="n"/>
    </row>
    <row r="23" ht="22.5" customHeight="1" s="594">
      <c r="B23" s="329" t="inlineStr">
        <is>
          <t>建物付属設備</t>
        </is>
      </c>
      <c r="C23" s="600" t="n">
        <v>64040157</v>
      </c>
      <c r="D23" s="600" t="n">
        <v>22588959</v>
      </c>
      <c r="E23" s="600" t="n">
        <v>20091490</v>
      </c>
      <c r="F23" s="600" t="n"/>
      <c r="G23" s="600" t="n"/>
    </row>
    <row r="24" ht="22.5" customHeight="1" s="594">
      <c r="B24" s="329" t="inlineStr">
        <is>
          <t>構築物</t>
        </is>
      </c>
      <c r="C24" s="600" t="n">
        <v>2425672</v>
      </c>
      <c r="D24" s="600" t="n">
        <v>0</v>
      </c>
      <c r="E24" s="600" t="n">
        <v>0</v>
      </c>
      <c r="F24" s="600" t="n"/>
      <c r="G24" s="600" t="n"/>
    </row>
    <row r="25" ht="22.5" customHeight="1" s="594">
      <c r="B25" s="329" t="inlineStr">
        <is>
          <t>機械装置</t>
        </is>
      </c>
      <c r="C25" s="600" t="n">
        <v>1</v>
      </c>
      <c r="D25" s="600" t="n">
        <v>0</v>
      </c>
      <c r="E25" s="600" t="n">
        <v>0</v>
      </c>
      <c r="F25" s="600" t="n"/>
      <c r="G25" s="600" t="n"/>
    </row>
    <row r="26" ht="22.5" customHeight="1" s="594">
      <c r="B26" s="329" t="inlineStr">
        <is>
          <t>車輛運搬具</t>
        </is>
      </c>
      <c r="C26" s="600" t="n">
        <v>2205038</v>
      </c>
      <c r="D26" s="600" t="n">
        <v>2756526</v>
      </c>
      <c r="E26" s="600" t="n">
        <v>5394909</v>
      </c>
      <c r="F26" s="600" t="n"/>
      <c r="G26" s="600" t="n"/>
    </row>
    <row r="27" ht="22.5" customHeight="1" s="594">
      <c r="B27" s="329" t="inlineStr">
        <is>
          <t>工具器具備品</t>
        </is>
      </c>
      <c r="C27" s="600" t="n">
        <v>1222069</v>
      </c>
      <c r="D27" s="600" t="n">
        <v>766047</v>
      </c>
      <c r="E27" s="600" t="n">
        <v>908754</v>
      </c>
      <c r="F27" s="600" t="n"/>
      <c r="G27" s="600" t="n"/>
    </row>
    <row r="28" ht="22.5" customHeight="1" s="594">
      <c r="B28" s="329" t="inlineStr">
        <is>
          <t>一括償却資産</t>
        </is>
      </c>
      <c r="C28" s="600" t="n"/>
      <c r="D28" s="600" t="n"/>
      <c r="E28" s="600" t="n"/>
      <c r="F28" s="600" t="n"/>
      <c r="G28" s="600" t="n"/>
    </row>
    <row r="29" ht="22.5" customHeight="1" s="594">
      <c r="B29" s="329" t="inlineStr">
        <is>
          <t>土地</t>
        </is>
      </c>
      <c r="C29" s="600" t="n">
        <v>807629626</v>
      </c>
      <c r="D29" s="600" t="n">
        <v>341829626</v>
      </c>
      <c r="E29" s="600" t="n">
        <v>345029626</v>
      </c>
      <c r="F29" s="600" t="n"/>
      <c r="G29" s="600" t="n"/>
    </row>
    <row r="30" ht="22.5" customHeight="1" s="594">
      <c r="B30" s="329" t="inlineStr">
        <is>
          <t>建設仮戡定</t>
        </is>
      </c>
      <c r="C30" s="600" t="n">
        <v>37274720</v>
      </c>
      <c r="D30" s="600" t="n">
        <v>3500000</v>
      </c>
      <c r="E30" s="600" t="n">
        <v>0</v>
      </c>
      <c r="F30" s="600" t="n"/>
      <c r="G30" s="600" t="n"/>
    </row>
    <row r="31" ht="22.5" customHeight="1" s="594">
      <c r="B31" s="329" t="n"/>
      <c r="C31" s="600" t="n"/>
      <c r="D31" s="600" t="n"/>
      <c r="E31" s="600" t="n"/>
      <c r="F31" s="600" t="n"/>
      <c r="G31" s="600" t="n"/>
    </row>
    <row r="32" ht="22.5" customHeight="1" s="594">
      <c r="B32" s="329" t="n"/>
      <c r="C32" s="600" t="n"/>
      <c r="D32" s="600" t="n"/>
      <c r="E32" s="600" t="n"/>
      <c r="F32" s="600" t="n"/>
      <c r="G32" s="600" t="n"/>
    </row>
    <row r="33" ht="22.5" customHeight="1" s="594">
      <c r="B33" s="329" t="n"/>
      <c r="C33" s="600" t="n"/>
      <c r="D33" s="600" t="n"/>
      <c r="E33" s="600" t="n"/>
      <c r="F33" s="600" t="n"/>
      <c r="G33" s="600" t="n"/>
    </row>
    <row r="34" ht="22.5" customHeight="1" s="594">
      <c r="B34" s="330" t="n"/>
      <c r="C34" s="601" t="n"/>
      <c r="D34" s="601" t="n"/>
      <c r="E34" s="601" t="n"/>
      <c r="F34" s="601" t="n"/>
      <c r="G34" s="601" t="n"/>
    </row>
    <row r="35" ht="22.5" customHeight="1" s="594">
      <c r="B35" s="333" t="inlineStr">
        <is>
          <t>［無形固定資産］</t>
        </is>
      </c>
      <c r="C35" s="603">
        <f>SUM(C36:C45)</f>
        <v>78231</v>
      </c>
      <c r="D35" s="603">
        <f>SUM(D36:D45)</f>
        <v>0</v>
      </c>
      <c r="E35" s="603">
        <f>SUM(E36:E45)</f>
        <v>0</v>
      </c>
      <c r="F35" s="603">
        <f>SUM(F36:F45)</f>
        <v>0</v>
      </c>
      <c r="G35" s="603">
        <f>SUM(G36:G45)</f>
        <v>0</v>
      </c>
    </row>
    <row r="36" ht="22.2" customHeight="1" s="594">
      <c r="B36" s="329" t="inlineStr">
        <is>
          <t>ソフトウェア</t>
        </is>
      </c>
      <c r="C36" s="604" t="n"/>
      <c r="D36" s="604" t="n"/>
      <c r="E36" s="604" t="n"/>
      <c r="F36" s="605" t="n"/>
      <c r="G36" s="605" t="n"/>
    </row>
    <row r="37" ht="22.2" customHeight="1" s="594">
      <c r="B37" s="329" t="inlineStr">
        <is>
          <t>電話加入権</t>
        </is>
      </c>
      <c r="C37" s="604" t="n"/>
      <c r="D37" s="604" t="n"/>
      <c r="E37" s="604" t="n"/>
      <c r="F37" s="605" t="n"/>
      <c r="G37" s="605" t="n"/>
    </row>
    <row r="38" ht="22.2" customHeight="1" s="594">
      <c r="B38" s="329" t="inlineStr">
        <is>
          <t>施設利用権</t>
        </is>
      </c>
      <c r="C38" s="604" t="n">
        <v>78231</v>
      </c>
      <c r="D38" s="604" t="n">
        <v>0</v>
      </c>
      <c r="E38" s="604" t="n">
        <v>0</v>
      </c>
      <c r="F38" s="605" t="n"/>
      <c r="G38" s="605" t="n"/>
    </row>
    <row r="39" ht="22.2" customHeight="1" s="594">
      <c r="B39" s="329" t="n"/>
      <c r="C39" s="604" t="n"/>
      <c r="D39" s="604" t="n"/>
      <c r="E39" s="604" t="n"/>
      <c r="F39" s="605" t="n"/>
      <c r="G39" s="605" t="n"/>
    </row>
    <row r="40" ht="22.2" customHeight="1" s="594">
      <c r="B40" s="329" t="n"/>
      <c r="C40" s="604" t="n"/>
      <c r="D40" s="604" t="n"/>
      <c r="E40" s="604" t="n"/>
      <c r="F40" s="605" t="n"/>
      <c r="G40" s="605" t="n"/>
    </row>
    <row r="41" ht="22.2" customHeight="1" s="594">
      <c r="B41" s="329" t="n"/>
      <c r="C41" s="604" t="n"/>
      <c r="D41" s="604" t="n"/>
      <c r="E41" s="604" t="n"/>
      <c r="F41" s="605" t="n"/>
      <c r="G41" s="605" t="n"/>
    </row>
    <row r="42" ht="22.2" customHeight="1" s="594">
      <c r="B42" s="329" t="n"/>
      <c r="C42" s="604" t="n"/>
      <c r="D42" s="604" t="n"/>
      <c r="E42" s="604" t="n"/>
      <c r="F42" s="605" t="n"/>
      <c r="G42" s="605" t="n"/>
    </row>
    <row r="43" ht="22.2" customHeight="1" s="594">
      <c r="B43" s="329" t="n"/>
      <c r="C43" s="604" t="n"/>
      <c r="D43" s="604" t="n"/>
      <c r="E43" s="604" t="n"/>
      <c r="F43" s="605" t="n"/>
      <c r="G43" s="605" t="n"/>
    </row>
    <row r="44" ht="22.2" customHeight="1" s="594">
      <c r="B44" s="329" t="n"/>
      <c r="C44" s="604" t="n"/>
      <c r="D44" s="604" t="n"/>
      <c r="E44" s="604" t="n"/>
      <c r="F44" s="605" t="n"/>
      <c r="G44" s="605" t="n"/>
    </row>
    <row r="45" ht="22.2" customHeight="1" s="594">
      <c r="B45" s="330" t="n"/>
      <c r="C45" s="606" t="n"/>
      <c r="D45" s="606" t="n"/>
      <c r="E45" s="606" t="n"/>
      <c r="F45" s="603" t="n"/>
      <c r="G45" s="603" t="n"/>
    </row>
    <row r="46" ht="22.2" customHeight="1" s="594">
      <c r="B46" s="305" t="inlineStr">
        <is>
          <t>［投資その他資産］</t>
        </is>
      </c>
      <c r="C46" s="603">
        <f>SUM(C47:C55)</f>
        <v>21694391</v>
      </c>
      <c r="D46" s="603">
        <f>SUM(D47:D55)</f>
        <v>12192500</v>
      </c>
      <c r="E46" s="603">
        <f>SUM(E47:E55)</f>
        <v>13165100</v>
      </c>
      <c r="F46" s="603">
        <f>SUM(F47:F55)</f>
        <v>0</v>
      </c>
      <c r="G46" s="603">
        <f>SUM(G47:G55)</f>
        <v>0</v>
      </c>
    </row>
    <row r="47" ht="22.5" customHeight="1" s="594">
      <c r="B47" s="329" t="inlineStr">
        <is>
          <t>出資金</t>
        </is>
      </c>
      <c r="C47" s="604" t="n">
        <v>5000</v>
      </c>
      <c r="D47" s="604" t="n">
        <v>5000</v>
      </c>
      <c r="E47" s="604" t="n">
        <v>5000</v>
      </c>
      <c r="F47" s="605" t="n"/>
      <c r="G47" s="605" t="n"/>
    </row>
    <row r="48" ht="22.5" customHeight="1" s="594">
      <c r="B48" s="329" t="inlineStr">
        <is>
          <t>リサイクル預託金</t>
        </is>
      </c>
      <c r="C48" s="604" t="n"/>
      <c r="D48" s="604" t="n"/>
      <c r="E48" s="604" t="n"/>
      <c r="F48" s="604" t="n"/>
      <c r="G48" s="604" t="n"/>
    </row>
    <row r="49" ht="22.5" customHeight="1" s="594">
      <c r="B49" s="334" t="inlineStr">
        <is>
          <t>保険積立金</t>
        </is>
      </c>
      <c r="C49" s="604" t="n"/>
      <c r="D49" s="604" t="n"/>
      <c r="E49" s="604" t="n"/>
      <c r="F49" s="604" t="n"/>
      <c r="G49" s="604" t="n"/>
    </row>
    <row r="50" ht="22.5" customHeight="1" s="594">
      <c r="B50" s="329" t="inlineStr">
        <is>
          <t>投資有価証券</t>
        </is>
      </c>
      <c r="C50" s="604" t="n"/>
      <c r="D50" s="604" t="n"/>
      <c r="E50" s="604" t="n"/>
      <c r="F50" s="604" t="n"/>
      <c r="G50" s="604" t="n"/>
    </row>
    <row r="51" ht="22.5" customHeight="1" s="594">
      <c r="B51" s="329" t="inlineStr">
        <is>
          <t>敷金</t>
        </is>
      </c>
      <c r="C51" s="604" t="n">
        <v>15707391</v>
      </c>
      <c r="D51" s="604" t="n">
        <v>12187500</v>
      </c>
      <c r="E51" s="604" t="n">
        <v>13160100</v>
      </c>
      <c r="F51" s="604" t="n"/>
      <c r="G51" s="604" t="n"/>
    </row>
    <row r="52" ht="22.5" customHeight="1" s="594">
      <c r="B52" s="329" t="inlineStr">
        <is>
          <t>差入保証金</t>
        </is>
      </c>
      <c r="C52" s="604" t="n">
        <v>5982000</v>
      </c>
      <c r="D52" s="604" t="n">
        <v>0</v>
      </c>
      <c r="E52" s="604" t="n">
        <v>0</v>
      </c>
      <c r="F52" s="604" t="n"/>
      <c r="G52" s="604" t="n"/>
    </row>
    <row r="53" ht="22.5" customHeight="1" s="594">
      <c r="B53" s="329" t="n"/>
      <c r="C53" s="604" t="n"/>
      <c r="D53" s="604" t="n"/>
      <c r="E53" s="604" t="n"/>
      <c r="F53" s="604" t="n"/>
      <c r="G53" s="604" t="n"/>
    </row>
    <row r="54" ht="22.5" customHeight="1" s="594">
      <c r="B54" s="329" t="n"/>
      <c r="C54" s="604" t="n"/>
      <c r="D54" s="604" t="n"/>
      <c r="E54" s="604" t="n"/>
      <c r="F54" s="604" t="n"/>
      <c r="G54" s="604" t="n"/>
    </row>
    <row r="55" ht="22.5" customHeight="1" s="594">
      <c r="B55" s="329" t="n"/>
      <c r="C55" s="604" t="n"/>
      <c r="D55" s="604" t="n"/>
      <c r="E55" s="604" t="n"/>
      <c r="F55" s="604" t="n"/>
      <c r="G55" s="604" t="n"/>
    </row>
    <row r="56" ht="22.5" customHeight="1" s="594">
      <c r="B56" s="335" t="inlineStr">
        <is>
          <t>【繰延資産】</t>
        </is>
      </c>
      <c r="C56" s="607">
        <f>SUM(C57:C60)</f>
        <v>0</v>
      </c>
      <c r="D56" s="607">
        <f>SUM(D57:D60)</f>
        <v>0</v>
      </c>
      <c r="E56" s="607">
        <f>SUM(E57:E60)</f>
        <v>0</v>
      </c>
      <c r="F56" s="607">
        <f>SUM(F57:F60)</f>
        <v>0</v>
      </c>
      <c r="G56" s="607">
        <f>SUM(G57:G60)</f>
        <v>0</v>
      </c>
    </row>
    <row r="57" ht="22.5" customHeight="1" s="594">
      <c r="B57" s="329" t="inlineStr">
        <is>
          <t>開業費</t>
        </is>
      </c>
      <c r="C57" s="604" t="n"/>
      <c r="D57" s="604" t="n"/>
      <c r="E57" s="604" t="n"/>
      <c r="F57" s="604" t="n"/>
      <c r="G57" s="604" t="n"/>
    </row>
    <row r="58" ht="22.5" customHeight="1" s="594">
      <c r="B58" s="329" t="n"/>
      <c r="C58" s="604" t="n"/>
      <c r="D58" s="604" t="n"/>
      <c r="E58" s="604" t="n"/>
      <c r="F58" s="604" t="n"/>
      <c r="G58" s="604" t="n"/>
    </row>
    <row r="59" ht="22.5" customHeight="1" s="594">
      <c r="B59" s="329" t="n"/>
      <c r="C59" s="604" t="n"/>
      <c r="D59" s="604" t="n"/>
      <c r="E59" s="604" t="n"/>
      <c r="F59" s="604" t="n"/>
      <c r="G59" s="604" t="n"/>
    </row>
    <row r="60" ht="22.5" customHeight="1" s="594">
      <c r="B60" s="330" t="n"/>
      <c r="C60" s="606" t="n"/>
      <c r="D60" s="606" t="n"/>
      <c r="E60" s="606" t="n"/>
      <c r="F60" s="606" t="n"/>
      <c r="G60" s="606" t="n"/>
    </row>
    <row r="61" ht="22.5" customHeight="1" s="594">
      <c r="B61" s="188" t="inlineStr">
        <is>
          <t>資産合計</t>
        </is>
      </c>
      <c r="C61" s="608">
        <f>C5+C20+C56</f>
        <v>1340292281</v>
      </c>
      <c r="D61" s="608">
        <f>D5+D20+D56</f>
        <v>1408490119</v>
      </c>
      <c r="E61" s="608">
        <f>E5+E20+E56</f>
        <v>796508990</v>
      </c>
      <c r="F61" s="608">
        <f>F5+F20+F56</f>
        <v>0</v>
      </c>
      <c r="G61" s="608">
        <f>G5+G20+G56</f>
        <v>0</v>
      </c>
    </row>
    <row r="62">
      <c r="C62" s="609" t="n"/>
      <c r="D62" s="609" t="n"/>
      <c r="E62" s="609" t="n"/>
      <c r="F62" s="609" t="n"/>
      <c r="G62" s="609" t="n"/>
    </row>
    <row r="63">
      <c r="B63" s="412" t="inlineStr">
        <is>
          <t>バランスチェック</t>
        </is>
      </c>
      <c r="C63" s="610">
        <f>EXACT(C61,'BS (貸方)'!C51)</f>
        <v>1</v>
      </c>
      <c r="D63" s="610">
        <f>EXACT(D61,'BS (貸方)'!D51)</f>
        <v>1</v>
      </c>
      <c r="E63" s="610">
        <f>EXACT(E61,'BS (貸方)'!E51)</f>
        <v>1</v>
      </c>
      <c r="F63" s="610">
        <f>EXACT(F61,'BS (貸方)'!F51)</f>
        <v>1</v>
      </c>
      <c r="G63" s="610">
        <f>EXACT(G61,'BS (貸方)'!G51)</f>
        <v>1</v>
      </c>
    </row>
    <row r="64">
      <c r="C64" s="609" t="n"/>
      <c r="D64" s="609" t="n"/>
      <c r="E64" s="609" t="n"/>
      <c r="F64" s="609" t="n"/>
      <c r="G64" s="609" t="n"/>
    </row>
    <row r="65">
      <c r="C65" s="609" t="n"/>
      <c r="D65" s="609" t="n"/>
      <c r="E65" s="609" t="n"/>
      <c r="F65" s="609" t="n"/>
      <c r="G65" s="609" t="n"/>
    </row>
    <row r="66">
      <c r="C66" s="609" t="n"/>
      <c r="D66" s="609" t="n"/>
      <c r="E66" s="609" t="n"/>
      <c r="F66" s="609" t="n"/>
      <c r="G66" s="609" t="n"/>
    </row>
    <row r="67">
      <c r="C67" s="609" t="n"/>
      <c r="D67" s="609" t="n"/>
      <c r="E67" s="609" t="n"/>
      <c r="F67" s="609" t="n"/>
      <c r="G67" s="609" t="n"/>
    </row>
    <row r="68">
      <c r="C68" s="609" t="n"/>
      <c r="D68" s="609" t="n"/>
      <c r="E68" s="609" t="n"/>
      <c r="F68" s="609" t="n"/>
      <c r="G68" s="609" t="n"/>
    </row>
    <row r="69">
      <c r="C69" s="609" t="n"/>
      <c r="D69" s="609" t="n"/>
      <c r="E69" s="609" t="n"/>
      <c r="F69" s="609" t="n"/>
      <c r="G69" s="609" t="n"/>
    </row>
    <row r="70">
      <c r="C70" s="609" t="n"/>
      <c r="D70" s="609" t="n"/>
      <c r="E70" s="609" t="n"/>
      <c r="F70" s="609" t="n"/>
      <c r="G70" s="609" t="n"/>
    </row>
    <row r="71">
      <c r="C71" s="609" t="n"/>
      <c r="D71" s="609" t="n"/>
      <c r="E71" s="609" t="n"/>
      <c r="F71" s="609" t="n"/>
      <c r="G71" s="609" t="n"/>
    </row>
    <row r="72">
      <c r="C72" s="609" t="n"/>
      <c r="D72" s="609" t="n"/>
      <c r="E72" s="609" t="n"/>
      <c r="F72" s="609" t="n"/>
      <c r="G72" s="609" t="n"/>
    </row>
    <row r="73">
      <c r="C73" s="609" t="n"/>
      <c r="D73" s="609" t="n"/>
      <c r="E73" s="609" t="n"/>
      <c r="F73" s="609" t="n"/>
      <c r="G73" s="609" t="n"/>
    </row>
    <row r="74">
      <c r="C74" s="609" t="n"/>
      <c r="D74" s="609" t="n"/>
      <c r="E74" s="609" t="n"/>
      <c r="F74" s="609" t="n"/>
      <c r="G74" s="609" t="n"/>
    </row>
    <row r="75">
      <c r="C75" s="609" t="n"/>
      <c r="D75" s="609" t="n"/>
      <c r="E75" s="609" t="n"/>
      <c r="F75" s="609" t="n"/>
      <c r="G75" s="609" t="n"/>
    </row>
    <row r="76">
      <c r="C76" s="609" t="n"/>
      <c r="D76" s="609" t="n"/>
      <c r="E76" s="609" t="n"/>
      <c r="F76" s="609" t="n"/>
      <c r="G76" s="609" t="n"/>
    </row>
    <row r="77">
      <c r="C77" s="609" t="n"/>
      <c r="D77" s="609" t="n"/>
      <c r="E77" s="609" t="n"/>
      <c r="F77" s="609" t="n"/>
      <c r="G77" s="609" t="n"/>
    </row>
    <row r="78">
      <c r="C78" s="609" t="n"/>
      <c r="D78" s="609" t="n"/>
      <c r="E78" s="609" t="n"/>
      <c r="F78" s="609" t="n"/>
      <c r="G78" s="609"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G68"/>
  <sheetViews>
    <sheetView showGridLines="0" zoomScale="72" zoomScaleNormal="100" workbookViewId="0">
      <pane ySplit="4" topLeftCell="A5" activePane="bottomLeft" state="frozen"/>
      <selection pane="bottomLeft" activeCell="K42" sqref="K42"/>
    </sheetView>
  </sheetViews>
  <sheetFormatPr baseColWidth="8" defaultRowHeight="18"/>
  <cols>
    <col width="28" customWidth="1" style="177" min="2" max="2"/>
    <col width="18" customWidth="1" style="177" min="3" max="3"/>
    <col width="18" customWidth="1" style="594" min="4" max="4"/>
    <col width="18" customWidth="1" style="594" min="5" max="5"/>
    <col width="16.09765625" customWidth="1" style="594" min="6" max="7"/>
    <col width="8.796875" customWidth="1" style="594" min="8" max="8"/>
  </cols>
  <sheetData>
    <row r="2">
      <c r="E2" s="73" t="inlineStr">
        <is>
          <t>(単位：千円)</t>
        </is>
      </c>
    </row>
    <row r="3" ht="28.2" customHeight="1" s="594">
      <c r="B3" s="403" t="inlineStr">
        <is>
          <t>負債の部</t>
        </is>
      </c>
      <c r="C3" s="403" t="n"/>
      <c r="D3" s="403" t="n"/>
      <c r="E3" s="403" t="n"/>
      <c r="F3" s="403" t="n"/>
      <c r="G3" s="199" t="n"/>
    </row>
    <row r="4" ht="40.2" customHeight="1" s="594">
      <c r="B4" s="220" t="inlineStr">
        <is>
          <t>科目</t>
        </is>
      </c>
      <c r="C4" s="220" t="str">
        <f>'BS(借方)'!C4</f>
        <v>令和6年3月期</v>
      </c>
      <c r="D4" s="220" t="str">
        <f>'BS(借方)'!D4</f>
        <v>令和7年3月期</v>
      </c>
      <c r="E4" s="220" t="str">
        <f>'BS(借方)'!E4</f>
        <v>令和8年3月期</v>
      </c>
      <c r="F4" s="220" t="str">
        <f>'BS(借方)'!F4</f>
        <v>－</v>
      </c>
      <c r="G4" s="405" t="str">
        <f>'BS(借方)'!G4</f>
        <v>進行期
（試算表未受領）</v>
      </c>
    </row>
    <row r="5" ht="22.5" customHeight="1" s="594">
      <c r="B5" s="180" t="inlineStr">
        <is>
          <t>【流動負債】</t>
        </is>
      </c>
      <c r="C5" s="595">
        <f>SUM(C6:C17)</f>
        <v>546936524</v>
      </c>
      <c r="D5" s="595">
        <f>SUM(D6:D17)</f>
        <v>549868324</v>
      </c>
      <c r="E5" s="595">
        <f>SUM(E6:E17)</f>
        <v>196854699</v>
      </c>
      <c r="F5" s="595">
        <f>SUM(F6:F17)</f>
        <v>0</v>
      </c>
      <c r="G5" s="595">
        <f>SUM(G6:G17)</f>
        <v>0</v>
      </c>
    </row>
    <row r="6" ht="22.5" customHeight="1" s="594">
      <c r="B6" s="331" t="inlineStr">
        <is>
          <t>買掛金</t>
        </is>
      </c>
      <c r="C6" s="611" t="n">
        <v>10530062</v>
      </c>
      <c r="D6" s="597" t="n">
        <v>106089259</v>
      </c>
      <c r="E6" s="597" t="n">
        <v>10296760</v>
      </c>
      <c r="F6" s="597" t="n"/>
      <c r="G6" s="597" t="n"/>
    </row>
    <row r="7" ht="22.5" customHeight="1" s="594">
      <c r="B7" s="331" t="inlineStr">
        <is>
          <t>未払金</t>
        </is>
      </c>
      <c r="C7" s="611" t="n">
        <v>6830374</v>
      </c>
      <c r="D7" s="597" t="n">
        <v>11297305</v>
      </c>
      <c r="E7" s="597" t="n">
        <v>7639437</v>
      </c>
      <c r="F7" s="597" t="n"/>
      <c r="G7" s="597" t="n"/>
    </row>
    <row r="8" ht="22.5" customHeight="1" s="594">
      <c r="B8" s="331" t="inlineStr">
        <is>
          <t>未払費用</t>
        </is>
      </c>
      <c r="C8" s="611" t="n"/>
      <c r="D8" s="597" t="n"/>
      <c r="E8" s="597" t="n"/>
      <c r="F8" s="597" t="n"/>
      <c r="G8" s="597" t="n"/>
    </row>
    <row r="9" ht="22.5" customHeight="1" s="594">
      <c r="B9" s="331" t="inlineStr">
        <is>
          <t>未払消費税</t>
        </is>
      </c>
      <c r="C9" s="611" t="n">
        <v>4995000</v>
      </c>
      <c r="D9" s="597" t="n">
        <v>3049800</v>
      </c>
      <c r="E9" s="597" t="n">
        <v>4950000</v>
      </c>
      <c r="F9" s="597" t="n"/>
      <c r="G9" s="597" t="n"/>
    </row>
    <row r="10" ht="22.5" customHeight="1" s="594">
      <c r="B10" s="331" t="inlineStr">
        <is>
          <t>預り金</t>
        </is>
      </c>
      <c r="C10" s="611" t="n">
        <v>990436</v>
      </c>
      <c r="D10" s="597" t="n">
        <v>831047</v>
      </c>
      <c r="E10" s="597" t="n">
        <v>794225</v>
      </c>
      <c r="F10" s="597" t="n"/>
      <c r="G10" s="597" t="n"/>
    </row>
    <row r="11" ht="22.5" customHeight="1" s="594">
      <c r="B11" s="331" t="inlineStr">
        <is>
          <t>未払法人税等</t>
        </is>
      </c>
      <c r="C11" s="611" t="n">
        <v>194500</v>
      </c>
      <c r="D11" s="597" t="n">
        <v>21952200</v>
      </c>
      <c r="E11" s="597" t="n">
        <v>97300</v>
      </c>
      <c r="F11" s="597" t="n"/>
      <c r="G11" s="597" t="n"/>
    </row>
    <row r="12" ht="22.5" customHeight="1" s="594">
      <c r="B12" s="331" t="inlineStr">
        <is>
          <t>短期借入金</t>
        </is>
      </c>
      <c r="C12" s="611" t="n">
        <v>523396152</v>
      </c>
      <c r="D12" s="597" t="n">
        <v>406648713</v>
      </c>
      <c r="E12" s="597" t="n">
        <v>173076977</v>
      </c>
      <c r="F12" s="597" t="n"/>
      <c r="G12" s="597" t="n"/>
    </row>
    <row r="13" ht="22.5" customHeight="1" s="594">
      <c r="B13" s="331" t="n"/>
      <c r="C13" s="611" t="n"/>
      <c r="D13" s="597" t="n"/>
      <c r="E13" s="597" t="n"/>
      <c r="F13" s="597" t="n"/>
      <c r="G13" s="597" t="n"/>
    </row>
    <row r="14" ht="22.5" customHeight="1" s="594">
      <c r="B14" s="331" t="n"/>
      <c r="C14" s="611" t="n"/>
      <c r="D14" s="597" t="n"/>
      <c r="E14" s="597" t="n"/>
      <c r="F14" s="597" t="n"/>
      <c r="G14" s="597" t="n"/>
    </row>
    <row r="15" ht="22.5" customHeight="1" s="594">
      <c r="B15" s="331" t="n"/>
      <c r="C15" s="611" t="n"/>
      <c r="D15" s="597" t="n"/>
      <c r="E15" s="597" t="n"/>
      <c r="F15" s="597" t="n"/>
      <c r="G15" s="597" t="n"/>
    </row>
    <row r="16" ht="22.5" customHeight="1" s="594">
      <c r="B16" s="331" t="n"/>
      <c r="C16" s="611" t="n"/>
      <c r="D16" s="597" t="n"/>
      <c r="E16" s="597" t="n"/>
      <c r="F16" s="597" t="n"/>
      <c r="G16" s="597" t="n"/>
    </row>
    <row r="17" ht="22.5" customHeight="1" s="594">
      <c r="B17" s="332" t="n"/>
      <c r="C17" s="612" t="n"/>
      <c r="D17" s="613" t="n"/>
      <c r="E17" s="613" t="n"/>
      <c r="F17" s="613" t="n"/>
      <c r="G17" s="613" t="n"/>
    </row>
    <row r="18" ht="22.5" customHeight="1" s="594">
      <c r="B18" s="180" t="inlineStr">
        <is>
          <t>【固定負債】</t>
        </is>
      </c>
      <c r="C18" s="595">
        <f>SUM(C19:C24)</f>
        <v>526719849</v>
      </c>
      <c r="D18" s="595">
        <f>SUM(D19:D24)</f>
        <v>483629529</v>
      </c>
      <c r="E18" s="595">
        <f>SUM(E19:E24)</f>
        <v>272745529</v>
      </c>
      <c r="F18" s="595">
        <f>SUM(F19:F24)</f>
        <v>0</v>
      </c>
      <c r="G18" s="595">
        <f>SUM(G19:G24)</f>
        <v>0</v>
      </c>
    </row>
    <row r="19" ht="22.5" customHeight="1" s="594">
      <c r="B19" s="331" t="inlineStr">
        <is>
          <t>長期借入金</t>
        </is>
      </c>
      <c r="C19" s="611" t="n">
        <v>526321529</v>
      </c>
      <c r="D19" s="597" t="n">
        <v>483629529</v>
      </c>
      <c r="E19" s="597" t="n">
        <v>272745529</v>
      </c>
      <c r="F19" s="597" t="n"/>
      <c r="G19" s="597" t="n"/>
    </row>
    <row r="20" ht="22.5" customHeight="1" s="594">
      <c r="B20" s="331" t="inlineStr">
        <is>
          <t>長期預り保証金</t>
        </is>
      </c>
      <c r="C20" s="611" t="n">
        <v>398320</v>
      </c>
      <c r="D20" s="597" t="n">
        <v>0</v>
      </c>
      <c r="E20" s="597" t="n">
        <v>0</v>
      </c>
      <c r="F20" s="597" t="n"/>
      <c r="G20" s="597" t="n"/>
    </row>
    <row r="21" ht="22.5" customHeight="1" s="594">
      <c r="B21" s="331" t="n"/>
      <c r="C21" s="611" t="n"/>
      <c r="D21" s="597" t="n"/>
      <c r="E21" s="597" t="n"/>
      <c r="F21" s="597" t="n"/>
      <c r="G21" s="597" t="n"/>
    </row>
    <row r="22" ht="22.5" customHeight="1" s="594">
      <c r="B22" s="331" t="n"/>
      <c r="C22" s="611" t="n"/>
      <c r="D22" s="597" t="n"/>
      <c r="E22" s="597" t="n"/>
      <c r="F22" s="597" t="n"/>
      <c r="G22" s="597" t="n"/>
    </row>
    <row r="23" ht="22.5" customHeight="1" s="594">
      <c r="B23" s="331" t="n"/>
      <c r="C23" s="611" t="n"/>
      <c r="D23" s="597" t="n"/>
      <c r="E23" s="597" t="n"/>
      <c r="F23" s="597" t="n"/>
      <c r="G23" s="597" t="n"/>
    </row>
    <row r="24" ht="22.5" customHeight="1" s="594">
      <c r="B24" s="332" t="n"/>
      <c r="C24" s="612" t="n"/>
      <c r="D24" s="613" t="n"/>
      <c r="E24" s="613" t="n"/>
      <c r="F24" s="613" t="n"/>
      <c r="G24" s="613" t="n"/>
    </row>
    <row r="25" ht="22.5" customHeight="1" s="594">
      <c r="B25" s="181" t="inlineStr">
        <is>
          <t>負債合計</t>
        </is>
      </c>
      <c r="C25" s="614">
        <f>C5+C18</f>
        <v>1073656373</v>
      </c>
      <c r="D25" s="615">
        <f>D5+D18</f>
        <v>1033497853</v>
      </c>
      <c r="E25" s="615">
        <f>E5+E18</f>
        <v>469600228</v>
      </c>
      <c r="F25" s="615">
        <f>F5+F18</f>
        <v>0</v>
      </c>
      <c r="G25" s="615">
        <f>G5+G18</f>
        <v>0</v>
      </c>
    </row>
    <row r="26" ht="22.5" customHeight="1" s="594">
      <c r="B26" s="616" t="n"/>
      <c r="C26" s="604" t="n"/>
      <c r="D26" s="617" t="n"/>
      <c r="E26" s="617" t="n"/>
      <c r="F26" s="617" t="n"/>
      <c r="G26" s="617" t="n"/>
    </row>
    <row r="27" ht="22.5" customHeight="1" s="594">
      <c r="B27" s="616" t="n"/>
      <c r="C27" s="611" t="n"/>
      <c r="D27" s="597" t="n"/>
      <c r="E27" s="597" t="n"/>
      <c r="F27" s="597" t="n"/>
      <c r="G27" s="597" t="n"/>
    </row>
    <row r="28" ht="22.5" customHeight="1" s="594">
      <c r="B28" s="616" t="n"/>
      <c r="C28" s="611" t="n"/>
      <c r="D28" s="597" t="n"/>
      <c r="E28" s="597" t="n"/>
      <c r="F28" s="597" t="n"/>
      <c r="G28" s="597" t="n"/>
    </row>
    <row r="29" ht="22.5" customHeight="1" s="594">
      <c r="B29" s="616" t="n"/>
      <c r="C29" s="611" t="n"/>
      <c r="D29" s="597" t="n"/>
      <c r="E29" s="597" t="n"/>
      <c r="F29" s="597" t="n"/>
      <c r="G29" s="597" t="n"/>
    </row>
    <row r="30" ht="22.5" customHeight="1" s="594">
      <c r="B30" s="616" t="n"/>
      <c r="C30" s="611" t="n"/>
      <c r="D30" s="597" t="n"/>
      <c r="E30" s="597" t="n"/>
      <c r="F30" s="597" t="n"/>
      <c r="G30" s="597" t="n"/>
    </row>
    <row r="31" ht="22.2" customHeight="1" s="594">
      <c r="B31" s="616" t="n"/>
      <c r="C31" s="611" t="n"/>
      <c r="D31" s="597" t="n"/>
      <c r="E31" s="597" t="n"/>
      <c r="F31" s="597" t="n"/>
      <c r="G31" s="597" t="n"/>
    </row>
    <row r="32" ht="22.2" customHeight="1" s="594">
      <c r="B32" s="616" t="n"/>
      <c r="C32" s="611" t="n"/>
      <c r="D32" s="597" t="n"/>
      <c r="E32" s="597" t="n"/>
      <c r="F32" s="597" t="n"/>
      <c r="G32" s="597" t="n"/>
    </row>
    <row r="33" ht="22.2" customHeight="1" s="594">
      <c r="B33" s="616" t="n"/>
      <c r="C33" s="611" t="n"/>
      <c r="D33" s="597" t="n"/>
      <c r="E33" s="597" t="n"/>
      <c r="F33" s="597" t="n"/>
      <c r="G33" s="597" t="n"/>
    </row>
    <row r="34" ht="22.2" customHeight="1" s="594">
      <c r="B34" s="179" t="inlineStr">
        <is>
          <t>純資産の部</t>
        </is>
      </c>
      <c r="C34" s="618" t="n"/>
      <c r="D34" s="619" t="n"/>
      <c r="E34" s="620" t="n"/>
      <c r="F34" s="620" t="n"/>
      <c r="G34" s="620" t="n"/>
    </row>
    <row r="35" ht="22.2" customHeight="1" s="594">
      <c r="B35" s="189" t="inlineStr">
        <is>
          <t>【資本金】</t>
        </is>
      </c>
      <c r="C35" s="621">
        <f>SUM(C36:C38)</f>
        <v>500000</v>
      </c>
      <c r="D35" s="621">
        <f>SUM(D36:D38)</f>
        <v>500000</v>
      </c>
      <c r="E35" s="621">
        <f>SUM(E36:E38)</f>
        <v>500000</v>
      </c>
      <c r="F35" s="621">
        <f>SUM(F36:F38)</f>
        <v>0</v>
      </c>
      <c r="G35" s="621">
        <f>SUM(G36:G38)</f>
        <v>0</v>
      </c>
    </row>
    <row r="36" ht="22.2" customHeight="1" s="594">
      <c r="B36" s="331" t="inlineStr">
        <is>
          <t>資本金</t>
        </is>
      </c>
      <c r="C36" s="617" t="n">
        <v>500000</v>
      </c>
      <c r="D36" s="604" t="n">
        <v>500000</v>
      </c>
      <c r="E36" s="604" t="n">
        <v>500000</v>
      </c>
      <c r="F36" s="604" t="n"/>
      <c r="G36" s="604" t="n"/>
    </row>
    <row r="37" ht="22.2" customHeight="1" s="594">
      <c r="B37" s="331" t="n"/>
      <c r="C37" s="617" t="n"/>
      <c r="D37" s="604" t="n"/>
      <c r="E37" s="604" t="n"/>
      <c r="F37" s="604" t="n"/>
      <c r="G37" s="604" t="n"/>
    </row>
    <row r="38" ht="22.2" customHeight="1" s="594">
      <c r="B38" s="332" t="n"/>
      <c r="C38" s="622" t="n"/>
      <c r="D38" s="606" t="n"/>
      <c r="E38" s="606" t="n"/>
      <c r="F38" s="606" t="n"/>
      <c r="G38" s="606" t="n"/>
    </row>
    <row r="39" ht="22.5" customHeight="1" s="594">
      <c r="B39" s="189" t="inlineStr">
        <is>
          <t>【資本剰余金】</t>
        </is>
      </c>
      <c r="C39" s="621">
        <f>SUM(C40:C42)</f>
        <v>5000000</v>
      </c>
      <c r="D39" s="621">
        <f>SUM(D40:D42)</f>
        <v>5000000</v>
      </c>
      <c r="E39" s="621">
        <f>SUM(E40:E42)</f>
        <v>5000000</v>
      </c>
      <c r="F39" s="621">
        <f>SUM(F40:F42)</f>
        <v>0</v>
      </c>
      <c r="G39" s="621">
        <f>SUM(G40:G42)</f>
        <v>0</v>
      </c>
    </row>
    <row r="40" ht="22.5" customHeight="1" s="594">
      <c r="B40" s="331" t="inlineStr">
        <is>
          <t>その他資本剰余金</t>
        </is>
      </c>
      <c r="C40" s="617" t="n">
        <v>5000000</v>
      </c>
      <c r="D40" s="604" t="n">
        <v>5000000</v>
      </c>
      <c r="E40" s="604" t="n">
        <v>5000000</v>
      </c>
      <c r="F40" s="604" t="n"/>
      <c r="G40" s="604" t="n"/>
    </row>
    <row r="41" ht="22.5" customHeight="1" s="594">
      <c r="B41" s="331" t="n"/>
      <c r="C41" s="617" t="n"/>
      <c r="D41" s="604" t="n"/>
      <c r="E41" s="604" t="n"/>
      <c r="F41" s="604" t="n"/>
      <c r="G41" s="604" t="n"/>
    </row>
    <row r="42" ht="22.5" customHeight="1" s="594">
      <c r="B42" s="336" t="n"/>
      <c r="C42" s="623" t="n"/>
      <c r="D42" s="624" t="n"/>
      <c r="E42" s="624" t="n"/>
      <c r="F42" s="624" t="n"/>
      <c r="G42" s="624" t="n"/>
    </row>
    <row r="43" ht="22.5" customHeight="1" s="594">
      <c r="B43" s="307" t="inlineStr">
        <is>
          <t>【利益剰余金】</t>
        </is>
      </c>
      <c r="C43" s="621">
        <f>SUM(C44:C48)</f>
        <v>261135908</v>
      </c>
      <c r="D43" s="621">
        <f>SUM(D44:D48)</f>
        <v>369492266</v>
      </c>
      <c r="E43" s="621">
        <f>SUM(E44:E48)</f>
        <v>321408762</v>
      </c>
      <c r="F43" s="621">
        <f>SUM(F44:F48)</f>
        <v>0</v>
      </c>
      <c r="G43" s="621">
        <f>SUM(G44:G48)</f>
        <v>0</v>
      </c>
    </row>
    <row r="44" ht="22.5" customHeight="1" s="594">
      <c r="B44" s="337" t="inlineStr">
        <is>
          <t>利益準備金</t>
        </is>
      </c>
      <c r="C44" s="617" t="n"/>
      <c r="D44" s="604" t="n"/>
      <c r="E44" s="604" t="n"/>
      <c r="F44" s="604" t="n"/>
      <c r="G44" s="604" t="n"/>
    </row>
    <row r="45" ht="22.5" customHeight="1" s="594">
      <c r="B45" s="331" t="inlineStr">
        <is>
          <t>別途積立金</t>
        </is>
      </c>
      <c r="C45" s="617" t="n"/>
      <c r="D45" s="604" t="n"/>
      <c r="E45" s="604" t="n"/>
      <c r="F45" s="604" t="n"/>
      <c r="G45" s="604" t="n"/>
    </row>
    <row r="46" ht="22.5" customHeight="1" s="594">
      <c r="B46" s="331" t="inlineStr">
        <is>
          <t>繰越利益剰余金</t>
        </is>
      </c>
      <c r="C46" s="617" t="n">
        <v>261135908</v>
      </c>
      <c r="D46" s="604" t="n">
        <v>369492266</v>
      </c>
      <c r="E46" s="604" t="n">
        <v>321408762</v>
      </c>
      <c r="F46" s="604" t="n"/>
      <c r="G46" s="604" t="n"/>
    </row>
    <row r="47" ht="22.5" customHeight="1" s="594">
      <c r="B47" s="331" t="n"/>
      <c r="C47" s="617" t="n"/>
      <c r="D47" s="604" t="n"/>
      <c r="E47" s="604" t="n"/>
      <c r="F47" s="604" t="n"/>
      <c r="G47" s="604" t="n"/>
    </row>
    <row r="48" ht="22.5" customHeight="1" s="594">
      <c r="B48" s="332" t="n"/>
      <c r="C48" s="622" t="n"/>
      <c r="D48" s="606" t="n"/>
      <c r="E48" s="606" t="n"/>
      <c r="F48" s="606" t="n"/>
      <c r="G48" s="606" t="n"/>
    </row>
    <row r="49" ht="22.5" customHeight="1" s="594">
      <c r="B49" s="190" t="inlineStr">
        <is>
          <t>【自己株式】</t>
        </is>
      </c>
      <c r="C49" s="625" t="n">
        <v>0</v>
      </c>
      <c r="D49" s="626" t="n">
        <v>0</v>
      </c>
      <c r="E49" s="626" t="n">
        <v>0</v>
      </c>
      <c r="F49" s="626" t="n">
        <v>0</v>
      </c>
      <c r="G49" s="626" t="n">
        <v>0</v>
      </c>
    </row>
    <row r="50" ht="22.5" customHeight="1" s="594">
      <c r="B50" s="182" t="inlineStr">
        <is>
          <t>純資産合計</t>
        </is>
      </c>
      <c r="C50" s="627">
        <f>C35+C39+C43+C49</f>
        <v>266635908</v>
      </c>
      <c r="D50" s="627">
        <f>D35+D39+D43+D49</f>
        <v>374992266</v>
      </c>
      <c r="E50" s="627">
        <f>E35+E39+E43+E49</f>
        <v>326908762</v>
      </c>
      <c r="F50" s="627">
        <f>F35+F39+F43+F49</f>
        <v>0</v>
      </c>
      <c r="G50" s="627">
        <f>G35+G39+G43+G49</f>
        <v>0</v>
      </c>
    </row>
    <row r="51" ht="22.5" customHeight="1" s="594">
      <c r="B51" s="183" t="inlineStr">
        <is>
          <t>負債・純資産合計</t>
        </is>
      </c>
      <c r="C51" s="628">
        <f>C25+C50</f>
        <v>1340292281</v>
      </c>
      <c r="D51" s="628">
        <f>D25+D50</f>
        <v>1408490119</v>
      </c>
      <c r="E51" s="628">
        <f>E25+E50</f>
        <v>796508990</v>
      </c>
      <c r="F51" s="628">
        <f>F25+F50</f>
        <v>0</v>
      </c>
      <c r="G51" s="628">
        <f>G25+G50</f>
        <v>0</v>
      </c>
    </row>
    <row r="52">
      <c r="C52" s="629" t="n"/>
      <c r="D52" s="609" t="n"/>
      <c r="E52" s="609" t="n"/>
      <c r="F52" s="609" t="n"/>
      <c r="G52" s="609" t="n"/>
    </row>
    <row r="53">
      <c r="B53" s="412" t="inlineStr">
        <is>
          <t>バランスチェック</t>
        </is>
      </c>
      <c r="C53" s="630">
        <f>EXACT(C51,'BS(借方)'!C61)</f>
        <v>1</v>
      </c>
      <c r="D53" s="630">
        <f>EXACT(D51,'BS(借方)'!D61)</f>
        <v>1</v>
      </c>
      <c r="E53" s="630">
        <f>EXACT(E51,'BS(借方)'!E61)</f>
        <v>1</v>
      </c>
      <c r="F53" s="630">
        <f>EXACT(F51,'BS(借方)'!F61)</f>
        <v>1</v>
      </c>
      <c r="G53" s="630">
        <f>EXACT(G51,'BS(借方)'!G61)</f>
        <v>1</v>
      </c>
    </row>
    <row r="54">
      <c r="C54" s="629" t="n"/>
      <c r="D54" s="609" t="n"/>
      <c r="E54" s="609" t="n"/>
      <c r="F54" s="609" t="n"/>
      <c r="G54" s="609" t="n"/>
    </row>
    <row r="55">
      <c r="C55" s="629" t="n"/>
      <c r="D55" s="609" t="n"/>
      <c r="E55" s="609" t="n"/>
      <c r="F55" s="609" t="n"/>
      <c r="G55" s="609" t="n"/>
    </row>
    <row r="56">
      <c r="C56" s="629" t="n"/>
      <c r="D56" s="609" t="n"/>
      <c r="E56" s="609" t="n"/>
      <c r="F56" s="609" t="n"/>
      <c r="G56" s="609" t="n"/>
    </row>
    <row r="57">
      <c r="C57" s="629" t="n"/>
      <c r="D57" s="609" t="n"/>
      <c r="E57" s="609" t="n"/>
      <c r="F57" s="609" t="n"/>
      <c r="G57" s="609" t="n"/>
    </row>
    <row r="58">
      <c r="C58" s="629" t="n"/>
      <c r="D58" s="609" t="n"/>
      <c r="E58" s="609" t="n"/>
      <c r="F58" s="609" t="n"/>
      <c r="G58" s="609" t="n"/>
    </row>
    <row r="59">
      <c r="C59" s="629" t="n"/>
      <c r="D59" s="609" t="n"/>
      <c r="E59" s="609" t="n"/>
      <c r="F59" s="609" t="n"/>
      <c r="G59" s="609" t="n"/>
    </row>
    <row r="60">
      <c r="C60" s="629" t="n"/>
      <c r="D60" s="609" t="n"/>
      <c r="E60" s="609" t="n"/>
      <c r="F60" s="609" t="n"/>
      <c r="G60" s="609" t="n"/>
    </row>
    <row r="61">
      <c r="C61" s="629" t="n"/>
      <c r="D61" s="609" t="n"/>
      <c r="E61" s="609" t="n"/>
      <c r="F61" s="609" t="n"/>
      <c r="G61" s="609" t="n"/>
    </row>
    <row r="62">
      <c r="C62" s="629" t="n"/>
      <c r="D62" s="609" t="n"/>
      <c r="E62" s="609" t="n"/>
      <c r="F62" s="609" t="n"/>
      <c r="G62" s="609" t="n"/>
    </row>
    <row r="63">
      <c r="C63" s="629" t="n"/>
      <c r="D63" s="609" t="n"/>
      <c r="E63" s="609" t="n"/>
      <c r="F63" s="609" t="n"/>
      <c r="G63" s="609" t="n"/>
    </row>
    <row r="64">
      <c r="C64" s="629" t="n"/>
      <c r="D64" s="609" t="n"/>
      <c r="E64" s="609" t="n"/>
      <c r="F64" s="609" t="n"/>
      <c r="G64" s="609" t="n"/>
    </row>
    <row r="65">
      <c r="C65" s="629" t="n"/>
      <c r="D65" s="609" t="n"/>
      <c r="E65" s="609" t="n"/>
      <c r="F65" s="609" t="n"/>
      <c r="G65" s="609" t="n"/>
    </row>
    <row r="66">
      <c r="C66" s="629" t="n"/>
      <c r="D66" s="609" t="n"/>
      <c r="E66" s="609" t="n"/>
      <c r="F66" s="609" t="n"/>
      <c r="G66" s="609" t="n"/>
    </row>
    <row r="67">
      <c r="C67" s="629" t="n"/>
      <c r="D67" s="609" t="n"/>
      <c r="E67" s="609" t="n"/>
      <c r="F67" s="609" t="n"/>
      <c r="G67" s="609" t="n"/>
    </row>
    <row r="68">
      <c r="C68" s="629" t="n"/>
      <c r="D68" s="609" t="n"/>
      <c r="E68" s="609" t="n"/>
      <c r="F68" s="609" t="n"/>
      <c r="G68" s="609" t="n"/>
    </row>
  </sheetData>
  <pageMargins left="0.7" right="0.7" top="0.75" bottom="0.75" header="0.3" footer="0.3"/>
  <pageSetup orientation="portrait" paperSize="9" horizontalDpi="1200" verticalDpi="1200"/>
</worksheet>
</file>

<file path=xl/worksheets/sheet5.xml><?xml version="1.0" encoding="utf-8"?>
<worksheet xmlns="http://schemas.openxmlformats.org/spreadsheetml/2006/main">
  <sheetPr>
    <outlinePr summaryBelow="1" summaryRight="1"/>
    <pageSetUpPr/>
  </sheetPr>
  <dimension ref="B2:L77"/>
  <sheetViews>
    <sheetView showGridLines="0" zoomScaleNormal="100" workbookViewId="0">
      <pane ySplit="4" topLeftCell="A50" activePane="bottomLeft" state="frozen"/>
      <selection pane="bottomLeft" activeCell="H2" sqref="H2"/>
    </sheetView>
  </sheetViews>
  <sheetFormatPr baseColWidth="8" defaultRowHeight="18"/>
  <cols>
    <col width="28" bestFit="1" customWidth="1" style="184" min="2" max="2"/>
    <col width="15" customWidth="1" style="594" min="3" max="7"/>
    <col width="15" customWidth="1" style="177" min="8" max="9"/>
    <col width="15" customWidth="1" style="594" min="10" max="12"/>
    <col width="16.09765625" customWidth="1" style="594" min="13" max="13"/>
    <col width="8.796875" customWidth="1" style="594" min="14" max="14"/>
  </cols>
  <sheetData>
    <row r="2">
      <c r="B2" s="0" t="n"/>
      <c r="C2" s="177" t="n"/>
      <c r="D2" s="192" t="n"/>
      <c r="G2" s="177" t="n"/>
      <c r="H2" s="73" t="inlineStr">
        <is>
          <t>(単位：千円)</t>
        </is>
      </c>
      <c r="I2" s="0" t="n"/>
      <c r="K2" s="177" t="n"/>
      <c r="L2" s="192" t="n"/>
    </row>
    <row r="3" ht="19.8" customHeight="1" s="594">
      <c r="B3" s="568" t="inlineStr">
        <is>
          <t>科目</t>
        </is>
      </c>
      <c r="C3" s="195" t="str">
        <f>'BS(借方)'!C4</f>
        <v>令和6年3月期</v>
      </c>
      <c r="D3" s="197" t="n"/>
      <c r="E3" s="198" t="str">
        <f>'BS(借方)'!D4</f>
        <v>令和7年3月期</v>
      </c>
      <c r="F3" s="176" t="n"/>
      <c r="G3" s="199" t="str">
        <f>'BS(借方)'!E4</f>
        <v>令和8年3月期</v>
      </c>
      <c r="H3" s="200" t="n"/>
      <c r="I3" s="201" t="str">
        <f>'BS(借方)'!F4</f>
        <v>－</v>
      </c>
      <c r="J3" s="202" t="n"/>
      <c r="K3" s="203" t="str">
        <f>'BS(借方)'!G4</f>
        <v>進行期
（試算表未受領）</v>
      </c>
      <c r="L3" s="204" t="n"/>
    </row>
    <row r="4" ht="19.8" customHeight="1" s="594">
      <c r="B4" s="631" t="n"/>
      <c r="C4" s="196" t="inlineStr">
        <is>
          <t>帳簿価額</t>
        </is>
      </c>
      <c r="D4" s="193" t="inlineStr">
        <is>
          <t>売上高比</t>
        </is>
      </c>
      <c r="E4" s="196" t="inlineStr">
        <is>
          <t>帳簿価額</t>
        </is>
      </c>
      <c r="F4" s="196" t="inlineStr">
        <is>
          <t>売上高比</t>
        </is>
      </c>
      <c r="G4" s="196" t="inlineStr">
        <is>
          <t>帳簿価額</t>
        </is>
      </c>
      <c r="H4" s="193" t="inlineStr">
        <is>
          <t>売上高比</t>
        </is>
      </c>
      <c r="I4" s="196" t="inlineStr">
        <is>
          <t>帳簿価額</t>
        </is>
      </c>
      <c r="J4" s="193" t="inlineStr">
        <is>
          <t>売上高比</t>
        </is>
      </c>
      <c r="K4" s="205" t="inlineStr">
        <is>
          <t>帳簿価額</t>
        </is>
      </c>
      <c r="L4" s="194" t="inlineStr">
        <is>
          <t>売上高比</t>
        </is>
      </c>
    </row>
    <row r="5" ht="22.5" customHeight="1" s="594">
      <c r="B5" s="206" t="inlineStr">
        <is>
          <t>店舗・EC等売上高</t>
        </is>
      </c>
      <c r="C5" s="632" t="n">
        <v>366805605</v>
      </c>
      <c r="D5" s="633">
        <f>IF(C5=0,"",C5/C$11)</f>
        <v>0.956619866232735</v>
      </c>
      <c r="E5" s="632" t="n">
        <v>344797561</v>
      </c>
      <c r="F5" s="633">
        <f>IF(E5=0,"",E5/E$11)</f>
        <v>0.280134193287368</v>
      </c>
      <c r="G5" s="632" t="n">
        <v>303702978</v>
      </c>
      <c r="H5" s="633">
        <f>IF(G5=0,"",G5/G$11)</f>
        <v>0.951038154907121</v>
      </c>
      <c r="I5" s="632" t="n"/>
      <c r="J5" s="633">
        <f>IF(I5=0,"",I5/I$11)</f>
      </c>
      <c r="K5" s="632" t="n"/>
      <c r="L5" s="633">
        <f>IF(K5=0,"",K5/K$11)</f>
      </c>
    </row>
    <row r="6" ht="22.5" customHeight="1" s="594">
      <c r="B6" s="206" t="inlineStr">
        <is>
          <t>不動産賃貸収入</t>
        </is>
      </c>
      <c r="C6" s="604" t="n">
        <v>16633646</v>
      </c>
      <c r="D6" s="633">
        <f>IF(C6=0,"",C6/C$11)</f>
        <v>0.0433801337672653</v>
      </c>
      <c r="E6" s="604" t="n">
        <v>16832410</v>
      </c>
      <c r="F6" s="633">
        <f>IF(E6=0,"",E6/E$11)</f>
        <v>0.0136756582116085</v>
      </c>
      <c r="G6" s="604" t="n">
        <v>1635396</v>
      </c>
      <c r="H6" s="633">
        <f>IF(G6=0,"",G6/G$11)</f>
        <v>0.00512120099916335</v>
      </c>
      <c r="I6" s="604" t="n"/>
      <c r="J6" s="633">
        <f>IF(I6=0,"",I6/I$11)</f>
      </c>
      <c r="K6" s="604" t="n"/>
      <c r="L6" s="633">
        <f>IF(K6=0,"",K6/K$11)</f>
      </c>
    </row>
    <row r="7" ht="22.5" customHeight="1" s="594">
      <c r="B7" s="206" t="inlineStr">
        <is>
          <t>不動産売却収入</t>
        </is>
      </c>
      <c r="C7" s="604" t="n">
        <v>0</v>
      </c>
      <c r="D7" s="633">
        <f>IF(C7=0,"",C7/C$11)</f>
      </c>
      <c r="E7" s="604" t="n">
        <v>869200000</v>
      </c>
      <c r="F7" s="633">
        <f>IF(E7=0,"",E7/E$11)</f>
        <v>0.706190148501023</v>
      </c>
      <c r="G7" s="604" t="n">
        <v>0</v>
      </c>
      <c r="H7" s="633">
        <f>IF(G7=0,"",G7/G$11)</f>
      </c>
      <c r="I7" s="604" t="n"/>
      <c r="J7" s="633">
        <f>IF(I7=0,"",I7/I$11)</f>
      </c>
      <c r="K7" s="604" t="n"/>
      <c r="L7" s="633">
        <f>IF(K7=0,"",K7/K$11)</f>
      </c>
    </row>
    <row r="8" ht="22.5" customHeight="1" s="594">
      <c r="B8" s="206" t="inlineStr">
        <is>
          <t>コンサル収入</t>
        </is>
      </c>
      <c r="C8" s="604" t="n">
        <v>0</v>
      </c>
      <c r="D8" s="633">
        <f>IF(C8=0,"",C8/C$11)</f>
      </c>
      <c r="E8" s="604" t="n">
        <v>0</v>
      </c>
      <c r="F8" s="633">
        <f>IF(E8=0,"",E8/E$11)</f>
      </c>
      <c r="G8" s="604" t="n">
        <v>14000000</v>
      </c>
      <c r="H8" s="633">
        <f>IF(G8=0,"",G8/G$11)</f>
        <v>0.0438406440937161</v>
      </c>
      <c r="I8" s="604" t="n"/>
      <c r="J8" s="633">
        <f>IF(I8=0,"",I8/I$11)</f>
      </c>
      <c r="K8" s="604" t="n"/>
      <c r="L8" s="633">
        <f>IF(K8=0,"",K8/K$11)</f>
      </c>
    </row>
    <row r="9" ht="22.5" customHeight="1" s="594">
      <c r="B9" s="207" t="n"/>
      <c r="C9" s="604" t="n"/>
      <c r="D9" s="633">
        <f>IF(C9=0,"",C9/C$11)</f>
      </c>
      <c r="E9" s="604" t="n"/>
      <c r="F9" s="633">
        <f>IF(E9=0,"",E9/E$11)</f>
      </c>
      <c r="G9" s="604" t="n"/>
      <c r="H9" s="633">
        <f>IF(G9=0,"",G9/G$11)</f>
      </c>
      <c r="I9" s="604" t="n"/>
      <c r="J9" s="633">
        <f>IF(I9=0,"",I9/I$11)</f>
      </c>
      <c r="K9" s="604" t="n"/>
      <c r="L9" s="633">
        <f>IF(K9=0,"",K9/K$11)</f>
      </c>
    </row>
    <row r="10" ht="22.5" customHeight="1" s="594">
      <c r="B10" s="208" t="n"/>
      <c r="C10" s="606" t="n"/>
      <c r="D10" s="634">
        <f>IF(C10=0,"",C10/C$11)</f>
      </c>
      <c r="E10" s="606" t="n"/>
      <c r="F10" s="634">
        <f>IF(E10=0,"",E10/E$11)</f>
      </c>
      <c r="G10" s="606" t="n"/>
      <c r="H10" s="634">
        <f>IF(G10=0,"",G10/G$11)</f>
      </c>
      <c r="I10" s="606" t="n"/>
      <c r="J10" s="634">
        <f>IF(I10=0,"",I10/I$11)</f>
      </c>
      <c r="K10" s="606" t="n"/>
      <c r="L10" s="634">
        <f>IF(K10=0,"",K10/K$11)</f>
      </c>
    </row>
    <row r="11" ht="22.5" customHeight="1" s="594">
      <c r="B11" s="212" t="inlineStr">
        <is>
          <t>売上高</t>
        </is>
      </c>
      <c r="C11" s="635">
        <f>SUM(C5:C10)</f>
        <v>383439251</v>
      </c>
      <c r="D11" s="636">
        <f>IF(C11=0,"",C11/C$11)</f>
        <v>1</v>
      </c>
      <c r="E11" s="635">
        <f>SUM(E5:E10)</f>
        <v>1230829971</v>
      </c>
      <c r="F11" s="636">
        <f>IF(E11=0,"",E11/E$11)</f>
        <v>1</v>
      </c>
      <c r="G11" s="635">
        <f>SUM(G5:G10)</f>
        <v>319338374</v>
      </c>
      <c r="H11" s="636">
        <f>IF(G11=0,"",G11/G$11)</f>
        <v>1</v>
      </c>
      <c r="I11" s="635">
        <f>SUM(I5:I10)</f>
        <v>0</v>
      </c>
      <c r="J11" s="636">
        <f>IF(I11=0,"",I11/I$11)</f>
      </c>
      <c r="K11" s="635">
        <f>SUM(K5:K10)</f>
        <v>0</v>
      </c>
      <c r="L11" s="636">
        <f>IF(K11=0,"",K11/K$11)</f>
      </c>
    </row>
    <row r="12" ht="22.5" customHeight="1" s="594">
      <c r="B12" s="210" t="inlineStr">
        <is>
          <t>期首商品棚卸高</t>
        </is>
      </c>
      <c r="C12" s="604" t="n">
        <v>7732842</v>
      </c>
      <c r="D12" s="633">
        <f>IF(C12=0,"",C12/C$11)</f>
        <v>0.020167059005652</v>
      </c>
      <c r="E12" s="604" t="n">
        <v>8732000</v>
      </c>
      <c r="F12" s="633">
        <f>IF(E12=0,"",E12/E$11)</f>
        <v>0.00709439988116766</v>
      </c>
      <c r="G12" s="604" t="n">
        <v>8732000</v>
      </c>
      <c r="H12" s="633">
        <f>IF(G12=0,"",G12/G$11)</f>
        <v>0.0273440360161664</v>
      </c>
      <c r="I12" s="604" t="n"/>
      <c r="J12" s="633">
        <f>IF(I12=0,"",I12/I$11)</f>
      </c>
      <c r="K12" s="604" t="n"/>
      <c r="L12" s="633">
        <f>IF(K12=0,"",K12/K$11)</f>
      </c>
    </row>
    <row r="13" ht="22.5" customHeight="1" s="594">
      <c r="B13" s="210" t="inlineStr">
        <is>
          <t>当期商品仕入高</t>
        </is>
      </c>
      <c r="C13" s="604" t="n">
        <v>105841625</v>
      </c>
      <c r="D13" s="633">
        <f>IF(C13=0,"",C13/C$11)</f>
        <v>0.276032317307025</v>
      </c>
      <c r="E13" s="604" t="n">
        <v>100866136</v>
      </c>
      <c r="F13" s="633">
        <f>IF(E13=0,"",E13/E$11)</f>
        <v>0.0819496911649383</v>
      </c>
      <c r="G13" s="604" t="n">
        <v>96006124</v>
      </c>
      <c r="H13" s="633">
        <f>IF(G13=0,"",G13/G$11)</f>
        <v>0.300640736650084</v>
      </c>
      <c r="I13" s="604" t="n"/>
      <c r="J13" s="633">
        <f>IF(I13=0,"",I13/I$11)</f>
      </c>
      <c r="K13" s="604" t="n"/>
      <c r="L13" s="633">
        <f>IF(K13=0,"",K13/K$11)</f>
      </c>
    </row>
    <row r="14" ht="22.5" customHeight="1" s="594">
      <c r="B14" s="210" t="inlineStr">
        <is>
          <t>不動産売却関連原価</t>
        </is>
      </c>
      <c r="C14" s="604" t="n">
        <v>0</v>
      </c>
      <c r="D14" s="633">
        <f>IF(C14=0,"",C14/C$11)</f>
      </c>
      <c r="E14" s="604" t="n">
        <v>636056000</v>
      </c>
      <c r="F14" s="633">
        <f>IF(E14=0,"",E14/E$11)</f>
        <v>0.516769996657808</v>
      </c>
      <c r="G14" s="604" t="n">
        <v>0</v>
      </c>
      <c r="H14" s="633">
        <f>IF(G14=0,"",G14/G$11)</f>
      </c>
      <c r="I14" s="604" t="n"/>
      <c r="J14" s="633">
        <f>IF(I14=0,"",I14/I$11)</f>
      </c>
      <c r="K14" s="604" t="n"/>
      <c r="L14" s="633">
        <f>IF(K14=0,"",K14/K$11)</f>
      </c>
    </row>
    <row r="15" ht="22.5" customHeight="1" s="594">
      <c r="B15" s="210" t="inlineStr">
        <is>
          <t>期末商品棚卸高</t>
        </is>
      </c>
      <c r="C15" s="604" t="n">
        <v>-8732000</v>
      </c>
      <c r="D15" s="633">
        <f>IF(C15=0,"",C15/C$11)</f>
        <v>-0.0227728381411845</v>
      </c>
      <c r="E15" s="604" t="n">
        <v>-8732000</v>
      </c>
      <c r="F15" s="633">
        <f>IF(E15=0,"",E15/E$11)</f>
        <v>-0.00709439988116766</v>
      </c>
      <c r="G15" s="604" t="n">
        <v>-8532000</v>
      </c>
      <c r="H15" s="633">
        <f>IF(G15=0,"",G15/G$11)</f>
        <v>-0.0267177411005418</v>
      </c>
      <c r="I15" s="604" t="n"/>
      <c r="J15" s="633">
        <f>IF(I15=0,"",I15/I$11)</f>
      </c>
      <c r="K15" s="604" t="n"/>
      <c r="L15" s="633">
        <f>IF(K15=0,"",K15/K$11)</f>
      </c>
    </row>
    <row r="16" ht="22.5" customHeight="1" s="594">
      <c r="B16" s="209" t="inlineStr">
        <is>
          <t>売上原価</t>
        </is>
      </c>
      <c r="C16" s="637">
        <f>SUM(C12:C15)</f>
        <v>104842467</v>
      </c>
      <c r="D16" s="638">
        <f>IF(C16=0,"",C16/C$11)</f>
        <v>0.273426538171493</v>
      </c>
      <c r="E16" s="637">
        <f>SUM(E12:E15)</f>
        <v>736922136</v>
      </c>
      <c r="F16" s="638">
        <f>IF(E16=0,"",E16/E$11)</f>
        <v>0.598719687822746</v>
      </c>
      <c r="G16" s="637">
        <f>SUM(G12:G15)</f>
        <v>96206124</v>
      </c>
      <c r="H16" s="638">
        <f>IF(G16=0,"",G16/G$11)</f>
        <v>0.301267031565708</v>
      </c>
      <c r="I16" s="637">
        <f>SUM(I12:I15)</f>
        <v>0</v>
      </c>
      <c r="J16" s="638">
        <f>IF(I16=0,"",I16/I$11)</f>
      </c>
      <c r="K16" s="637">
        <f>SUM(K12:K15)</f>
        <v>0</v>
      </c>
      <c r="L16" s="638">
        <f>IF(K16=0,"",K16/K$11)</f>
      </c>
    </row>
    <row r="17" ht="22.5" customHeight="1" s="594">
      <c r="B17" s="212" t="inlineStr">
        <is>
          <t>売上総利益</t>
        </is>
      </c>
      <c r="C17" s="635">
        <f>C11-C16</f>
        <v>278596784</v>
      </c>
      <c r="D17" s="636">
        <f>IF(C17=0,"",C17/C$11)</f>
        <v>0.726573461828508</v>
      </c>
      <c r="E17" s="635">
        <f>E11-E16</f>
        <v>493907835</v>
      </c>
      <c r="F17" s="636">
        <f>IF(E17=0,"",E17/E$11)</f>
        <v>0.401280312177254</v>
      </c>
      <c r="G17" s="635">
        <f>G11-G16</f>
        <v>223132250</v>
      </c>
      <c r="H17" s="636">
        <f>IF(G17=0,"",G17/G$11)</f>
        <v>0.698732968434292</v>
      </c>
      <c r="I17" s="635">
        <f>I11-I16</f>
        <v>0</v>
      </c>
      <c r="J17" s="636">
        <f>IF(I17=0,"",I17/I$11)</f>
      </c>
      <c r="K17" s="635">
        <f>K11-K16</f>
        <v>0</v>
      </c>
      <c r="L17" s="636">
        <f>IF(K17=0,"",K17/K$11)</f>
      </c>
    </row>
    <row r="18" ht="22.5" customHeight="1" s="594">
      <c r="B18" s="209" t="inlineStr">
        <is>
          <t>販売費及び一般管理費</t>
        </is>
      </c>
      <c r="C18" s="639">
        <f>SGA!C40</f>
        <v>283551728</v>
      </c>
      <c r="D18" s="640">
        <f>IF(C18=0,"",C18/C$11)</f>
        <v>0.739495832157256</v>
      </c>
      <c r="E18" s="639">
        <f>SGA!E40</f>
        <v>273060341</v>
      </c>
      <c r="F18" s="640">
        <f>IF(E18=0,"",E18/E$11)</f>
        <v>0.221850578417545</v>
      </c>
      <c r="G18" s="639">
        <f>SGA!G40</f>
        <v>222261444</v>
      </c>
      <c r="H18" s="640">
        <f>IF(G18=0,"",G18/G$11)</f>
        <v>0.696006061582815</v>
      </c>
      <c r="I18" s="639">
        <f>SGA!I40</f>
        <v>0</v>
      </c>
      <c r="J18" s="640">
        <f>IF(I18=0,"",I18/I$11)</f>
      </c>
      <c r="K18" s="639">
        <f>SGA!K40</f>
        <v>0</v>
      </c>
      <c r="L18" s="640">
        <f>IF(K18=0,"",K18/K$11)</f>
      </c>
    </row>
    <row r="19" ht="22.5" customHeight="1" s="594">
      <c r="B19" s="212" t="inlineStr">
        <is>
          <t>営業利益</t>
        </is>
      </c>
      <c r="C19" s="635">
        <f>C17- C18</f>
        <v>-4954944</v>
      </c>
      <c r="D19" s="636">
        <f>IF(C19=0,"",C19/C$11)</f>
        <v>-0.0129223703287486</v>
      </c>
      <c r="E19" s="635">
        <f>E17- E18</f>
        <v>220847494</v>
      </c>
      <c r="F19" s="636">
        <f>IF(E19=0,"",E19/E$11)</f>
        <v>0.179429733759709</v>
      </c>
      <c r="G19" s="635">
        <f>G17- G18</f>
        <v>870806</v>
      </c>
      <c r="H19" s="636">
        <f>IF(G19=0,"",G19/G$11)</f>
        <v>0.00272690685147661</v>
      </c>
      <c r="I19" s="635">
        <f>I17- I18</f>
        <v>0</v>
      </c>
      <c r="J19" s="636">
        <f>IF(I19=0,"",I19/I$11)</f>
      </c>
      <c r="K19" s="635">
        <f>K17- K18</f>
        <v>0</v>
      </c>
      <c r="L19" s="636">
        <f>IF(K19=0,"",K19/K$11)</f>
      </c>
    </row>
    <row r="20" ht="22.5" customHeight="1" s="594">
      <c r="B20" s="209" t="inlineStr">
        <is>
          <t>営業外収益</t>
        </is>
      </c>
      <c r="C20" s="639">
        <f>SUM(C21:C27)</f>
        <v>416337</v>
      </c>
      <c r="D20" s="640">
        <f>IF(C20=0,"",C20/C$11)</f>
        <v>0.00108579650861043</v>
      </c>
      <c r="E20" s="639">
        <f>SUM(E21:E27)</f>
        <v>2887886</v>
      </c>
      <c r="F20" s="640">
        <f>IF(E20=0,"",E20/E$11)</f>
        <v>0.00234629158213763</v>
      </c>
      <c r="G20" s="639">
        <f>SUM(G21:G27)</f>
        <v>2924950</v>
      </c>
      <c r="H20" s="640">
        <f>IF(G20=0,"",G20/G$11)</f>
        <v>0.00915940656727964</v>
      </c>
      <c r="I20" s="639">
        <f>SUM(I21:I27)</f>
        <v>0</v>
      </c>
      <c r="J20" s="640">
        <f>IF(I20=0,"",I20/I$11)</f>
      </c>
      <c r="K20" s="639">
        <f>SUM(K21:K27)</f>
        <v>0</v>
      </c>
      <c r="L20" s="640">
        <f>IF(K20=0,"",K20/K$11)</f>
      </c>
    </row>
    <row r="21" ht="22.5" customHeight="1" s="594">
      <c r="B21" s="213" t="inlineStr">
        <is>
          <t>受取利息</t>
        </is>
      </c>
      <c r="C21" s="604" t="n">
        <v>1507</v>
      </c>
      <c r="D21" s="633">
        <f>IF(C21=0,"",C21/C$11)</f>
        <v>3.9302184011412e-06</v>
      </c>
      <c r="E21" s="604" t="n">
        <v>7617</v>
      </c>
      <c r="F21" s="633">
        <f>IF(E21=0,"",E21/E$11)</f>
        <v>6.18850708827922e-06</v>
      </c>
      <c r="G21" s="604" t="n">
        <v>618278</v>
      </c>
      <c r="H21" s="633">
        <f>IF(G21=0,"",G21/G$11)</f>
        <v>0.00193612183921247</v>
      </c>
      <c r="I21" s="604" t="n"/>
      <c r="J21" s="633">
        <f>IF(I21=0,"",I21/I$11)</f>
      </c>
      <c r="K21" s="604" t="n"/>
      <c r="L21" s="633">
        <f>IF(K21=0,"",K21/K$11)</f>
      </c>
    </row>
    <row r="22" ht="22.5" customHeight="1" s="594">
      <c r="B22" s="215" t="inlineStr">
        <is>
          <t>雑収入</t>
        </is>
      </c>
      <c r="C22" s="604" t="n">
        <v>414830</v>
      </c>
      <c r="D22" s="633">
        <f>IF(C22=0,"",C22/C$11)</f>
        <v>0.00108186629020929</v>
      </c>
      <c r="E22" s="604" t="n">
        <v>2880269</v>
      </c>
      <c r="F22" s="633">
        <f>IF(E22=0,"",E22/E$11)</f>
        <v>0.00234010307504935</v>
      </c>
      <c r="G22" s="604" t="n">
        <v>2306672</v>
      </c>
      <c r="H22" s="633">
        <f>IF(G22=0,"",G22/G$11)</f>
        <v>0.00722328472806716</v>
      </c>
      <c r="I22" s="604" t="n"/>
      <c r="J22" s="633">
        <f>IF(I22=0,"",I22/I$11)</f>
      </c>
      <c r="K22" s="604" t="n"/>
      <c r="L22" s="633">
        <f>IF(K22=0,"",K22/K$11)</f>
      </c>
    </row>
    <row r="23" ht="22.5" customHeight="1" s="594">
      <c r="B23" s="215" t="n"/>
      <c r="C23" s="604" t="n"/>
      <c r="D23" s="633" t="n"/>
      <c r="E23" s="604" t="n"/>
      <c r="F23" s="633" t="n"/>
      <c r="G23" s="604" t="n"/>
      <c r="H23" s="633" t="n"/>
      <c r="I23" s="604" t="n"/>
      <c r="J23" s="633" t="n"/>
      <c r="K23" s="604" t="n"/>
      <c r="L23" s="633" t="n"/>
    </row>
    <row r="24" ht="22.5" customHeight="1" s="594">
      <c r="B24" s="215" t="n"/>
      <c r="C24" s="604" t="n"/>
      <c r="D24" s="633" t="n"/>
      <c r="E24" s="604" t="n"/>
      <c r="F24" s="633" t="n"/>
      <c r="G24" s="604" t="n"/>
      <c r="H24" s="633" t="n"/>
      <c r="I24" s="604" t="n"/>
      <c r="J24" s="633" t="n"/>
      <c r="K24" s="604" t="n"/>
      <c r="L24" s="633" t="n"/>
    </row>
    <row r="25" ht="22.5" customHeight="1" s="594">
      <c r="B25" s="215" t="n"/>
      <c r="C25" s="604" t="n"/>
      <c r="D25" s="633">
        <f>IF(C25=0,"",C25/C$11)</f>
      </c>
      <c r="E25" s="604" t="n"/>
      <c r="F25" s="633">
        <f>IF(E25=0,"",E25/E$11)</f>
      </c>
      <c r="G25" s="604" t="n"/>
      <c r="H25" s="633">
        <f>IF(G25=0,"",G25/G$11)</f>
      </c>
      <c r="I25" s="604" t="n"/>
      <c r="J25" s="633">
        <f>IF(I25=0,"",I25/I$11)</f>
      </c>
      <c r="K25" s="604" t="n"/>
      <c r="L25" s="633">
        <f>IF(K25=0,"",K25/K$11)</f>
      </c>
    </row>
    <row r="26" ht="22.5" customHeight="1" s="594">
      <c r="B26" s="215" t="n"/>
      <c r="C26" s="604" t="n"/>
      <c r="D26" s="633">
        <f>IF(C26=0,"",C26/C$11)</f>
      </c>
      <c r="E26" s="604" t="n"/>
      <c r="F26" s="633">
        <f>IF(E26=0,"",E26/E$11)</f>
      </c>
      <c r="G26" s="604" t="n"/>
      <c r="H26" s="633">
        <f>IF(G26=0,"",G26/G$11)</f>
      </c>
      <c r="I26" s="604" t="n"/>
      <c r="J26" s="633">
        <f>IF(I26=0,"",I26/I$11)</f>
      </c>
      <c r="K26" s="604" t="n"/>
      <c r="L26" s="633">
        <f>IF(K26=0,"",K26/K$11)</f>
      </c>
    </row>
    <row r="27" ht="22.5" customHeight="1" s="594">
      <c r="B27" s="214" t="n"/>
      <c r="C27" s="606" t="n"/>
      <c r="D27" s="634">
        <f>IF(C27=0,"",C27/C$11)</f>
      </c>
      <c r="E27" s="606" t="n"/>
      <c r="F27" s="634">
        <f>IF(E27=0,"",E27/E$11)</f>
      </c>
      <c r="G27" s="606" t="n"/>
      <c r="H27" s="634">
        <f>IF(G27=0,"",G27/G$11)</f>
      </c>
      <c r="I27" s="606" t="n"/>
      <c r="J27" s="634">
        <f>IF(I27=0,"",I27/I$11)</f>
      </c>
      <c r="K27" s="606" t="n"/>
      <c r="L27" s="634">
        <f>IF(K27=0,"",K27/K$11)</f>
      </c>
    </row>
    <row r="28" ht="22.5" customHeight="1" s="594">
      <c r="B28" s="209" t="inlineStr">
        <is>
          <t>営業外費用</t>
        </is>
      </c>
      <c r="C28" s="639">
        <f>SUM(C29:C35)</f>
        <v>2751745</v>
      </c>
      <c r="D28" s="640">
        <f>IF(C28=0,"",C28/C$11)</f>
        <v>0.00717648230540697</v>
      </c>
      <c r="E28" s="639">
        <f>SUM(E29:E35)</f>
        <v>12167614</v>
      </c>
      <c r="F28" s="640">
        <f>IF(E28=0,"",E28/E$11)</f>
        <v>0.00988569850156826</v>
      </c>
      <c r="G28" s="639">
        <f>SUM(G29:G35)</f>
        <v>3215177</v>
      </c>
      <c r="H28" s="640">
        <f>IF(G28=0,"",G28/G$11)</f>
        <v>0.0100682450396644</v>
      </c>
      <c r="I28" s="639">
        <f>SUM(I29:I35)</f>
        <v>0</v>
      </c>
      <c r="J28" s="640">
        <f>IF(I28=0,"",I28/I$11)</f>
      </c>
      <c r="K28" s="639">
        <f>SUM(K29:K35)</f>
        <v>0</v>
      </c>
      <c r="L28" s="640">
        <f>IF(K28=0,"",K28/K$11)</f>
      </c>
    </row>
    <row r="29" ht="22.5" customHeight="1" s="594">
      <c r="B29" s="213" t="inlineStr">
        <is>
          <t>支払利息</t>
        </is>
      </c>
      <c r="C29" s="604" t="n">
        <v>2647993</v>
      </c>
      <c r="D29" s="633">
        <f>IF(C29=0,"",C29/C$11)</f>
        <v>0.00690589967796489</v>
      </c>
      <c r="E29" s="604" t="n">
        <v>3319038</v>
      </c>
      <c r="F29" s="633">
        <f>IF(E29=0,"",E29/E$11)</f>
        <v>0.00269658529463937</v>
      </c>
      <c r="G29" s="604" t="n">
        <v>3189615</v>
      </c>
      <c r="H29" s="633">
        <f>IF(G29=0,"",G29/G$11)</f>
        <v>0.00998819828649845</v>
      </c>
      <c r="I29" s="604" t="n"/>
      <c r="J29" s="633">
        <f>IF(I29=0,"",I29/I$11)</f>
      </c>
      <c r="K29" s="604" t="n"/>
      <c r="L29" s="633">
        <f>IF(K29=0,"",K29/K$11)</f>
      </c>
    </row>
    <row r="30" ht="22.5" customHeight="1" s="594">
      <c r="B30" s="213" t="inlineStr">
        <is>
          <t>雑損失</t>
        </is>
      </c>
      <c r="C30" s="604" t="n">
        <v>103752</v>
      </c>
      <c r="D30" s="633" t="n"/>
      <c r="E30" s="604" t="n">
        <v>8848576</v>
      </c>
      <c r="F30" s="633" t="n"/>
      <c r="G30" s="604" t="n">
        <v>25562</v>
      </c>
      <c r="H30" s="633" t="n"/>
      <c r="I30" s="604" t="n"/>
      <c r="J30" s="633" t="n"/>
      <c r="K30" s="604" t="n"/>
      <c r="L30" s="633" t="n"/>
    </row>
    <row r="31" ht="22.5" customHeight="1" s="594">
      <c r="B31" s="215" t="n"/>
      <c r="C31" s="604" t="n"/>
      <c r="D31" s="633" t="n"/>
      <c r="E31" s="604" t="n"/>
      <c r="F31" s="633" t="n"/>
      <c r="G31" s="604" t="n"/>
      <c r="H31" s="633" t="n"/>
      <c r="I31" s="604" t="n"/>
      <c r="J31" s="633" t="n"/>
      <c r="K31" s="604" t="n"/>
      <c r="L31" s="633" t="n"/>
    </row>
    <row r="32" ht="22.5" customHeight="1" s="594">
      <c r="B32" s="215" t="n"/>
      <c r="C32" s="604" t="n"/>
      <c r="D32" s="633">
        <f>IF(C32=0,"",C32/C$11)</f>
      </c>
      <c r="E32" s="604" t="n"/>
      <c r="F32" s="633">
        <f>IF(E32=0,"",E32/E$11)</f>
      </c>
      <c r="G32" s="604" t="n"/>
      <c r="H32" s="633">
        <f>IF(G32=0,"",G32/G$11)</f>
      </c>
      <c r="I32" s="604" t="n"/>
      <c r="J32" s="633">
        <f>IF(I32=0,"",I32/I$11)</f>
      </c>
      <c r="K32" s="604" t="n"/>
      <c r="L32" s="633">
        <f>IF(K32=0,"",K32/K$11)</f>
      </c>
    </row>
    <row r="33" ht="22.5" customHeight="1" s="594">
      <c r="B33" s="215" t="n"/>
      <c r="C33" s="604" t="n"/>
      <c r="D33" s="633">
        <f>IF(C33=0,"",C33/C$11)</f>
      </c>
      <c r="E33" s="604" t="n"/>
      <c r="F33" s="633">
        <f>IF(E33=0,"",E33/E$11)</f>
      </c>
      <c r="G33" s="604" t="n"/>
      <c r="H33" s="633">
        <f>IF(G33=0,"",G33/G$11)</f>
      </c>
      <c r="I33" s="604" t="n"/>
      <c r="J33" s="633">
        <f>IF(I33=0,"",I33/I$11)</f>
      </c>
      <c r="K33" s="604" t="n"/>
      <c r="L33" s="633">
        <f>IF(K33=0,"",K33/K$11)</f>
      </c>
    </row>
    <row r="34" ht="22.5" customHeight="1" s="594">
      <c r="B34" s="215" t="n"/>
      <c r="C34" s="604" t="n"/>
      <c r="D34" s="633">
        <f>IF(C34=0,"",C34/C$11)</f>
      </c>
      <c r="E34" s="604" t="n"/>
      <c r="F34" s="633">
        <f>IF(E34=0,"",E34/E$11)</f>
      </c>
      <c r="G34" s="604" t="n"/>
      <c r="H34" s="633">
        <f>IF(G34=0,"",G34/G$11)</f>
      </c>
      <c r="I34" s="604" t="n"/>
      <c r="J34" s="633">
        <f>IF(I34=0,"",I34/I$11)</f>
      </c>
      <c r="K34" s="604" t="n"/>
      <c r="L34" s="633">
        <f>IF(K34=0,"",K34/K$11)</f>
      </c>
    </row>
    <row r="35" ht="22.5" customHeight="1" s="594">
      <c r="B35" s="214" t="n"/>
      <c r="C35" s="606" t="n"/>
      <c r="D35" s="634">
        <f>IF(C35=0,"",C35/C$11)</f>
      </c>
      <c r="E35" s="606" t="n"/>
      <c r="F35" s="634">
        <f>IF(E35=0,"",E35/E$11)</f>
      </c>
      <c r="G35" s="606" t="n"/>
      <c r="H35" s="634">
        <f>IF(G35=0,"",G35/G$11)</f>
      </c>
      <c r="I35" s="606" t="n"/>
      <c r="J35" s="634">
        <f>IF(I35=0,"",I35/I$11)</f>
      </c>
      <c r="K35" s="606" t="n"/>
      <c r="L35" s="634">
        <f>IF(K35=0,"",K35/K$11)</f>
      </c>
    </row>
    <row r="36" ht="22.5" customHeight="1" s="594">
      <c r="B36" s="212" t="inlineStr">
        <is>
          <t>経常利益</t>
        </is>
      </c>
      <c r="C36" s="635">
        <f>C19+C20-C28</f>
        <v>-7290352</v>
      </c>
      <c r="D36" s="636">
        <f>IF(C36=0,"",C36/C$11)</f>
        <v>-0.0190130561255452</v>
      </c>
      <c r="E36" s="635">
        <f>E19+E20-E28</f>
        <v>211567766</v>
      </c>
      <c r="F36" s="636">
        <f>IF(E36=0,"",E36/E$11)</f>
        <v>0.171890326840278</v>
      </c>
      <c r="G36" s="635">
        <f>G19+G20-G28</f>
        <v>580579</v>
      </c>
      <c r="H36" s="636">
        <f>IF(G36=0,"",G36/G$11)</f>
        <v>0.00181806837909183</v>
      </c>
      <c r="I36" s="635">
        <f>I19+I20-I28</f>
        <v>0</v>
      </c>
      <c r="J36" s="636">
        <f>IF(I36=0,"",I36/I$11)</f>
      </c>
      <c r="K36" s="635">
        <f>K19+K20-K28</f>
        <v>0</v>
      </c>
      <c r="L36" s="636">
        <f>IF(K36=0,"",K36/K$11)</f>
      </c>
    </row>
    <row r="37" ht="22.5" customHeight="1" s="594">
      <c r="B37" s="209" t="inlineStr">
        <is>
          <t>特別利益</t>
        </is>
      </c>
      <c r="C37" s="637">
        <f>SUM(C38:C43)</f>
        <v>0</v>
      </c>
      <c r="D37" s="638">
        <f>IF(C37=0,"",C37/C$11)</f>
      </c>
      <c r="E37" s="637">
        <f>SUM(E38:E43)</f>
        <v>0</v>
      </c>
      <c r="F37" s="638">
        <f>IF(E37=0,"",E37/E$11)</f>
      </c>
      <c r="G37" s="637">
        <f>SUM(G38:G43)</f>
        <v>0</v>
      </c>
      <c r="H37" s="638">
        <f>IF(G37=0,"",G37/G$11)</f>
      </c>
      <c r="I37" s="637">
        <f>SUM(I38:I43)</f>
        <v>0</v>
      </c>
      <c r="J37" s="638">
        <f>IF(I37=0,"",I37/I$11)</f>
      </c>
      <c r="K37" s="637">
        <f>SUM(K38:K43)</f>
        <v>0</v>
      </c>
      <c r="L37" s="638">
        <f>IF(K37=0,"",K37/K$11)</f>
      </c>
    </row>
    <row r="38" ht="22.5" customHeight="1" s="594">
      <c r="B38" s="215" t="inlineStr">
        <is>
          <t>貸倒引当金戻入額</t>
        </is>
      </c>
      <c r="C38" s="604" t="n"/>
      <c r="D38" s="633">
        <f>IF(C38=0,"",C38/C$11)</f>
      </c>
      <c r="E38" s="604" t="n"/>
      <c r="F38" s="633">
        <f>IF(E38=0,"",E38/E$11)</f>
      </c>
      <c r="G38" s="604" t="n"/>
      <c r="H38" s="633">
        <f>IF(G38=0,"",G38/G$11)</f>
      </c>
      <c r="I38" s="604" t="n"/>
      <c r="J38" s="633">
        <f>IF(I38=0,"",I38/I$11)</f>
      </c>
      <c r="K38" s="604" t="n"/>
      <c r="L38" s="633">
        <f>IF(K38=0,"",K38/K$11)</f>
      </c>
    </row>
    <row r="39" ht="22.5" customHeight="1" s="594">
      <c r="B39" s="215" t="inlineStr">
        <is>
          <t>補助金収入</t>
        </is>
      </c>
      <c r="C39" s="604" t="n"/>
      <c r="D39" s="633">
        <f>IF(C39=0,"",C39/C$11)</f>
      </c>
      <c r="E39" s="604" t="n"/>
      <c r="F39" s="633">
        <f>IF(E39=0,"",E39/E$11)</f>
      </c>
      <c r="G39" s="604" t="n"/>
      <c r="H39" s="633">
        <f>IF(G39=0,"",G39/G$11)</f>
      </c>
      <c r="I39" s="604" t="n"/>
      <c r="J39" s="633">
        <f>IF(I39=0,"",I39/I$11)</f>
      </c>
      <c r="K39" s="604" t="n"/>
      <c r="L39" s="633">
        <f>IF(K39=0,"",K39/K$11)</f>
      </c>
    </row>
    <row r="40" ht="22.5" customHeight="1" s="594">
      <c r="B40" s="215" t="n"/>
      <c r="C40" s="604" t="n"/>
      <c r="D40" s="633" t="n"/>
      <c r="E40" s="604" t="n"/>
      <c r="F40" s="633" t="n"/>
      <c r="G40" s="604" t="n"/>
      <c r="H40" s="633" t="n"/>
      <c r="I40" s="604" t="n"/>
      <c r="J40" s="633" t="n"/>
      <c r="K40" s="604" t="n"/>
      <c r="L40" s="633" t="n"/>
    </row>
    <row r="41" ht="22.5" customHeight="1" s="594">
      <c r="B41" s="215" t="n"/>
      <c r="C41" s="604" t="n"/>
      <c r="D41" s="633" t="n"/>
      <c r="E41" s="604" t="n"/>
      <c r="F41" s="633" t="n"/>
      <c r="G41" s="604" t="n"/>
      <c r="H41" s="633" t="n"/>
      <c r="I41" s="604" t="n"/>
      <c r="J41" s="633" t="n"/>
      <c r="K41" s="604" t="n"/>
      <c r="L41" s="633" t="n"/>
    </row>
    <row r="42" ht="22.5" customHeight="1" s="594">
      <c r="B42" s="215" t="n"/>
      <c r="C42" s="604" t="n"/>
      <c r="D42" s="633">
        <f>IF(C42=0,"",C42/C$11)</f>
      </c>
      <c r="E42" s="604" t="n"/>
      <c r="F42" s="633">
        <f>IF(E42=0,"",E42/E$11)</f>
      </c>
      <c r="G42" s="604" t="n"/>
      <c r="H42" s="633">
        <f>IF(G42=0,"",G42/G$11)</f>
      </c>
      <c r="I42" s="604" t="n"/>
      <c r="J42" s="633">
        <f>IF(I42=0,"",I42/I$11)</f>
      </c>
      <c r="K42" s="604" t="n"/>
      <c r="L42" s="633">
        <f>IF(K42=0,"",K42/K$11)</f>
      </c>
    </row>
    <row r="43" ht="22.5" customHeight="1" s="594">
      <c r="B43" s="214" t="n"/>
      <c r="C43" s="606" t="n"/>
      <c r="D43" s="634">
        <f>IF(C43=0,"",C43/C$11)</f>
      </c>
      <c r="E43" s="606" t="n"/>
      <c r="F43" s="634">
        <f>IF(E43=0,"",E43/E$11)</f>
      </c>
      <c r="G43" s="606" t="n"/>
      <c r="H43" s="634">
        <f>IF(G43=0,"",G43/G$11)</f>
      </c>
      <c r="I43" s="606" t="n"/>
      <c r="J43" s="634">
        <f>IF(I43=0,"",I43/I$11)</f>
      </c>
      <c r="K43" s="606" t="n"/>
      <c r="L43" s="634">
        <f>IF(K43=0,"",K43/K$11)</f>
      </c>
    </row>
    <row r="44" ht="22.5" customHeight="1" s="594">
      <c r="B44" s="209" t="inlineStr">
        <is>
          <t>特別損失</t>
        </is>
      </c>
      <c r="C44" s="637">
        <f>SUM(C45:C50)</f>
        <v>0</v>
      </c>
      <c r="D44" s="640">
        <f>IF(C44=0,"",C44/C$11)</f>
      </c>
      <c r="E44" s="637">
        <f>SUM(E45:E50)</f>
        <v>81258050</v>
      </c>
      <c r="F44" s="640">
        <f>IF(E44=0,"",E44/E$11)</f>
        <v>0.0660189074970129</v>
      </c>
      <c r="G44" s="637">
        <f>SUM(G45:G50)</f>
        <v>0</v>
      </c>
      <c r="H44" s="640">
        <f>IF(G44=0,"",G44/G$11)</f>
      </c>
      <c r="I44" s="637">
        <f>SUM(I45:I50)</f>
        <v>0</v>
      </c>
      <c r="J44" s="640">
        <f>IF(I44=0,"",I44/I$11)</f>
      </c>
      <c r="K44" s="637">
        <f>SUM(K45:K50)</f>
        <v>0</v>
      </c>
      <c r="L44" s="640">
        <f>IF(K44=0,"",K44/K$11)</f>
      </c>
    </row>
    <row r="45" ht="22.5" customHeight="1" s="594">
      <c r="B45" s="213" t="inlineStr">
        <is>
          <t>固定資産除却損</t>
        </is>
      </c>
      <c r="C45" s="604" t="n">
        <v>0</v>
      </c>
      <c r="D45" s="633">
        <f>IF(C45=0,"",C45/C$11)</f>
      </c>
      <c r="E45" s="604" t="n">
        <v>81258050</v>
      </c>
      <c r="F45" s="633">
        <f>IF(E45=0,"",E45/E$11)</f>
        <v>0.0660189074970129</v>
      </c>
      <c r="G45" s="604" t="n">
        <v>0</v>
      </c>
      <c r="H45" s="633">
        <f>IF(G45=0,"",G45/G$11)</f>
      </c>
      <c r="I45" s="604" t="n"/>
      <c r="J45" s="633">
        <f>IF(I45=0,"",I45/I$11)</f>
      </c>
      <c r="K45" s="604" t="n"/>
      <c r="L45" s="633">
        <f>IF(K45=0,"",K45/K$11)</f>
      </c>
    </row>
    <row r="46" ht="22.5" customHeight="1" s="594">
      <c r="B46" s="215" t="inlineStr">
        <is>
          <t>役員死亡退職慰労金</t>
        </is>
      </c>
      <c r="C46" s="604" t="n"/>
      <c r="D46" s="633">
        <f>IF(C46=0,"",C46/C$11)</f>
      </c>
      <c r="E46" s="604" t="n"/>
      <c r="F46" s="633">
        <f>IF(E46=0,"",E46/E$11)</f>
      </c>
      <c r="G46" s="604" t="n"/>
      <c r="H46" s="633">
        <f>IF(G46=0,"",G46/G$11)</f>
      </c>
      <c r="I46" s="604" t="n"/>
      <c r="J46" s="633">
        <f>IF(I46=0,"",I46/I$11)</f>
      </c>
      <c r="K46" s="604" t="n"/>
      <c r="L46" s="633">
        <f>IF(K46=0,"",K46/K$11)</f>
      </c>
    </row>
    <row r="47" ht="22.5" customHeight="1" s="594">
      <c r="B47" s="215" t="n"/>
      <c r="C47" s="604" t="n"/>
      <c r="D47" s="633" t="n"/>
      <c r="E47" s="604" t="n"/>
      <c r="F47" s="633" t="n"/>
      <c r="G47" s="604" t="n"/>
      <c r="H47" s="633" t="n"/>
      <c r="I47" s="604" t="n"/>
      <c r="J47" s="633" t="n"/>
      <c r="K47" s="604" t="n"/>
      <c r="L47" s="633" t="n"/>
    </row>
    <row r="48" ht="22.5" customHeight="1" s="594">
      <c r="B48" s="215" t="n"/>
      <c r="C48" s="604" t="n"/>
      <c r="D48" s="633" t="n"/>
      <c r="E48" s="604" t="n"/>
      <c r="F48" s="633" t="n"/>
      <c r="G48" s="604" t="n"/>
      <c r="H48" s="633" t="n"/>
      <c r="I48" s="604" t="n"/>
      <c r="J48" s="633" t="n"/>
      <c r="K48" s="604" t="n"/>
      <c r="L48" s="633" t="n"/>
    </row>
    <row r="49" ht="22.5" customHeight="1" s="594">
      <c r="B49" s="215" t="n"/>
      <c r="C49" s="604" t="n"/>
      <c r="D49" s="633">
        <f>IF(C49=0,"",C49/C$11)</f>
      </c>
      <c r="E49" s="604" t="n"/>
      <c r="F49" s="633">
        <f>IF(E49=0,"",E49/E$11)</f>
      </c>
      <c r="G49" s="604" t="n"/>
      <c r="H49" s="633">
        <f>IF(G49=0,"",G49/G$11)</f>
      </c>
      <c r="I49" s="604" t="n"/>
      <c r="J49" s="633">
        <f>IF(I49=0,"",I49/I$11)</f>
      </c>
      <c r="K49" s="604" t="n"/>
      <c r="L49" s="633">
        <f>IF(K49=0,"",K49/K$11)</f>
      </c>
    </row>
    <row r="50" ht="22.5" customHeight="1" s="594">
      <c r="B50" s="214" t="n"/>
      <c r="C50" s="606" t="n"/>
      <c r="D50" s="634">
        <f>IF(C50=0,"",C50/C$11)</f>
      </c>
      <c r="E50" s="606" t="n"/>
      <c r="F50" s="634">
        <f>IF(E50=0,"",E50/E$11)</f>
      </c>
      <c r="G50" s="606" t="n"/>
      <c r="H50" s="634">
        <f>IF(G50=0,"",G50/G$11)</f>
      </c>
      <c r="I50" s="606" t="n"/>
      <c r="J50" s="634">
        <f>IF(I50=0,"",I50/I$11)</f>
      </c>
      <c r="K50" s="606" t="n"/>
      <c r="L50" s="634">
        <f>IF(K50=0,"",K50/K$11)</f>
      </c>
    </row>
    <row r="51" ht="22.5" customHeight="1" s="594">
      <c r="B51" s="216" t="inlineStr">
        <is>
          <t>税引前当期純利益</t>
        </is>
      </c>
      <c r="C51" s="635">
        <f>C36+C37-C44</f>
        <v>-7290352</v>
      </c>
      <c r="D51" s="636">
        <f>IF(C51=0,"",C51/C$11)</f>
        <v>-0.0190130561255452</v>
      </c>
      <c r="E51" s="635">
        <f>E36+E37-E44</f>
        <v>130309716</v>
      </c>
      <c r="F51" s="636">
        <f>IF(E51=0,"",E51/E$11)</f>
        <v>0.105871419343265</v>
      </c>
      <c r="G51" s="635">
        <f>G36+G37-G44</f>
        <v>580579</v>
      </c>
      <c r="H51" s="636">
        <f>IF(G51=0,"",G51/G$11)</f>
        <v>0.00181806837909183</v>
      </c>
      <c r="I51" s="635">
        <f>I36+I37-I44</f>
        <v>0</v>
      </c>
      <c r="J51" s="636">
        <f>IF(I51=0,"",I51/I$11)</f>
      </c>
      <c r="K51" s="635">
        <f>K36+K37-K44</f>
        <v>0</v>
      </c>
      <c r="L51" s="636">
        <f>IF(K51=0,"",K51/K$11)</f>
      </c>
    </row>
    <row r="52" ht="22.5" customHeight="1" s="594">
      <c r="B52" s="251" t="inlineStr">
        <is>
          <t>法人税等</t>
        </is>
      </c>
      <c r="C52" s="637">
        <f>SUM(C53:C55)</f>
        <v>194727</v>
      </c>
      <c r="D52" s="638">
        <f>IF(C52=0,"",C52/C$11)</f>
        <v>0.000507843157663585</v>
      </c>
      <c r="E52" s="637">
        <f>SUM(E53:E55)</f>
        <v>21953358</v>
      </c>
      <c r="F52" s="638">
        <f>IF(E52=0,"",E52/E$11)</f>
        <v>0.0178362231317489</v>
      </c>
      <c r="G52" s="637">
        <f>SUM(G53:G55)</f>
        <v>48664083</v>
      </c>
      <c r="H52" s="638">
        <f>IF(G52=0,"",G52/G$11)</f>
        <v>0.152390338782147</v>
      </c>
      <c r="I52" s="637">
        <f>SUM(I53:I55)</f>
        <v>0</v>
      </c>
      <c r="J52" s="638">
        <f>IF(I52=0,"",I52/I$11)</f>
      </c>
      <c r="K52" s="637">
        <f>SUM(K53:K55)</f>
        <v>0</v>
      </c>
      <c r="L52" s="638">
        <f>IF(K52=0,"",K52/K$11)</f>
      </c>
    </row>
    <row r="53" ht="22.5" customHeight="1" s="594">
      <c r="B53" s="215" t="inlineStr">
        <is>
          <t>法人税・住民税及び事業税（当期分）</t>
        </is>
      </c>
      <c r="C53" s="604" t="n">
        <v>194727</v>
      </c>
      <c r="D53" s="633">
        <f>IF(C53=0,"",C53/C$11)</f>
        <v>0.000507843157663585</v>
      </c>
      <c r="E53" s="604" t="n">
        <v>21953358</v>
      </c>
      <c r="F53" s="633">
        <f>IF(E53=0,"",E53/E$11)</f>
        <v>0.0178362231317489</v>
      </c>
      <c r="G53" s="604" t="n">
        <v>289183</v>
      </c>
      <c r="H53" s="633">
        <f>IF(G53=0,"",G53/G$11)</f>
        <v>0.000905569212925222</v>
      </c>
      <c r="I53" s="604" t="n"/>
      <c r="J53" s="633">
        <f>IF(I53=0,"",I53/I$11)</f>
      </c>
      <c r="K53" s="604" t="n"/>
      <c r="L53" s="633">
        <f>IF(K53=0,"",K53/K$11)</f>
      </c>
    </row>
    <row r="54" ht="22.5" customHeight="1" s="594">
      <c r="B54" s="215" t="inlineStr">
        <is>
          <t>過年度法人税等</t>
        </is>
      </c>
      <c r="C54" s="604" t="n">
        <v>0</v>
      </c>
      <c r="D54" s="633" t="n"/>
      <c r="E54" s="604" t="n">
        <v>0</v>
      </c>
      <c r="F54" s="633" t="n"/>
      <c r="G54" s="604" t="n">
        <v>48374900</v>
      </c>
      <c r="H54" s="633" t="n"/>
      <c r="I54" s="604" t="n"/>
      <c r="J54" s="633" t="n"/>
      <c r="K54" s="604" t="n"/>
      <c r="L54" s="633" t="n"/>
    </row>
    <row r="55" ht="22.5" customHeight="1" s="594">
      <c r="B55" s="217" t="n"/>
      <c r="C55" s="606" t="n"/>
      <c r="D55" s="634">
        <f>IF(C55=0,"",C55/C$11)</f>
      </c>
      <c r="E55" s="606" t="n"/>
      <c r="F55" s="634">
        <f>IF(E55=0,"",E55/E$11)</f>
      </c>
      <c r="G55" s="606" t="n"/>
      <c r="H55" s="634">
        <f>IF(G55=0,"",G55/G$11)</f>
      </c>
      <c r="I55" s="606" t="n"/>
      <c r="J55" s="634">
        <f>IF(I55=0,"",I55/I$11)</f>
      </c>
      <c r="K55" s="606" t="n"/>
      <c r="L55" s="634">
        <f>IF(K55=0,"",K55/K$11)</f>
      </c>
    </row>
    <row r="56" ht="22.5" customHeight="1" s="594">
      <c r="B56" s="216" t="inlineStr">
        <is>
          <t>税引後当期純利益</t>
        </is>
      </c>
      <c r="C56" s="635">
        <f>C51-C52</f>
        <v>-7485079</v>
      </c>
      <c r="D56" s="636">
        <f>IF(C56=0,"",C56/C$11)</f>
        <v>-0.0195208992832088</v>
      </c>
      <c r="E56" s="635">
        <f>E51-E52</f>
        <v>108356358</v>
      </c>
      <c r="F56" s="636">
        <f>IF(E56=0,"",E56/E$11)</f>
        <v>0.0880351962115164</v>
      </c>
      <c r="G56" s="635">
        <f>G51-G52</f>
        <v>-48083504</v>
      </c>
      <c r="H56" s="636">
        <f>IF(G56=0,"",G56/G$11)</f>
        <v>-0.150572270403055</v>
      </c>
      <c r="I56" s="635">
        <f>I51-I52</f>
        <v>0</v>
      </c>
      <c r="J56" s="636">
        <f>IF(I56=0,"",I56/I$11)</f>
      </c>
      <c r="K56" s="635">
        <f>K51-K52</f>
        <v>0</v>
      </c>
      <c r="L56" s="636">
        <f>IF(K56=0,"",K56/K$11)</f>
      </c>
    </row>
    <row r="57">
      <c r="C57" s="609" t="n"/>
      <c r="D57" s="641" t="n"/>
      <c r="E57" s="609" t="n"/>
      <c r="F57" s="641" t="n"/>
      <c r="G57" s="609" t="n"/>
      <c r="H57" s="642" t="n"/>
      <c r="I57" s="629" t="n"/>
      <c r="J57" s="641" t="n"/>
      <c r="K57" s="609" t="n"/>
      <c r="L57" s="641" t="n"/>
    </row>
    <row r="58">
      <c r="C58" s="609" t="n"/>
      <c r="D58" s="641" t="n"/>
      <c r="E58" s="609" t="n"/>
      <c r="F58" s="641" t="n"/>
      <c r="G58" s="609" t="n"/>
      <c r="H58" s="642" t="n"/>
      <c r="I58" s="629" t="n"/>
      <c r="J58" s="641" t="n"/>
      <c r="K58" s="609" t="n"/>
      <c r="L58" s="641" t="n"/>
    </row>
    <row r="59">
      <c r="C59" s="609" t="n"/>
      <c r="D59" s="641" t="n"/>
      <c r="E59" s="609" t="n"/>
      <c r="F59" s="641" t="n"/>
      <c r="G59" s="609" t="n"/>
      <c r="H59" s="642" t="n"/>
      <c r="I59" s="629" t="n"/>
      <c r="J59" s="641" t="n"/>
      <c r="K59" s="609" t="n"/>
      <c r="L59" s="641" t="n"/>
    </row>
    <row r="60">
      <c r="C60" s="609" t="n"/>
      <c r="D60" s="641" t="n"/>
      <c r="E60" s="609" t="n"/>
      <c r="F60" s="641" t="n"/>
      <c r="G60" s="609" t="n"/>
      <c r="H60" s="642" t="n"/>
      <c r="I60" s="629" t="n"/>
      <c r="J60" s="641" t="n"/>
      <c r="K60" s="609" t="n"/>
      <c r="L60" s="641" t="n"/>
    </row>
    <row r="61">
      <c r="C61" s="609" t="n"/>
      <c r="D61" s="641" t="n"/>
      <c r="E61" s="609" t="n"/>
      <c r="F61" s="641" t="n"/>
      <c r="G61" s="609" t="n"/>
      <c r="H61" s="642" t="n"/>
      <c r="I61" s="629" t="n"/>
      <c r="J61" s="641" t="n"/>
      <c r="K61" s="609" t="n"/>
      <c r="L61" s="641" t="n"/>
    </row>
    <row r="62">
      <c r="C62" s="609" t="n"/>
      <c r="D62" s="641" t="n"/>
      <c r="E62" s="609" t="n"/>
      <c r="F62" s="641" t="n"/>
      <c r="G62" s="609" t="n"/>
      <c r="H62" s="642" t="n"/>
      <c r="I62" s="629" t="n"/>
      <c r="J62" s="641" t="n"/>
      <c r="K62" s="609" t="n"/>
      <c r="L62" s="641" t="n"/>
    </row>
    <row r="63">
      <c r="C63" s="609" t="n"/>
      <c r="D63" s="641" t="n"/>
      <c r="E63" s="609" t="n"/>
      <c r="F63" s="609" t="n"/>
      <c r="G63" s="609" t="n"/>
      <c r="H63" s="642" t="n"/>
      <c r="I63" s="629" t="n"/>
      <c r="J63" s="641" t="n"/>
      <c r="K63" s="609" t="n"/>
      <c r="L63" s="641" t="n"/>
    </row>
    <row r="64">
      <c r="C64" s="609" t="n"/>
      <c r="D64" s="641" t="n"/>
      <c r="E64" s="609" t="n"/>
      <c r="F64" s="609" t="n"/>
      <c r="G64" s="609" t="n"/>
      <c r="H64" s="642" t="n"/>
      <c r="I64" s="629" t="n"/>
      <c r="J64" s="641" t="n"/>
      <c r="K64" s="609" t="n"/>
      <c r="L64" s="641" t="n"/>
    </row>
    <row r="65">
      <c r="C65" s="609" t="n"/>
      <c r="D65" s="641" t="n"/>
      <c r="E65" s="609" t="n"/>
      <c r="F65" s="609" t="n"/>
      <c r="G65" s="609" t="n"/>
      <c r="H65" s="642" t="n"/>
      <c r="I65" s="629" t="n"/>
      <c r="J65" s="641" t="n"/>
      <c r="K65" s="609" t="n"/>
      <c r="L65" s="609" t="n"/>
    </row>
    <row r="66">
      <c r="C66" s="609" t="n"/>
      <c r="D66" s="641" t="n"/>
      <c r="E66" s="609" t="n"/>
      <c r="F66" s="609" t="n"/>
      <c r="G66" s="609" t="n"/>
      <c r="H66" s="642" t="n"/>
      <c r="I66" s="629" t="n"/>
      <c r="J66" s="641" t="n"/>
      <c r="K66" s="609" t="n"/>
      <c r="L66" s="609" t="n"/>
    </row>
    <row r="67">
      <c r="C67" s="609" t="n"/>
      <c r="D67" s="609" t="n"/>
      <c r="E67" s="609" t="n"/>
      <c r="F67" s="609" t="n"/>
      <c r="G67" s="609" t="n"/>
      <c r="H67" s="642" t="n"/>
      <c r="I67" s="629" t="n"/>
      <c r="J67" s="641" t="n"/>
      <c r="K67" s="609" t="n"/>
      <c r="L67" s="609" t="n"/>
    </row>
    <row r="68">
      <c r="C68" s="609" t="n"/>
      <c r="D68" s="609" t="n"/>
      <c r="E68" s="609" t="n"/>
      <c r="F68" s="609" t="n"/>
      <c r="G68" s="609" t="n"/>
      <c r="H68" s="642" t="n"/>
      <c r="I68" s="629" t="n"/>
      <c r="J68" s="641" t="n"/>
      <c r="K68" s="609" t="n"/>
      <c r="L68" s="609" t="n"/>
    </row>
    <row r="69">
      <c r="C69" s="609" t="n"/>
      <c r="D69" s="609" t="n"/>
      <c r="E69" s="609" t="n"/>
      <c r="F69" s="609" t="n"/>
      <c r="G69" s="609" t="n"/>
      <c r="H69" s="642" t="n"/>
      <c r="I69" s="629" t="n"/>
      <c r="J69" s="641" t="n"/>
      <c r="K69" s="609" t="n"/>
      <c r="L69" s="609" t="n"/>
    </row>
    <row r="70">
      <c r="C70" s="609" t="n"/>
      <c r="D70" s="609" t="n"/>
      <c r="E70" s="609" t="n"/>
      <c r="F70" s="609" t="n"/>
      <c r="G70" s="609" t="n"/>
      <c r="H70" s="642" t="n"/>
      <c r="I70" s="629" t="n"/>
      <c r="J70" s="641" t="n"/>
      <c r="K70" s="609" t="n"/>
      <c r="L70" s="609" t="n"/>
    </row>
    <row r="71">
      <c r="C71" s="609" t="n"/>
      <c r="D71" s="609" t="n"/>
      <c r="E71" s="609" t="n"/>
      <c r="F71" s="609" t="n"/>
      <c r="G71" s="609" t="n"/>
      <c r="H71" s="629" t="n"/>
      <c r="I71" s="629" t="n"/>
      <c r="J71" s="641" t="n"/>
      <c r="K71" s="609" t="n"/>
      <c r="L71" s="609" t="n"/>
    </row>
    <row r="72">
      <c r="C72" s="609" t="n"/>
      <c r="D72" s="609" t="n"/>
      <c r="E72" s="609" t="n"/>
      <c r="F72" s="609" t="n"/>
      <c r="G72" s="609" t="n"/>
      <c r="H72" s="629" t="n"/>
      <c r="I72" s="629" t="n"/>
      <c r="J72" s="641" t="n"/>
      <c r="K72" s="609" t="n"/>
      <c r="L72" s="609" t="n"/>
    </row>
    <row r="73">
      <c r="C73" s="609" t="n"/>
      <c r="D73" s="609" t="n"/>
      <c r="E73" s="609" t="n"/>
      <c r="F73" s="609" t="n"/>
      <c r="G73" s="609" t="n"/>
      <c r="H73" s="629" t="n"/>
      <c r="I73" s="629" t="n"/>
      <c r="J73" s="641" t="n"/>
      <c r="K73" s="609" t="n"/>
      <c r="L73" s="609" t="n"/>
    </row>
    <row r="74">
      <c r="C74" s="609" t="n"/>
      <c r="D74" s="609" t="n"/>
      <c r="E74" s="609" t="n"/>
      <c r="F74" s="609" t="n"/>
      <c r="G74" s="609" t="n"/>
      <c r="H74" s="629" t="n"/>
      <c r="I74" s="629" t="n"/>
      <c r="J74" s="641" t="n"/>
      <c r="K74" s="609" t="n"/>
      <c r="L74" s="609" t="n"/>
    </row>
    <row r="75">
      <c r="C75" s="609" t="n"/>
      <c r="D75" s="609" t="n"/>
      <c r="E75" s="609" t="n"/>
      <c r="F75" s="609" t="n"/>
      <c r="G75" s="609" t="n"/>
      <c r="H75" s="629" t="n"/>
      <c r="I75" s="629" t="n"/>
      <c r="J75" s="641" t="n"/>
      <c r="K75" s="609" t="n"/>
      <c r="L75" s="609" t="n"/>
    </row>
    <row r="76">
      <c r="C76" s="609" t="n"/>
      <c r="D76" s="609" t="n"/>
      <c r="E76" s="609" t="n"/>
      <c r="F76" s="609" t="n"/>
      <c r="G76" s="609" t="n"/>
      <c r="H76" s="629" t="n"/>
      <c r="I76" s="629" t="n"/>
      <c r="J76" s="609" t="n"/>
      <c r="K76" s="609" t="n"/>
      <c r="L76" s="609" t="n"/>
    </row>
    <row r="77">
      <c r="C77" s="609" t="n"/>
      <c r="D77" s="609" t="n"/>
      <c r="E77" s="609" t="n"/>
      <c r="F77" s="609" t="n"/>
      <c r="G77" s="609" t="n"/>
      <c r="H77" s="629" t="n"/>
      <c r="I77" s="629" t="n"/>
      <c r="J77" s="609" t="n"/>
      <c r="K77" s="609" t="n"/>
      <c r="L77" s="609" t="n"/>
    </row>
  </sheetData>
  <mergeCells count="1">
    <mergeCell ref="B3:B4"/>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4:L62"/>
  <sheetViews>
    <sheetView showGridLines="0" topLeftCell="A2" zoomScaleNormal="100" workbookViewId="0">
      <pane ySplit="5" topLeftCell="A7" activePane="bottomLeft" state="frozen"/>
      <selection activeCell="A2" sqref="A2"/>
      <selection pane="bottomLeft" activeCell="E11" sqref="E11"/>
    </sheetView>
  </sheetViews>
  <sheetFormatPr baseColWidth="8" defaultRowHeight="18"/>
  <cols>
    <col width="28" bestFit="1" customWidth="1" style="184" min="2" max="2"/>
    <col width="15" customWidth="1" style="594" min="3" max="3"/>
    <col width="15" customWidth="1" style="641" min="4" max="4"/>
    <col width="15" customWidth="1" style="594" min="5" max="5"/>
    <col width="15" customWidth="1" style="641" min="6" max="6"/>
    <col width="15" customWidth="1" style="594" min="7" max="7"/>
    <col width="15" customWidth="1" style="642" min="8" max="8"/>
    <col width="15" customWidth="1" style="177" min="9" max="9"/>
    <col width="15" customWidth="1" style="641" min="10" max="10"/>
    <col width="15" customWidth="1" style="594" min="11" max="11"/>
    <col width="15" customWidth="1" style="641" min="12" max="12"/>
    <col width="16.09765625" customWidth="1" style="594" min="13" max="13"/>
    <col width="8.796875" customWidth="1" style="594" min="14" max="14"/>
  </cols>
  <sheetData>
    <row r="4">
      <c r="B4" s="0" t="n"/>
      <c r="C4" s="177" t="n"/>
      <c r="D4" s="643" t="n"/>
      <c r="G4" s="177" t="n"/>
      <c r="H4" s="73" t="inlineStr">
        <is>
          <t>(単位：千円)</t>
        </is>
      </c>
      <c r="I4" s="0" t="n"/>
      <c r="K4" s="177" t="n"/>
      <c r="L4" s="643" t="n"/>
    </row>
    <row r="5" ht="19.8" customHeight="1" s="594">
      <c r="B5" s="569" t="inlineStr">
        <is>
          <t>科目</t>
        </is>
      </c>
      <c r="C5" s="195" t="str">
        <f>'BS(借方)'!C4</f>
        <v>令和6年3月期</v>
      </c>
      <c r="D5" s="644" t="n"/>
      <c r="E5" s="198" t="str">
        <f>'BS(借方)'!D4</f>
        <v>令和7年3月期</v>
      </c>
      <c r="F5" s="645" t="n"/>
      <c r="G5" s="199" t="str">
        <f>'BS(借方)'!E4</f>
        <v>令和8年3月期</v>
      </c>
      <c r="H5" s="646" t="n"/>
      <c r="I5" s="201" t="str">
        <f>'BS(借方)'!F4</f>
        <v>－</v>
      </c>
      <c r="J5" s="647" t="n"/>
      <c r="K5" s="203" t="str">
        <f>'BS(借方)'!G4</f>
        <v>進行期
（試算表未受領）</v>
      </c>
      <c r="L5" s="648" t="n"/>
    </row>
    <row r="6" ht="19.8" customHeight="1" s="594">
      <c r="B6" s="649" t="n"/>
      <c r="C6" s="224" t="inlineStr">
        <is>
          <t>帳簿価額</t>
        </is>
      </c>
      <c r="D6" s="650" t="inlineStr">
        <is>
          <t>売上高比</t>
        </is>
      </c>
      <c r="E6" s="224" t="inlineStr">
        <is>
          <t>帳簿価額</t>
        </is>
      </c>
      <c r="F6" s="651" t="inlineStr">
        <is>
          <t>売上高比</t>
        </is>
      </c>
      <c r="G6" s="224" t="inlineStr">
        <is>
          <t>帳簿価額</t>
        </is>
      </c>
      <c r="H6" s="650" t="inlineStr">
        <is>
          <t>売上高比</t>
        </is>
      </c>
      <c r="I6" s="224" t="inlineStr">
        <is>
          <t>帳簿価額</t>
        </is>
      </c>
      <c r="J6" s="650" t="inlineStr">
        <is>
          <t>売上高比</t>
        </is>
      </c>
      <c r="K6" s="225" t="inlineStr">
        <is>
          <t>帳簿価額</t>
        </is>
      </c>
      <c r="L6" s="652" t="inlineStr">
        <is>
          <t>売上高比</t>
        </is>
      </c>
    </row>
    <row r="7" ht="22.5" customHeight="1" s="594">
      <c r="A7" s="653" t="inlineStr">
        <is>
          <t>IMに貼るときは非表示→</t>
        </is>
      </c>
      <c r="B7" s="222" t="inlineStr">
        <is>
          <t>売上</t>
        </is>
      </c>
      <c r="C7" s="654">
        <f>PL!C11</f>
        <v>383439251</v>
      </c>
      <c r="D7" s="655" t="inlineStr">
        <is>
          <t>-</t>
        </is>
      </c>
      <c r="E7" s="656">
        <f>PL!E11</f>
        <v>1230829971</v>
      </c>
      <c r="F7" s="655" t="inlineStr">
        <is>
          <t>-</t>
        </is>
      </c>
      <c r="G7" s="656">
        <f>PL!G11</f>
        <v>319338374</v>
      </c>
      <c r="H7" s="655" t="inlineStr">
        <is>
          <t>-</t>
        </is>
      </c>
      <c r="I7" s="656">
        <f>PL!I11</f>
        <v>0</v>
      </c>
      <c r="J7" s="655" t="inlineStr">
        <is>
          <t>-</t>
        </is>
      </c>
      <c r="K7" s="656">
        <f>PL!K11</f>
        <v>0</v>
      </c>
      <c r="L7" s="655" t="inlineStr">
        <is>
          <t>-</t>
        </is>
      </c>
    </row>
    <row r="8" ht="22.5" customHeight="1" s="594">
      <c r="B8" s="223" t="inlineStr">
        <is>
          <t>期首原材料棚卸高</t>
        </is>
      </c>
      <c r="C8" s="617" t="n"/>
      <c r="D8" s="633">
        <f>IF(C8=0,"",C8/C$7)</f>
      </c>
      <c r="E8" s="604" t="n"/>
      <c r="F8" s="633">
        <f>IF(E8=0,"",E8/E$7)</f>
      </c>
      <c r="G8" s="604" t="n"/>
      <c r="H8" s="633">
        <f>IF(G8=0,"",G8/G$7)</f>
      </c>
      <c r="I8" s="604" t="n"/>
      <c r="J8" s="633">
        <f>IF(I8=0,"",I8/I$7)</f>
      </c>
      <c r="K8" s="604" t="n"/>
      <c r="L8" s="633">
        <f>IF(K8=0,"",K8/K$7)</f>
      </c>
    </row>
    <row r="9" ht="22.5" customHeight="1" s="594">
      <c r="B9" s="207" t="inlineStr">
        <is>
          <t>原材料仕入高</t>
        </is>
      </c>
      <c r="C9" s="617" t="n"/>
      <c r="D9" s="633">
        <f>IF(C9=0,"",C9/C$7)</f>
      </c>
      <c r="E9" s="604" t="n"/>
      <c r="F9" s="633">
        <f>IF(E9=0,"",E9/E$7)</f>
      </c>
      <c r="G9" s="604" t="n"/>
      <c r="H9" s="633">
        <f>IF(G9=0,"",G9/G$7)</f>
      </c>
      <c r="I9" s="604" t="n"/>
      <c r="J9" s="633">
        <f>IF(I9=0,"",I9/I$7)</f>
      </c>
      <c r="K9" s="604" t="n"/>
      <c r="L9" s="633">
        <f>IF(K9=0,"",K9/K$7)</f>
      </c>
    </row>
    <row r="10" ht="22.5" customHeight="1" s="594">
      <c r="B10" s="207" t="inlineStr">
        <is>
          <t>小計</t>
        </is>
      </c>
      <c r="C10" s="617" t="n"/>
      <c r="D10" s="633">
        <f>IF(C10=0,"",C10/C$7)</f>
      </c>
      <c r="E10" s="604" t="n"/>
      <c r="F10" s="633">
        <f>IF(E10=0,"",E10/E$7)</f>
      </c>
      <c r="G10" s="604" t="n"/>
      <c r="H10" s="633">
        <f>IF(G10=0,"",G10/G$7)</f>
      </c>
      <c r="I10" s="604" t="n"/>
      <c r="J10" s="633">
        <f>IF(I10=0,"",I10/I$7)</f>
      </c>
      <c r="K10" s="604" t="n"/>
      <c r="L10" s="633">
        <f>IF(K10=0,"",K10/K$7)</f>
      </c>
    </row>
    <row r="11" ht="22.5" customHeight="1" s="594">
      <c r="B11" s="207" t="inlineStr">
        <is>
          <t>期末原材料棚卸高</t>
        </is>
      </c>
      <c r="C11" s="617" t="n"/>
      <c r="D11" s="633">
        <f>IF(C11=0,"",C11/C$7)</f>
      </c>
      <c r="E11" s="604" t="n"/>
      <c r="F11" s="633">
        <f>IF(E11=0,"",E11/E$7)</f>
      </c>
      <c r="G11" s="604" t="n"/>
      <c r="H11" s="633">
        <f>IF(G11=0,"",G11/G$7)</f>
      </c>
      <c r="I11" s="604" t="n"/>
      <c r="J11" s="633">
        <f>IF(I11=0,"",I11/I$7)</f>
      </c>
      <c r="K11" s="604" t="n"/>
      <c r="L11" s="633">
        <f>IF(K11=0,"",K11/K$7)</f>
      </c>
    </row>
    <row r="12" ht="22.5" customHeight="1" s="594">
      <c r="B12" s="207" t="n"/>
      <c r="C12" s="617" t="n"/>
      <c r="D12" s="633">
        <f>IF(C12=0,"",C12/C$7)</f>
      </c>
      <c r="E12" s="604" t="n"/>
      <c r="F12" s="633">
        <f>IF(E12=0,"",E12/E$7)</f>
      </c>
      <c r="G12" s="604" t="n"/>
      <c r="H12" s="633">
        <f>IF(G12=0,"",G12/G$7)</f>
      </c>
      <c r="I12" s="604" t="n"/>
      <c r="J12" s="633">
        <f>IF(I12=0,"",I12/I$7)</f>
      </c>
      <c r="K12" s="604" t="n"/>
      <c r="L12" s="633">
        <f>IF(K12=0,"",K12/K$7)</f>
      </c>
    </row>
    <row r="13" ht="22.5" customHeight="1" s="594">
      <c r="B13" s="208" t="n"/>
      <c r="C13" s="622" t="n"/>
      <c r="D13" s="634">
        <f>IF(C13=0,"",C13/C$7)</f>
      </c>
      <c r="E13" s="606" t="n"/>
      <c r="F13" s="634">
        <f>IF(E13=0,"",E13/E$7)</f>
      </c>
      <c r="G13" s="606" t="n"/>
      <c r="H13" s="634">
        <f>IF(G13=0,"",G13/G$7)</f>
      </c>
      <c r="I13" s="606" t="n"/>
      <c r="J13" s="634">
        <f>IF(I13=0,"",I13/I$7)</f>
      </c>
      <c r="K13" s="606" t="n"/>
      <c r="L13" s="634">
        <f>IF(K13=0,"",K13/K$7)</f>
      </c>
    </row>
    <row r="14" ht="22.5" customHeight="1" s="594">
      <c r="B14" s="227" t="inlineStr">
        <is>
          <t>材料費</t>
        </is>
      </c>
      <c r="C14" s="657">
        <f>SUM(C8:C13)</f>
        <v>0</v>
      </c>
      <c r="D14" s="636">
        <f>IF(C14=0,"",C14/C$7)</f>
      </c>
      <c r="E14" s="635">
        <f>SUM(E8:E13)</f>
        <v>0</v>
      </c>
      <c r="F14" s="636">
        <f>IF(E14=0,"",E14/E$7)</f>
      </c>
      <c r="G14" s="635">
        <f>SUM(G8:G13)</f>
        <v>0</v>
      </c>
      <c r="H14" s="636">
        <f>IF(G14=0,"",G14/G$7)</f>
      </c>
      <c r="I14" s="635">
        <f>SUM(I8:I13)</f>
        <v>0</v>
      </c>
      <c r="J14" s="636">
        <f>IF(I14=0,"",I14/I$7)</f>
      </c>
      <c r="K14" s="635">
        <f>SUM(K8:K13)</f>
        <v>0</v>
      </c>
      <c r="L14" s="636">
        <f>IF(K14=0,"",K14/K$7)</f>
      </c>
    </row>
    <row r="15" ht="22.5" customHeight="1" s="594">
      <c r="B15" s="223" t="n"/>
      <c r="C15" s="617" t="n"/>
      <c r="D15" s="633">
        <f>IF(C15=0,"",C15/C$7)</f>
      </c>
      <c r="E15" s="604" t="n"/>
      <c r="F15" s="633">
        <f>IF(E15=0,"",E15/E$7)</f>
      </c>
      <c r="G15" s="604" t="n"/>
      <c r="H15" s="633">
        <f>IF(G15=0,"",G15/G$7)</f>
      </c>
      <c r="I15" s="604" t="n"/>
      <c r="J15" s="633">
        <f>IF(I15=0,"",I15/I$7)</f>
      </c>
      <c r="K15" s="604" t="n"/>
      <c r="L15" s="633">
        <f>IF(K15=0,"",K15/K$7)</f>
      </c>
    </row>
    <row r="16" ht="22.5" customHeight="1" s="594">
      <c r="B16" s="207" t="n"/>
      <c r="C16" s="617" t="n"/>
      <c r="D16" s="633" t="n"/>
      <c r="E16" s="604" t="n"/>
      <c r="F16" s="633" t="n"/>
      <c r="G16" s="604" t="n"/>
      <c r="H16" s="633" t="n"/>
      <c r="I16" s="604" t="n"/>
      <c r="J16" s="633" t="n"/>
      <c r="K16" s="604" t="n"/>
      <c r="L16" s="633" t="n"/>
    </row>
    <row r="17" ht="22.5" customHeight="1" s="594">
      <c r="B17" s="207" t="n"/>
      <c r="C17" s="617" t="n"/>
      <c r="D17" s="633" t="n"/>
      <c r="E17" s="604" t="n"/>
      <c r="F17" s="633" t="n"/>
      <c r="G17" s="604" t="n"/>
      <c r="H17" s="633" t="n"/>
      <c r="I17" s="604" t="n"/>
      <c r="J17" s="633" t="n"/>
      <c r="K17" s="604" t="n"/>
      <c r="L17" s="633" t="n"/>
    </row>
    <row r="18" ht="22.5" customHeight="1" s="594">
      <c r="B18" s="207" t="n"/>
      <c r="C18" s="617" t="n"/>
      <c r="D18" s="633">
        <f>IF(C18=0,"",C18/C$7)</f>
      </c>
      <c r="E18" s="604" t="n"/>
      <c r="F18" s="633">
        <f>IF(E18=0,"",E18/E$7)</f>
      </c>
      <c r="G18" s="604" t="n"/>
      <c r="H18" s="633">
        <f>IF(G18=0,"",G18/G$7)</f>
      </c>
      <c r="I18" s="604" t="n"/>
      <c r="J18" s="633">
        <f>IF(I18=0,"",I18/I$7)</f>
      </c>
      <c r="K18" s="604" t="n"/>
      <c r="L18" s="633">
        <f>IF(K18=0,"",K18/K$7)</f>
      </c>
    </row>
    <row r="19" ht="22.5" customHeight="1" s="594">
      <c r="B19" s="207" t="n"/>
      <c r="C19" s="617" t="n"/>
      <c r="D19" s="633">
        <f>IF(C19=0,"",C19/C$7)</f>
      </c>
      <c r="E19" s="604" t="n"/>
      <c r="F19" s="633">
        <f>IF(E19=0,"",E19/E$7)</f>
      </c>
      <c r="G19" s="604" t="n"/>
      <c r="H19" s="633">
        <f>IF(G19=0,"",G19/G$7)</f>
      </c>
      <c r="I19" s="604" t="n"/>
      <c r="J19" s="633">
        <f>IF(I19=0,"",I19/I$7)</f>
      </c>
      <c r="K19" s="604" t="n"/>
      <c r="L19" s="633">
        <f>IF(K19=0,"",K19/K$7)</f>
      </c>
    </row>
    <row r="20" ht="22.5" customHeight="1" s="594">
      <c r="B20" s="207" t="n"/>
      <c r="C20" s="617" t="n"/>
      <c r="D20" s="633">
        <f>IF(C20=0,"",C20/C$7)</f>
      </c>
      <c r="E20" s="604" t="n"/>
      <c r="F20" s="633">
        <f>IF(E20=0,"",E20/E$7)</f>
      </c>
      <c r="G20" s="604" t="n"/>
      <c r="H20" s="633">
        <f>IF(G20=0,"",G20/G$7)</f>
      </c>
      <c r="I20" s="604" t="n"/>
      <c r="J20" s="633">
        <f>IF(I20=0,"",I20/I$7)</f>
      </c>
      <c r="K20" s="604" t="n"/>
      <c r="L20" s="633">
        <f>IF(K20=0,"",K20/K$7)</f>
      </c>
    </row>
    <row r="21" ht="22.5" customHeight="1" s="594">
      <c r="B21" s="207" t="n"/>
      <c r="C21" s="617" t="n"/>
      <c r="D21" s="633">
        <f>IF(C21=0,"",C21/C$7)</f>
      </c>
      <c r="E21" s="604" t="n"/>
      <c r="F21" s="633">
        <f>IF(E21=0,"",E21/E$7)</f>
      </c>
      <c r="G21" s="604" t="n"/>
      <c r="H21" s="633">
        <f>IF(G21=0,"",G21/G$7)</f>
      </c>
      <c r="I21" s="604" t="n"/>
      <c r="J21" s="633">
        <f>IF(I21=0,"",I21/I$7)</f>
      </c>
      <c r="K21" s="604" t="n"/>
      <c r="L21" s="633">
        <f>IF(K21=0,"",K21/K$7)</f>
      </c>
    </row>
    <row r="22" ht="22.5" customHeight="1" s="594">
      <c r="B22" s="208" t="n"/>
      <c r="C22" s="622" t="n"/>
      <c r="D22" s="634">
        <f>IF(C22=0,"",C22/C$7)</f>
      </c>
      <c r="E22" s="606" t="n"/>
      <c r="F22" s="634">
        <f>IF(E22=0,"",E22/E$7)</f>
      </c>
      <c r="G22" s="606" t="n"/>
      <c r="H22" s="634">
        <f>IF(G22=0,"",G22/G$7)</f>
      </c>
      <c r="I22" s="606" t="n"/>
      <c r="J22" s="634">
        <f>IF(I22=0,"",I22/I$7)</f>
      </c>
      <c r="K22" s="606" t="n"/>
      <c r="L22" s="634">
        <f>IF(K22=0,"",K22/K$7)</f>
      </c>
    </row>
    <row r="23" ht="22.5" customHeight="1" s="594">
      <c r="B23" s="227" t="inlineStr">
        <is>
          <t>労務費</t>
        </is>
      </c>
      <c r="C23" s="657">
        <f>SUM(C15:C22)</f>
        <v>0</v>
      </c>
      <c r="D23" s="636">
        <f>IF(C23=0,"",C23/C$7)</f>
      </c>
      <c r="E23" s="635">
        <f>SUM(E15:E22)</f>
        <v>0</v>
      </c>
      <c r="F23" s="636">
        <f>IF(E23=0,"",E23/E$7)</f>
      </c>
      <c r="G23" s="635">
        <f>SUM(G15:G22)</f>
        <v>0</v>
      </c>
      <c r="H23" s="636">
        <f>IF(G23=0,"",G23/G$7)</f>
      </c>
      <c r="I23" s="635">
        <f>SUM(I15:I22)</f>
        <v>0</v>
      </c>
      <c r="J23" s="636">
        <f>IF(I23=0,"",I23/I$7)</f>
      </c>
      <c r="K23" s="635">
        <f>SUM(K15:K22)</f>
        <v>0</v>
      </c>
      <c r="L23" s="636">
        <f>IF(K23=0,"",K23/K$7)</f>
      </c>
    </row>
    <row r="24" ht="22.5" customHeight="1" s="594">
      <c r="B24" s="223" t="n"/>
      <c r="C24" s="617" t="n"/>
      <c r="D24" s="633">
        <f>IF(C24=0,"",C24/C$7)</f>
      </c>
      <c r="E24" s="604" t="n"/>
      <c r="F24" s="633">
        <f>IF(E24=0,"",E24/E$7)</f>
      </c>
      <c r="G24" s="604" t="n"/>
      <c r="H24" s="633">
        <f>IF(G24=0,"",G24/G$7)</f>
      </c>
      <c r="I24" s="604" t="n"/>
      <c r="J24" s="633">
        <f>IF(I24=0,"",I24/I$7)</f>
      </c>
      <c r="K24" s="604" t="n"/>
      <c r="L24" s="633">
        <f>IF(K24=0,"",K24/K$7)</f>
      </c>
    </row>
    <row r="25" ht="22.5" customHeight="1" s="594">
      <c r="B25" s="207" t="n"/>
      <c r="C25" s="617" t="n"/>
      <c r="D25" s="633" t="n"/>
      <c r="E25" s="604" t="n"/>
      <c r="F25" s="633" t="n"/>
      <c r="G25" s="604" t="n"/>
      <c r="H25" s="633" t="n"/>
      <c r="I25" s="604" t="n"/>
      <c r="J25" s="633" t="n"/>
      <c r="K25" s="604" t="n"/>
      <c r="L25" s="633" t="n"/>
    </row>
    <row r="26" ht="22.5" customHeight="1" s="594">
      <c r="B26" s="207" t="n"/>
      <c r="C26" s="617" t="n"/>
      <c r="D26" s="633" t="n"/>
      <c r="E26" s="604" t="n"/>
      <c r="F26" s="633" t="n"/>
      <c r="G26" s="604" t="n"/>
      <c r="H26" s="633" t="n"/>
      <c r="I26" s="604" t="n"/>
      <c r="J26" s="633" t="n"/>
      <c r="K26" s="604" t="n"/>
      <c r="L26" s="633" t="n"/>
    </row>
    <row r="27" ht="22.5" customHeight="1" s="594">
      <c r="B27" s="207" t="n"/>
      <c r="C27" s="617" t="n"/>
      <c r="D27" s="633" t="n"/>
      <c r="E27" s="604" t="n"/>
      <c r="F27" s="633" t="n"/>
      <c r="G27" s="604" t="n"/>
      <c r="H27" s="633" t="n"/>
      <c r="I27" s="604" t="n"/>
      <c r="J27" s="633" t="n"/>
      <c r="K27" s="604" t="n"/>
      <c r="L27" s="633" t="n"/>
    </row>
    <row r="28" ht="22.5" customHeight="1" s="594">
      <c r="B28" s="207" t="n"/>
      <c r="C28" s="617" t="n"/>
      <c r="D28" s="633">
        <f>IF(C28=0,"",C28/C$7)</f>
      </c>
      <c r="E28" s="604" t="n"/>
      <c r="F28" s="633">
        <f>IF(E28=0,"",E28/E$7)</f>
      </c>
      <c r="G28" s="604" t="n"/>
      <c r="H28" s="633">
        <f>IF(G28=0,"",G28/G$7)</f>
      </c>
      <c r="I28" s="604" t="n"/>
      <c r="J28" s="633">
        <f>IF(I28=0,"",I28/I$7)</f>
      </c>
      <c r="K28" s="604" t="n"/>
      <c r="L28" s="633">
        <f>IF(K28=0,"",K28/K$7)</f>
      </c>
    </row>
    <row r="29" ht="22.5" customHeight="1" s="594">
      <c r="B29" s="207" t="n"/>
      <c r="C29" s="617" t="n"/>
      <c r="D29" s="633">
        <f>IF(C29=0,"",C29/C$7)</f>
      </c>
      <c r="E29" s="604" t="n"/>
      <c r="F29" s="633">
        <f>IF(E29=0,"",E29/E$7)</f>
      </c>
      <c r="G29" s="604" t="n"/>
      <c r="H29" s="633">
        <f>IF(G29=0,"",G29/G$7)</f>
      </c>
      <c r="I29" s="604" t="n"/>
      <c r="J29" s="633">
        <f>IF(I29=0,"",I29/I$7)</f>
      </c>
      <c r="K29" s="604" t="n"/>
      <c r="L29" s="633">
        <f>IF(K29=0,"",K29/K$7)</f>
      </c>
    </row>
    <row r="30" ht="22.5" customHeight="1" s="594">
      <c r="B30" s="207" t="n"/>
      <c r="C30" s="617" t="n"/>
      <c r="D30" s="633">
        <f>IF(C30=0,"",C30/C$7)</f>
      </c>
      <c r="E30" s="604" t="n"/>
      <c r="F30" s="633">
        <f>IF(E30=0,"",E30/E$7)</f>
      </c>
      <c r="G30" s="604" t="n"/>
      <c r="H30" s="633">
        <f>IF(G30=0,"",G30/G$7)</f>
      </c>
      <c r="I30" s="604" t="n"/>
      <c r="J30" s="633">
        <f>IF(I30=0,"",I30/I$7)</f>
      </c>
      <c r="K30" s="604" t="n"/>
      <c r="L30" s="633">
        <f>IF(K30=0,"",K30/K$7)</f>
      </c>
    </row>
    <row r="31" ht="22.5" customHeight="1" s="594">
      <c r="B31" s="207" t="n"/>
      <c r="C31" s="617" t="n"/>
      <c r="D31" s="633">
        <f>IF(C31=0,"",C31/C$7)</f>
      </c>
      <c r="E31" s="604" t="n"/>
      <c r="F31" s="633">
        <f>IF(E31=0,"",E31/E$7)</f>
      </c>
      <c r="G31" s="604" t="n"/>
      <c r="H31" s="633">
        <f>IF(G31=0,"",G31/G$7)</f>
      </c>
      <c r="I31" s="604" t="n"/>
      <c r="J31" s="633">
        <f>IF(I31=0,"",I31/I$7)</f>
      </c>
      <c r="K31" s="604" t="n"/>
      <c r="L31" s="633">
        <f>IF(K31=0,"",K31/K$7)</f>
      </c>
    </row>
    <row r="32" ht="22.5" customHeight="1" s="594">
      <c r="B32" s="208" t="n"/>
      <c r="C32" s="622" t="n"/>
      <c r="D32" s="634">
        <f>IF(C32=0,"",C32/C$7)</f>
      </c>
      <c r="E32" s="606" t="n"/>
      <c r="F32" s="634">
        <f>IF(E32=0,"",E32/E$7)</f>
      </c>
      <c r="G32" s="606" t="n"/>
      <c r="H32" s="634">
        <f>IF(G32=0,"",G32/G$7)</f>
      </c>
      <c r="I32" s="606" t="n"/>
      <c r="J32" s="634">
        <f>IF(I32=0,"",I32/I$7)</f>
      </c>
      <c r="K32" s="606" t="n"/>
      <c r="L32" s="634">
        <f>IF(K32=0,"",K32/K$7)</f>
      </c>
    </row>
    <row r="33" ht="22.5" customHeight="1" s="594">
      <c r="B33" s="227" t="inlineStr">
        <is>
          <t>外注加工費</t>
        </is>
      </c>
      <c r="C33" s="657">
        <f>SUM(C24:C32)</f>
        <v>0</v>
      </c>
      <c r="D33" s="636">
        <f>IF(C33=0,"",C33/C$7)</f>
      </c>
      <c r="E33" s="635">
        <f>SUM(E24:E32)</f>
        <v>0</v>
      </c>
      <c r="F33" s="636">
        <f>IF(E33=0,"",E33/E$7)</f>
      </c>
      <c r="G33" s="635">
        <f>SUM(G24:G32)</f>
        <v>0</v>
      </c>
      <c r="H33" s="636">
        <f>IF(G33=0,"",G33/G$7)</f>
      </c>
      <c r="I33" s="635">
        <f>SUM(I24:I32)</f>
        <v>0</v>
      </c>
      <c r="J33" s="636">
        <f>IF(I33=0,"",I33/I$7)</f>
      </c>
      <c r="K33" s="635">
        <f>SUM(K24:K32)</f>
        <v>0</v>
      </c>
      <c r="L33" s="636">
        <f>IF(K33=0,"",K33/K$7)</f>
      </c>
    </row>
    <row r="34" ht="22.5" customHeight="1" s="594">
      <c r="B34" s="223" t="n"/>
      <c r="C34" s="617" t="n"/>
      <c r="D34" s="633">
        <f>IF(C34=0,"",C34/C$7)</f>
      </c>
      <c r="E34" s="604" t="n"/>
      <c r="F34" s="633">
        <f>IF(E34=0,"",E34/E$7)</f>
      </c>
      <c r="G34" s="604" t="n"/>
      <c r="H34" s="633">
        <f>IF(G34=0,"",G34/G$7)</f>
      </c>
      <c r="I34" s="604" t="n"/>
      <c r="J34" s="633">
        <f>IF(I34=0,"",I34/I$7)</f>
      </c>
      <c r="K34" s="604" t="n"/>
      <c r="L34" s="633">
        <f>IF(K34=0,"",K34/K$7)</f>
      </c>
    </row>
    <row r="35" ht="22.5" customHeight="1" s="594">
      <c r="B35" s="207" t="n"/>
      <c r="C35" s="617" t="n"/>
      <c r="D35" s="633">
        <f>IF(C35=0,"",C35/C$7)</f>
      </c>
      <c r="E35" s="604" t="n"/>
      <c r="F35" s="633">
        <f>IF(E35=0,"",E35/E$7)</f>
      </c>
      <c r="G35" s="604" t="n"/>
      <c r="H35" s="633">
        <f>IF(G35=0,"",G35/G$7)</f>
      </c>
      <c r="I35" s="604" t="n"/>
      <c r="J35" s="633">
        <f>IF(I35=0,"",I35/I$7)</f>
      </c>
      <c r="K35" s="604" t="n"/>
      <c r="L35" s="633">
        <f>IF(K35=0,"",K35/K$7)</f>
      </c>
    </row>
    <row r="36" ht="22.5" customHeight="1" s="594">
      <c r="B36" s="207" t="n"/>
      <c r="C36" s="617" t="n"/>
      <c r="D36" s="633">
        <f>IF(C36=0,"",C36/C$7)</f>
      </c>
      <c r="E36" s="604" t="n"/>
      <c r="F36" s="633">
        <f>IF(E36=0,"",E36/E$7)</f>
      </c>
      <c r="G36" s="604" t="n"/>
      <c r="H36" s="633">
        <f>IF(G36=0,"",G36/G$7)</f>
      </c>
      <c r="I36" s="604" t="n"/>
      <c r="J36" s="633">
        <f>IF(I36=0,"",I36/I$7)</f>
      </c>
      <c r="K36" s="604" t="n"/>
      <c r="L36" s="633">
        <f>IF(K36=0,"",K36/K$7)</f>
      </c>
    </row>
    <row r="37" ht="22.5" customHeight="1" s="594">
      <c r="B37" s="207" t="n"/>
      <c r="C37" s="617" t="n"/>
      <c r="D37" s="633" t="n"/>
      <c r="E37" s="604" t="n"/>
      <c r="F37" s="633" t="n"/>
      <c r="G37" s="604" t="n"/>
      <c r="H37" s="633" t="n"/>
      <c r="I37" s="604" t="n"/>
      <c r="J37" s="633" t="n"/>
      <c r="K37" s="604" t="n"/>
      <c r="L37" s="633" t="n"/>
    </row>
    <row r="38" ht="22.5" customHeight="1" s="594">
      <c r="B38" s="207" t="n"/>
      <c r="C38" s="617" t="n"/>
      <c r="D38" s="633" t="n"/>
      <c r="E38" s="604" t="n"/>
      <c r="F38" s="633" t="n"/>
      <c r="G38" s="604" t="n"/>
      <c r="H38" s="633" t="n"/>
      <c r="I38" s="604" t="n"/>
      <c r="J38" s="633" t="n"/>
      <c r="K38" s="604" t="n"/>
      <c r="L38" s="633" t="n"/>
    </row>
    <row r="39" ht="22.5" customHeight="1" s="594">
      <c r="B39" s="207" t="n"/>
      <c r="C39" s="617" t="n"/>
      <c r="D39" s="633">
        <f>IF(C39=0,"",C39/C$7)</f>
      </c>
      <c r="E39" s="604" t="n"/>
      <c r="F39" s="633">
        <f>IF(E39=0,"",E39/E$7)</f>
      </c>
      <c r="G39" s="604" t="n"/>
      <c r="H39" s="633">
        <f>IF(G39=0,"",G39/G$7)</f>
      </c>
      <c r="I39" s="604" t="n"/>
      <c r="J39" s="633">
        <f>IF(I39=0,"",I39/I$7)</f>
      </c>
      <c r="K39" s="604" t="n"/>
      <c r="L39" s="633">
        <f>IF(K39=0,"",K39/K$7)</f>
      </c>
    </row>
    <row r="40" ht="22.5" customHeight="1" s="594">
      <c r="B40" s="207" t="n"/>
      <c r="C40" s="617" t="n"/>
      <c r="D40" s="633">
        <f>IF(C40=0,"",C40/C$7)</f>
      </c>
      <c r="E40" s="604" t="n"/>
      <c r="F40" s="633">
        <f>IF(E40=0,"",E40/E$7)</f>
      </c>
      <c r="G40" s="604" t="n"/>
      <c r="H40" s="633">
        <f>IF(G40=0,"",G40/G$7)</f>
      </c>
      <c r="I40" s="604" t="n"/>
      <c r="J40" s="633">
        <f>IF(I40=0,"",I40/I$7)</f>
      </c>
      <c r="K40" s="604" t="n"/>
      <c r="L40" s="633">
        <f>IF(K40=0,"",K40/K$7)</f>
      </c>
    </row>
    <row r="41" ht="22.5" customHeight="1" s="594">
      <c r="B41" s="207" t="n"/>
      <c r="C41" s="617" t="n"/>
      <c r="D41" s="633">
        <f>IF(C41=0,"",C41/C$7)</f>
      </c>
      <c r="E41" s="604" t="n"/>
      <c r="F41" s="633">
        <f>IF(E41=0,"",E41/E$7)</f>
      </c>
      <c r="G41" s="604" t="n"/>
      <c r="H41" s="633">
        <f>IF(G41=0,"",G41/G$7)</f>
      </c>
      <c r="I41" s="604" t="n"/>
      <c r="J41" s="633">
        <f>IF(I41=0,"",I41/I$7)</f>
      </c>
      <c r="K41" s="604" t="n"/>
      <c r="L41" s="633">
        <f>IF(K41=0,"",K41/K$7)</f>
      </c>
    </row>
    <row r="42" ht="22.5" customHeight="1" s="594">
      <c r="B42" s="207" t="n"/>
      <c r="C42" s="617" t="n"/>
      <c r="D42" s="633">
        <f>IF(C42=0,"",C42/C$7)</f>
      </c>
      <c r="E42" s="604" t="n"/>
      <c r="F42" s="633">
        <f>IF(E42=0,"",E42/E$7)</f>
      </c>
      <c r="G42" s="604" t="n"/>
      <c r="H42" s="633">
        <f>IF(G42=0,"",G42/G$7)</f>
      </c>
      <c r="I42" s="604" t="n"/>
      <c r="J42" s="633">
        <f>IF(I42=0,"",I42/I$7)</f>
      </c>
      <c r="K42" s="604" t="n"/>
      <c r="L42" s="633">
        <f>IF(K42=0,"",K42/K$7)</f>
      </c>
    </row>
    <row r="43" ht="22.5" customHeight="1" s="594">
      <c r="B43" s="207" t="n"/>
      <c r="C43" s="617" t="n"/>
      <c r="D43" s="633">
        <f>IF(C43=0,"",C43/C$7)</f>
      </c>
      <c r="E43" s="604" t="n"/>
      <c r="F43" s="633">
        <f>IF(E43=0,"",E43/E$7)</f>
      </c>
      <c r="G43" s="604" t="n"/>
      <c r="H43" s="633">
        <f>IF(G43=0,"",G43/G$7)</f>
      </c>
      <c r="I43" s="604" t="n"/>
      <c r="J43" s="633">
        <f>IF(I43=0,"",I43/I$7)</f>
      </c>
      <c r="K43" s="604" t="n"/>
      <c r="L43" s="633">
        <f>IF(K43=0,"",K43/K$7)</f>
      </c>
    </row>
    <row r="44" ht="22.5" customHeight="1" s="594">
      <c r="B44" s="207" t="n"/>
      <c r="C44" s="617" t="n"/>
      <c r="D44" s="633">
        <f>IF(C44=0,"",C44/C$7)</f>
      </c>
      <c r="E44" s="604" t="n"/>
      <c r="F44" s="633">
        <f>IF(E44=0,"",E44/E$7)</f>
      </c>
      <c r="G44" s="604" t="n"/>
      <c r="H44" s="633">
        <f>IF(G44=0,"",G44/G$7)</f>
      </c>
      <c r="I44" s="604" t="n"/>
      <c r="J44" s="633">
        <f>IF(I44=0,"",I44/I$7)</f>
      </c>
      <c r="K44" s="604" t="n"/>
      <c r="L44" s="633">
        <f>IF(K44=0,"",K44/K$7)</f>
      </c>
    </row>
    <row r="45" ht="22.5" customHeight="1" s="594">
      <c r="B45" s="208" t="n"/>
      <c r="C45" s="622" t="n"/>
      <c r="D45" s="634">
        <f>IF(C45=0,"",C45/C$7)</f>
      </c>
      <c r="E45" s="606" t="n"/>
      <c r="F45" s="634">
        <f>IF(E45=0,"",E45/E$7)</f>
      </c>
      <c r="G45" s="606" t="n"/>
      <c r="H45" s="634">
        <f>IF(G45=0,"",G45/G$7)</f>
      </c>
      <c r="I45" s="606" t="n"/>
      <c r="J45" s="634">
        <f>IF(I45=0,"",I45/I$7)</f>
      </c>
      <c r="K45" s="606" t="n"/>
      <c r="L45" s="634">
        <f>IF(K45=0,"",K45/K$7)</f>
      </c>
    </row>
    <row r="46" ht="22.5" customHeight="1" s="594">
      <c r="B46" s="227" t="inlineStr">
        <is>
          <t>経費</t>
        </is>
      </c>
      <c r="C46" s="657">
        <f>SUM(C34:C45)</f>
        <v>0</v>
      </c>
      <c r="D46" s="636">
        <f>IF(C46=0,"",C46/C$7)</f>
      </c>
      <c r="E46" s="635">
        <f>SUM(E34:E45)</f>
        <v>0</v>
      </c>
      <c r="F46" s="636">
        <f>IF(E46=0,"",E46/E$7)</f>
      </c>
      <c r="G46" s="635">
        <f>SUM(G34:G45)</f>
        <v>0</v>
      </c>
      <c r="H46" s="636">
        <f>IF(G46=0,"",G46/G$7)</f>
      </c>
      <c r="I46" s="635">
        <f>SUM(I34:I45)</f>
        <v>0</v>
      </c>
      <c r="J46" s="636">
        <f>IF(I46=0,"",I46/I$7)</f>
      </c>
      <c r="K46" s="635">
        <f>SUM(K34:K45)</f>
        <v>0</v>
      </c>
      <c r="L46" s="636">
        <f>IF(K46=0,"",K46/K$7)</f>
      </c>
    </row>
    <row r="47" ht="22.5" customHeight="1" s="594">
      <c r="B47" s="226" t="inlineStr">
        <is>
          <t>当期製造費用</t>
        </is>
      </c>
      <c r="C47" s="657">
        <f>C14+C23+C33+C46</f>
        <v>0</v>
      </c>
      <c r="D47" s="636">
        <f>IF(C47=0,"",C47/C$7)</f>
      </c>
      <c r="E47" s="657">
        <f>E14+E23+E33+E46</f>
        <v>0</v>
      </c>
      <c r="F47" s="636">
        <f>IF(E47=0,"",E47/E$7)</f>
      </c>
      <c r="G47" s="657">
        <f>G14+G23+G33+G46</f>
        <v>0</v>
      </c>
      <c r="H47" s="636">
        <f>IF(G47=0,"",G47/G$7)</f>
      </c>
      <c r="I47" s="657">
        <f>I14+I23+I33+I46</f>
        <v>0</v>
      </c>
      <c r="J47" s="636">
        <f>IF(I47=0,"",I47/I$7)</f>
      </c>
      <c r="K47" s="657">
        <f>K14+K23+K33+K46</f>
        <v>0</v>
      </c>
      <c r="L47" s="636">
        <f>IF(K47=0,"",K47/K$7)</f>
      </c>
    </row>
    <row r="48" ht="22.5" customHeight="1" s="594">
      <c r="B48" s="228" t="inlineStr">
        <is>
          <t>期首仕掛品棚卸高</t>
        </is>
      </c>
      <c r="C48" s="622" t="n"/>
      <c r="D48" s="634">
        <f>IF(C48=0,"",C48/C$7)</f>
      </c>
      <c r="E48" s="606">
        <f>SUM(E36:E47)</f>
        <v>0</v>
      </c>
      <c r="F48" s="634">
        <f>IF(E48=0,"",E48/E$7)</f>
      </c>
      <c r="G48" s="606">
        <f>SUM(G36:G47)</f>
        <v>0</v>
      </c>
      <c r="H48" s="634">
        <f>IF(G48=0,"",G48/G$7)</f>
      </c>
      <c r="I48" s="606">
        <f>SUM(I36:I47)</f>
        <v>0</v>
      </c>
      <c r="J48" s="634">
        <f>IF(I48=0,"",I48/I$7)</f>
      </c>
      <c r="K48" s="606">
        <f>SUM(K36:K47)</f>
        <v>0</v>
      </c>
      <c r="L48" s="634">
        <f>IF(K48=0,"",K48/K$7)</f>
      </c>
    </row>
    <row r="49" ht="22.5" customHeight="1" s="594">
      <c r="B49" s="212" t="inlineStr">
        <is>
          <t>合計</t>
        </is>
      </c>
      <c r="C49" s="657">
        <f>SUM(C47:C48)</f>
        <v>0</v>
      </c>
      <c r="D49" s="636">
        <f>IF(C49=0,"",C49/C$7)</f>
      </c>
      <c r="E49" s="635">
        <f>SUM(E47:E48)</f>
        <v>0</v>
      </c>
      <c r="F49" s="636">
        <f>IF(E49=0,"",E49/E$7)</f>
      </c>
      <c r="G49" s="635">
        <f>SUM(G47:G48)</f>
        <v>0</v>
      </c>
      <c r="H49" s="636">
        <f>IF(G49=0,"",G49/G$7)</f>
      </c>
      <c r="I49" s="635">
        <f>SUM(I47:I48)</f>
        <v>0</v>
      </c>
      <c r="J49" s="636">
        <f>IF(I49=0,"",I49/I$7)</f>
      </c>
      <c r="K49" s="635">
        <f>SUM(K47:K48)</f>
        <v>0</v>
      </c>
      <c r="L49" s="636">
        <f>IF(K49=0,"",K49/K$7)</f>
      </c>
    </row>
    <row r="50" ht="22.5" customHeight="1" s="594">
      <c r="B50" s="229" t="inlineStr">
        <is>
          <t>期末仕掛品棚卸高</t>
        </is>
      </c>
      <c r="C50" s="658" t="n"/>
      <c r="D50" s="659">
        <f>IF(C50=0,"",C50/C$7)</f>
      </c>
      <c r="E50" s="660">
        <f>SUM(E40:E49)</f>
        <v>0</v>
      </c>
      <c r="F50" s="659">
        <f>IF(E50=0,"",E50/E$7)</f>
      </c>
      <c r="G50" s="660">
        <f>SUM(G40:G49)</f>
        <v>0</v>
      </c>
      <c r="H50" s="659">
        <f>IF(G50=0,"",G50/G$7)</f>
      </c>
      <c r="I50" s="660">
        <f>SUM(I40:I49)</f>
        <v>0</v>
      </c>
      <c r="J50" s="659">
        <f>IF(I50=0,"",I50/I$7)</f>
      </c>
      <c r="K50" s="660">
        <f>SUM(K40:K49)</f>
        <v>0</v>
      </c>
      <c r="L50" s="659">
        <f>IF(K50=0,"",K50/K$7)</f>
      </c>
    </row>
    <row r="51" ht="22.5" customHeight="1" s="594">
      <c r="B51" s="212" t="inlineStr">
        <is>
          <t>当期製造原価</t>
        </is>
      </c>
      <c r="C51" s="657">
        <f>C49-C50</f>
        <v>0</v>
      </c>
      <c r="D51" s="636">
        <f>IF(C51=0,"",C51/C$7)</f>
      </c>
      <c r="E51" s="635">
        <f>E49-E50</f>
        <v>0</v>
      </c>
      <c r="F51" s="636">
        <f>IF(E51=0,"",E51/E$7)</f>
      </c>
      <c r="G51" s="635">
        <f>G49-G50</f>
        <v>0</v>
      </c>
      <c r="H51" s="636">
        <f>IF(G51=0,"",G51/G$7)</f>
      </c>
      <c r="I51" s="635">
        <f>I49-I50</f>
        <v>0</v>
      </c>
      <c r="J51" s="636">
        <f>IF(I51=0,"",I51/I$7)</f>
      </c>
      <c r="K51" s="635">
        <f>K49-K50</f>
        <v>0</v>
      </c>
      <c r="L51" s="636">
        <f>IF(K51=0,"",K51/K$7)</f>
      </c>
    </row>
    <row r="52">
      <c r="B52" s="177" t="n"/>
      <c r="C52" s="661" t="n"/>
      <c r="D52" s="662" t="n"/>
      <c r="E52" s="663" t="n"/>
      <c r="F52" s="662" t="n"/>
      <c r="G52" s="663" t="n"/>
      <c r="H52" s="662" t="n"/>
      <c r="I52" s="663" t="n"/>
      <c r="J52" s="662" t="n"/>
      <c r="K52" s="663" t="n"/>
      <c r="L52" s="662" t="n"/>
    </row>
    <row r="53">
      <c r="B53" s="177" t="n"/>
      <c r="C53" s="661" t="n"/>
      <c r="D53" s="662" t="n"/>
      <c r="E53" s="663" t="n"/>
      <c r="F53" s="662" t="n"/>
      <c r="G53" s="663" t="n"/>
      <c r="H53" s="662" t="n"/>
      <c r="I53" s="663" t="n"/>
      <c r="J53" s="662" t="n"/>
      <c r="K53" s="663" t="n"/>
      <c r="L53" s="662" t="n"/>
    </row>
    <row r="54">
      <c r="B54" s="177" t="n"/>
      <c r="C54" s="661" t="n"/>
      <c r="D54" s="662" t="n"/>
      <c r="E54" s="663" t="n"/>
      <c r="F54" s="662" t="n"/>
      <c r="G54" s="663" t="n"/>
      <c r="H54" s="662" t="n"/>
      <c r="I54" s="663" t="n"/>
      <c r="J54" s="662" t="n"/>
      <c r="K54" s="663" t="n"/>
      <c r="L54" s="662" t="n"/>
    </row>
    <row r="55">
      <c r="B55" s="177" t="n"/>
      <c r="C55" s="661" t="n"/>
      <c r="D55" s="662" t="n"/>
      <c r="E55" s="663" t="n"/>
      <c r="F55" s="662" t="n"/>
      <c r="G55" s="663" t="n"/>
      <c r="H55" s="662" t="n"/>
      <c r="I55" s="663" t="n"/>
      <c r="J55" s="662" t="n"/>
      <c r="K55" s="663" t="n"/>
      <c r="L55" s="662" t="n"/>
    </row>
    <row r="56">
      <c r="B56" s="177" t="n"/>
      <c r="C56" s="661" t="n"/>
      <c r="D56" s="662" t="n"/>
      <c r="E56" s="663" t="n"/>
      <c r="F56" s="662" t="n"/>
      <c r="G56" s="663" t="n"/>
      <c r="H56" s="662" t="n"/>
      <c r="I56" s="663" t="n"/>
      <c r="J56" s="662" t="n"/>
      <c r="K56" s="663" t="n"/>
      <c r="L56" s="662" t="n"/>
    </row>
    <row r="57">
      <c r="B57" s="177" t="n"/>
      <c r="C57" s="661" t="n"/>
      <c r="D57" s="662" t="n"/>
      <c r="E57" s="663" t="n"/>
      <c r="F57" s="662" t="n"/>
      <c r="G57" s="663" t="n"/>
      <c r="H57" s="662" t="n"/>
      <c r="I57" s="663" t="n"/>
      <c r="J57" s="662" t="n"/>
      <c r="K57" s="663" t="n"/>
      <c r="L57" s="662" t="n"/>
    </row>
    <row r="58">
      <c r="B58" s="177" t="n"/>
      <c r="C58" s="661" t="n"/>
      <c r="D58" s="662" t="n"/>
      <c r="E58" s="663" t="n"/>
      <c r="F58" s="662" t="n"/>
      <c r="G58" s="663" t="n"/>
      <c r="H58" s="662" t="n"/>
      <c r="I58" s="663" t="n"/>
      <c r="J58" s="662" t="n"/>
      <c r="K58" s="663" t="n"/>
      <c r="L58" s="662" t="n"/>
    </row>
    <row r="59">
      <c r="B59" s="177" t="n"/>
      <c r="C59" s="661" t="n"/>
      <c r="D59" s="662" t="n"/>
      <c r="E59" s="663" t="n"/>
      <c r="F59" s="662" t="n"/>
      <c r="G59" s="663" t="n"/>
      <c r="H59" s="662" t="n"/>
      <c r="I59" s="663" t="n"/>
      <c r="J59" s="662" t="n"/>
      <c r="K59" s="663" t="n"/>
      <c r="L59" s="662" t="n"/>
    </row>
    <row r="60">
      <c r="C60" s="609" t="n"/>
      <c r="E60" s="609" t="n"/>
      <c r="G60" s="609" t="n"/>
      <c r="I60" s="629" t="n"/>
      <c r="K60" s="609" t="n"/>
    </row>
    <row r="61">
      <c r="C61" s="609" t="n"/>
      <c r="E61" s="609" t="n"/>
      <c r="G61" s="609" t="n"/>
      <c r="I61" s="629" t="n"/>
      <c r="K61" s="609" t="n"/>
    </row>
    <row r="62">
      <c r="C62" s="609" t="n"/>
      <c r="E62" s="609" t="n"/>
      <c r="G62" s="609" t="n"/>
      <c r="I62" s="629" t="n"/>
      <c r="K62" s="609" t="n"/>
    </row>
  </sheetData>
  <mergeCells count="1">
    <mergeCell ref="B5:B6"/>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M54"/>
  <sheetViews>
    <sheetView showGridLines="0" zoomScaleNormal="100" workbookViewId="0">
      <pane ySplit="4" topLeftCell="A5" activePane="bottomLeft" state="frozen"/>
      <selection pane="bottomLeft" activeCell="L6" sqref="L6:L39"/>
    </sheetView>
  </sheetViews>
  <sheetFormatPr baseColWidth="8" defaultRowHeight="18"/>
  <cols>
    <col width="28" bestFit="1" customWidth="1" style="184" min="2" max="2"/>
    <col width="15" customWidth="1" style="594" min="3" max="7"/>
    <col width="15" customWidth="1" style="177" min="8" max="9"/>
    <col width="15" customWidth="1" style="594" min="10" max="12"/>
    <col width="16.09765625" customWidth="1" style="594" min="13" max="13"/>
    <col width="8.796875" customWidth="1" style="594" min="14" max="14"/>
  </cols>
  <sheetData>
    <row r="2">
      <c r="B2" s="0" t="n"/>
      <c r="C2" s="177" t="n"/>
      <c r="D2" s="192" t="n"/>
      <c r="G2" s="177" t="n"/>
      <c r="H2" s="73" t="inlineStr">
        <is>
          <t>(単位：千円)</t>
        </is>
      </c>
      <c r="I2" s="0" t="n"/>
      <c r="K2" s="177" t="n"/>
      <c r="L2" s="192" t="n"/>
    </row>
    <row r="3" ht="19.8" customHeight="1" s="594">
      <c r="B3" s="567" t="inlineStr">
        <is>
          <t>科目</t>
        </is>
      </c>
      <c r="C3" s="195" t="str">
        <f>'BS(借方)'!C4</f>
        <v>令和6年3月期</v>
      </c>
      <c r="D3" s="197" t="n"/>
      <c r="E3" s="198" t="str">
        <f>'BS(借方)'!D4</f>
        <v>令和7年3月期</v>
      </c>
      <c r="F3" s="176" t="n"/>
      <c r="G3" s="199" t="str">
        <f>'BS(借方)'!E4</f>
        <v>令和8年3月期</v>
      </c>
      <c r="H3" s="200" t="n"/>
      <c r="I3" s="201" t="str">
        <f>'BS(借方)'!F4</f>
        <v>－</v>
      </c>
      <c r="J3" s="202" t="n"/>
      <c r="K3" s="203" t="str">
        <f>'BS(借方)'!G4</f>
        <v>進行期
（試算表未受領）</v>
      </c>
      <c r="L3" s="204" t="n"/>
    </row>
    <row r="4" ht="19.8" customHeight="1" s="594">
      <c r="B4" s="664" t="n"/>
      <c r="C4" s="220" t="inlineStr">
        <is>
          <t>帳簿価額</t>
        </is>
      </c>
      <c r="D4" s="193" t="inlineStr">
        <is>
          <t>売上高比</t>
        </is>
      </c>
      <c r="E4" s="220" t="inlineStr">
        <is>
          <t>帳簿価額</t>
        </is>
      </c>
      <c r="F4" s="220" t="inlineStr">
        <is>
          <t>売上高比</t>
        </is>
      </c>
      <c r="G4" s="220" t="inlineStr">
        <is>
          <t>帳簿価額</t>
        </is>
      </c>
      <c r="H4" s="193" t="inlineStr">
        <is>
          <t>売上高比</t>
        </is>
      </c>
      <c r="I4" s="220" t="inlineStr">
        <is>
          <t>帳簿価額</t>
        </is>
      </c>
      <c r="J4" s="193" t="inlineStr">
        <is>
          <t>売上高比</t>
        </is>
      </c>
      <c r="K4" s="221" t="inlineStr">
        <is>
          <t>帳簿価額</t>
        </is>
      </c>
      <c r="L4" s="194" t="inlineStr">
        <is>
          <t>売上高比</t>
        </is>
      </c>
    </row>
    <row r="5" ht="22.5" customHeight="1" s="594">
      <c r="B5" s="222" t="inlineStr">
        <is>
          <t>売上</t>
        </is>
      </c>
      <c r="C5" s="654">
        <f>PL!C11</f>
        <v>383439251</v>
      </c>
      <c r="D5" s="655" t="inlineStr">
        <is>
          <t>-</t>
        </is>
      </c>
      <c r="E5" s="656">
        <f>PL!E11</f>
        <v>1230829971</v>
      </c>
      <c r="F5" s="655" t="inlineStr">
        <is>
          <t>-</t>
        </is>
      </c>
      <c r="G5" s="656">
        <f>PL!G11</f>
        <v>319338374</v>
      </c>
      <c r="H5" s="655" t="inlineStr">
        <is>
          <t>-</t>
        </is>
      </c>
      <c r="I5" s="656">
        <f>PL!I11</f>
        <v>0</v>
      </c>
      <c r="J5" s="655" t="inlineStr">
        <is>
          <t>-</t>
        </is>
      </c>
      <c r="K5" s="656">
        <f>PL!K11</f>
        <v>0</v>
      </c>
      <c r="L5" s="655" t="inlineStr">
        <is>
          <t>-</t>
        </is>
      </c>
      <c r="M5" s="653" t="inlineStr">
        <is>
          <t>←IMに貼るときは非表示</t>
        </is>
      </c>
    </row>
    <row r="6" ht="22.5" customHeight="1" s="594">
      <c r="B6" s="223" t="inlineStr">
        <is>
          <t>役員報酬</t>
        </is>
      </c>
      <c r="C6" s="617" t="n">
        <v>1920000</v>
      </c>
      <c r="D6" s="633">
        <f>IFERROR(C6/$C$5,"")</f>
        <v>0.00500731209700803</v>
      </c>
      <c r="E6" s="604" t="n">
        <v>1920000</v>
      </c>
      <c r="F6" s="633">
        <f>IFERROR(E6/$E$5,"")</f>
        <v>0.00155992301555679</v>
      </c>
      <c r="G6" s="604" t="n">
        <v>1920000</v>
      </c>
      <c r="H6" s="633">
        <f>IFERROR(G6/$G$5,"")</f>
        <v>0.00601243118999535</v>
      </c>
      <c r="I6" s="604" t="n"/>
      <c r="J6" s="633">
        <f>IFERROR(I6/$I$5,"")</f>
      </c>
      <c r="K6" s="604" t="n"/>
      <c r="L6" s="633">
        <f>IFERROR(K6/$K$5,"")</f>
      </c>
    </row>
    <row r="7" ht="22.5" customHeight="1" s="594">
      <c r="B7" s="207" t="inlineStr">
        <is>
          <t>給料手当</t>
        </is>
      </c>
      <c r="C7" s="617" t="n">
        <v>137394789</v>
      </c>
      <c r="D7" s="633">
        <f>IFERROR(C7/$C$5,"")</f>
        <v>0.358322181784149</v>
      </c>
      <c r="E7" s="604" t="n">
        <v>111145074</v>
      </c>
      <c r="F7" s="633">
        <f>IFERROR(E7/$E$5,"")</f>
        <v>0.0903009161449807</v>
      </c>
      <c r="G7" s="604" t="n">
        <v>113155654</v>
      </c>
      <c r="H7" s="633">
        <f>IFERROR(G7/$G$5,"")</f>
        <v>0.354344053871834</v>
      </c>
      <c r="I7" s="604" t="n"/>
      <c r="J7" s="633">
        <f>IFERROR(I7/$I$5,"")</f>
      </c>
      <c r="K7" s="604" t="n"/>
      <c r="L7" s="633">
        <f>IFERROR(K7/$K$5,"")</f>
      </c>
    </row>
    <row r="8" ht="22.5" customHeight="1" s="594">
      <c r="B8" s="207" t="inlineStr">
        <is>
          <t>法定福利費</t>
        </is>
      </c>
      <c r="C8" s="617" t="n">
        <v>21065176</v>
      </c>
      <c r="D8" s="633">
        <f>IFERROR(C8/$C$5,"")</f>
        <v>0.0549374534429184</v>
      </c>
      <c r="E8" s="604" t="n">
        <v>14045855</v>
      </c>
      <c r="F8" s="633">
        <f>IFERROR(E8/$E$5,"")</f>
        <v>0.0114116940039966</v>
      </c>
      <c r="G8" s="604" t="n">
        <v>18258884</v>
      </c>
      <c r="H8" s="633">
        <f>IFERROR(G8/$G$5,"")</f>
        <v>0.0571772310708891</v>
      </c>
      <c r="I8" s="604" t="n"/>
      <c r="J8" s="633">
        <f>IFERROR(I8/$I$5,"")</f>
      </c>
      <c r="K8" s="604" t="n"/>
      <c r="L8" s="633">
        <f>IFERROR(K8/$K$5,"")</f>
      </c>
    </row>
    <row r="9" ht="22.5" customHeight="1" s="594">
      <c r="B9" s="207" t="inlineStr">
        <is>
          <t>荷造運賃</t>
        </is>
      </c>
      <c r="C9" s="617" t="n">
        <v>893478</v>
      </c>
      <c r="D9" s="633">
        <f>IFERROR(C9/$C$5,"")</f>
        <v>0.00233016833219299</v>
      </c>
      <c r="E9" s="604" t="n">
        <v>813145</v>
      </c>
      <c r="F9" s="633">
        <f>IFERROR(E9/$E$5,"")</f>
        <v>0.0006606477085859</v>
      </c>
      <c r="G9" s="604" t="n">
        <v>654125</v>
      </c>
      <c r="H9" s="633">
        <f>IFERROR(G9/$G$5,"")</f>
        <v>0.00204837580841443</v>
      </c>
      <c r="I9" s="604" t="n"/>
      <c r="J9" s="633">
        <f>IFERROR(I9/$I$5,"")</f>
      </c>
      <c r="K9" s="604" t="n"/>
      <c r="L9" s="633">
        <f>IFERROR(K9/$K$5,"")</f>
      </c>
    </row>
    <row r="10" ht="22.5" customHeight="1" s="594">
      <c r="B10" s="207" t="inlineStr">
        <is>
          <t>減価償却費</t>
        </is>
      </c>
      <c r="C10" s="617" t="n">
        <v>4594828</v>
      </c>
      <c r="D10" s="633">
        <f>IFERROR(C10/$C$5,"")</f>
        <v>0.0119831967854538</v>
      </c>
      <c r="E10" s="604" t="n">
        <v>14219250</v>
      </c>
      <c r="F10" s="633">
        <f>IFERROR(E10/$E$5,"")</f>
        <v>0.0115525704890395</v>
      </c>
      <c r="G10" s="604" t="n">
        <v>11895803</v>
      </c>
      <c r="H10" s="633">
        <f>IFERROR(G10/$G$5,"")</f>
        <v>0.0372514046808543</v>
      </c>
      <c r="I10" s="604" t="n"/>
      <c r="J10" s="633">
        <f>IFERROR(I10/$I$5,"")</f>
      </c>
      <c r="K10" s="604" t="n"/>
      <c r="L10" s="633">
        <f>IFERROR(K10/$K$5,"")</f>
      </c>
    </row>
    <row r="11" ht="22.5" customHeight="1" s="594">
      <c r="B11" s="207" t="inlineStr">
        <is>
          <t>地代家賃</t>
        </is>
      </c>
      <c r="C11" s="617" t="n">
        <v>14896364</v>
      </c>
      <c r="D11" s="633">
        <f>IFERROR(C11/$C$5,"")</f>
        <v>0.0388493456555391</v>
      </c>
      <c r="E11" s="604" t="n">
        <v>17605421</v>
      </c>
      <c r="F11" s="633">
        <f>IFERROR(E11/$E$5,"")</f>
        <v>0.0143036986544098</v>
      </c>
      <c r="G11" s="604" t="n">
        <v>21688139</v>
      </c>
      <c r="H11" s="633">
        <f>IFERROR(G11/$G$5,"")</f>
        <v>0.0679158559252888</v>
      </c>
      <c r="I11" s="604" t="n"/>
      <c r="J11" s="633">
        <f>IFERROR(I11/$I$5,"")</f>
      </c>
      <c r="K11" s="604" t="n"/>
      <c r="L11" s="633">
        <f>IFERROR(K11/$K$5,"")</f>
      </c>
    </row>
    <row r="12" ht="22.5" customHeight="1" s="594">
      <c r="B12" s="207" t="inlineStr">
        <is>
          <t>修繕費</t>
        </is>
      </c>
      <c r="C12" s="617" t="n">
        <v>4820065</v>
      </c>
      <c r="D12" s="633">
        <f>IFERROR(C12/$C$5,"")</f>
        <v>0.0125706092619089</v>
      </c>
      <c r="E12" s="604" t="n">
        <v>12667849</v>
      </c>
      <c r="F12" s="633">
        <f>IFERROR(E12/$E$5,"")</f>
        <v>0.0102921193816136</v>
      </c>
      <c r="G12" s="604" t="n">
        <v>349720</v>
      </c>
      <c r="H12" s="633">
        <f>IFERROR(G12/$G$5,"")</f>
        <v>0.00109513928946103</v>
      </c>
      <c r="I12" s="604" t="n"/>
      <c r="J12" s="633">
        <f>IFERROR(I12/$I$5,"")</f>
      </c>
      <c r="K12" s="604" t="n"/>
      <c r="L12" s="633">
        <f>IFERROR(K12/$K$5,"")</f>
      </c>
    </row>
    <row r="13" ht="22.5" customHeight="1" s="594">
      <c r="B13" s="207" t="inlineStr">
        <is>
          <t>事務用品費</t>
        </is>
      </c>
      <c r="C13" s="617" t="n"/>
      <c r="D13" s="633">
        <f>IFERROR(C13/$C$5,"")</f>
        <v>0</v>
      </c>
      <c r="E13" s="604" t="n"/>
      <c r="F13" s="633">
        <f>IFERROR(E13/$E$5,"")</f>
        <v>0</v>
      </c>
      <c r="G13" s="604" t="n"/>
      <c r="H13" s="633">
        <f>IFERROR(G13/$G$5,"")</f>
        <v>0</v>
      </c>
      <c r="I13" s="604" t="n"/>
      <c r="J13" s="633">
        <f>IFERROR(I13/$I$5,"")</f>
      </c>
      <c r="K13" s="604" t="n"/>
      <c r="L13" s="633">
        <f>IFERROR(K13/$K$5,"")</f>
      </c>
    </row>
    <row r="14" ht="22.5" customHeight="1" s="594">
      <c r="B14" s="207" t="inlineStr">
        <is>
          <t>消耗品費</t>
        </is>
      </c>
      <c r="C14" s="617" t="n">
        <v>8665567</v>
      </c>
      <c r="D14" s="633">
        <f>IFERROR(C14/$C$5,"")</f>
        <v>0.0225995825346529</v>
      </c>
      <c r="E14" s="604" t="n">
        <v>3622074</v>
      </c>
      <c r="F14" s="633">
        <f>IFERROR(E14/$E$5,"")</f>
        <v>0.00294278989408847</v>
      </c>
      <c r="G14" s="604" t="n">
        <v>3114486</v>
      </c>
      <c r="H14" s="633">
        <f>IFERROR(G14/$G$5,"")</f>
        <v>0.00975293373291868</v>
      </c>
      <c r="I14" s="604" t="n"/>
      <c r="J14" s="633">
        <f>IFERROR(I14/$I$5,"")</f>
      </c>
      <c r="K14" s="604" t="n"/>
      <c r="L14" s="633">
        <f>IFERROR(K14/$K$5,"")</f>
      </c>
    </row>
    <row r="15" ht="22.5" customHeight="1" s="594">
      <c r="B15" s="207" t="inlineStr">
        <is>
          <t>水道光熱費</t>
        </is>
      </c>
      <c r="C15" s="617" t="n">
        <v>12094761</v>
      </c>
      <c r="D15" s="633">
        <f>IFERROR(C15/$C$5,"")</f>
        <v>0.031542834930063</v>
      </c>
      <c r="E15" s="604" t="n">
        <v>7886267</v>
      </c>
      <c r="F15" s="633">
        <f>IFERROR(E15/$E$5,"")</f>
        <v>0.0064072757292323</v>
      </c>
      <c r="G15" s="604" t="n">
        <v>8256277</v>
      </c>
      <c r="H15" s="633">
        <f>IFERROR(G15/$G$5,"")</f>
        <v>0.0258543215354381</v>
      </c>
      <c r="I15" s="604" t="n"/>
      <c r="J15" s="633">
        <f>IFERROR(I15/$I$5,"")</f>
      </c>
      <c r="K15" s="604" t="n"/>
      <c r="L15" s="633">
        <f>IFERROR(K15/$K$5,"")</f>
      </c>
    </row>
    <row r="16" ht="22.5" customHeight="1" s="594">
      <c r="B16" s="207" t="inlineStr">
        <is>
          <t>旅費交通費</t>
        </is>
      </c>
      <c r="C16" s="617" t="n">
        <v>4459042</v>
      </c>
      <c r="D16" s="633">
        <f>IFERROR(C16/$C$5,"")</f>
        <v>0.0116290702852432</v>
      </c>
      <c r="E16" s="604" t="n">
        <v>13621116</v>
      </c>
      <c r="F16" s="633">
        <f>IFERROR(E16/$E$5,"")</f>
        <v>0.0110666105968588</v>
      </c>
      <c r="G16" s="604" t="n">
        <v>6127921</v>
      </c>
      <c r="H16" s="633">
        <f>IFERROR(G16/$G$5,"")</f>
        <v>0.0191894288282435</v>
      </c>
      <c r="I16" s="604" t="n"/>
      <c r="J16" s="633">
        <f>IFERROR(I16/$I$5,"")</f>
      </c>
      <c r="K16" s="604" t="n"/>
      <c r="L16" s="633">
        <f>IFERROR(K16/$K$5,"")</f>
      </c>
    </row>
    <row r="17" ht="22.5" customHeight="1" s="594">
      <c r="B17" s="207" t="inlineStr">
        <is>
          <t>支払手数料</t>
        </is>
      </c>
      <c r="C17" s="617" t="n">
        <v>26496901</v>
      </c>
      <c r="D17" s="633">
        <f>IFERROR(C17/$C$5,"")</f>
        <v>0.0691032567242314</v>
      </c>
      <c r="E17" s="604" t="n">
        <v>25381508</v>
      </c>
      <c r="F17" s="633">
        <f>IFERROR(E17/$E$5,"")</f>
        <v>0.0206214575514265</v>
      </c>
      <c r="G17" s="604" t="n">
        <v>13893115</v>
      </c>
      <c r="H17" s="633">
        <f>IFERROR(G17/$G$5,"")</f>
        <v>0.0435059364334335</v>
      </c>
      <c r="I17" s="604" t="n"/>
      <c r="J17" s="633">
        <f>IFERROR(I17/$I$5,"")</f>
      </c>
      <c r="K17" s="604" t="n"/>
      <c r="L17" s="633">
        <f>IFERROR(K17/$K$5,"")</f>
      </c>
    </row>
    <row r="18" ht="22.5" customHeight="1" s="594">
      <c r="B18" s="207" t="inlineStr">
        <is>
          <t>租税公課</t>
        </is>
      </c>
      <c r="C18" s="617" t="n">
        <v>6754902</v>
      </c>
      <c r="D18" s="633">
        <f>IFERROR(C18/$C$5,"")</f>
        <v>0.0176166158847415</v>
      </c>
      <c r="E18" s="604" t="n">
        <v>9642116</v>
      </c>
      <c r="F18" s="633">
        <f>IFERROR(E18/$E$5,"")</f>
        <v>0.00783383263909813</v>
      </c>
      <c r="G18" s="604" t="n">
        <v>4553800</v>
      </c>
      <c r="H18" s="633">
        <f>IFERROR(G18/$G$5,"")</f>
        <v>0.0142601089338546</v>
      </c>
      <c r="I18" s="604" t="n"/>
      <c r="J18" s="633">
        <f>IFERROR(I18/$I$5,"")</f>
      </c>
      <c r="K18" s="604" t="n"/>
      <c r="L18" s="633">
        <f>IFERROR(K18/$K$5,"")</f>
      </c>
    </row>
    <row r="19" ht="22.5" customHeight="1" s="594">
      <c r="B19" s="207" t="inlineStr">
        <is>
          <t>交際接待費</t>
        </is>
      </c>
      <c r="C19" s="617" t="n">
        <v>3417904</v>
      </c>
      <c r="D19" s="633">
        <f>IFERROR(C19/$C$5,"")</f>
        <v>0.00891380835708966</v>
      </c>
      <c r="E19" s="604" t="n">
        <v>3153229</v>
      </c>
      <c r="F19" s="633">
        <f>IFERROR(E19/$E$5,"")</f>
        <v>0.00256187213042767</v>
      </c>
      <c r="G19" s="604" t="n">
        <v>0</v>
      </c>
      <c r="H19" s="633">
        <f>IFERROR(G19/$G$5,"")</f>
        <v>0</v>
      </c>
      <c r="I19" s="604" t="n"/>
      <c r="J19" s="633">
        <f>IFERROR(I19/$I$5,"")</f>
      </c>
      <c r="K19" s="604" t="n"/>
      <c r="L19" s="633">
        <f>IFERROR(K19/$K$5,"")</f>
      </c>
    </row>
    <row r="20" ht="22.5" customHeight="1" s="594">
      <c r="B20" s="207" t="inlineStr">
        <is>
          <t>保険料</t>
        </is>
      </c>
      <c r="C20" s="617" t="n">
        <v>94180</v>
      </c>
      <c r="D20" s="633">
        <f>IFERROR(C20/$C$5,"")</f>
        <v>0.000245619090258446</v>
      </c>
      <c r="E20" s="604" t="n">
        <v>219320</v>
      </c>
      <c r="F20" s="633">
        <f>IFERROR(E20/$E$5,"")</f>
        <v>0.000178188706131206</v>
      </c>
      <c r="G20" s="604" t="n">
        <v>664014</v>
      </c>
      <c r="H20" s="633">
        <f>IFERROR(G20/$G$5,"")</f>
        <v>0.00207934296051749</v>
      </c>
      <c r="I20" s="604" t="n"/>
      <c r="J20" s="633">
        <f>IFERROR(I20/$I$5,"")</f>
      </c>
      <c r="K20" s="604" t="n"/>
      <c r="L20" s="633">
        <f>IFERROR(K20/$K$5,"")</f>
      </c>
    </row>
    <row r="21" ht="22.5" customHeight="1" s="594">
      <c r="B21" s="207" t="inlineStr">
        <is>
          <t>通信費</t>
        </is>
      </c>
      <c r="C21" s="617" t="n">
        <v>1009720</v>
      </c>
      <c r="D21" s="633">
        <f>IFERROR(C21/$C$5,"")</f>
        <v>0.00263332456801612</v>
      </c>
      <c r="E21" s="604" t="n">
        <v>953882</v>
      </c>
      <c r="F21" s="633">
        <f>IFERROR(E21/$E$5,"")</f>
        <v>0.000774990878086117</v>
      </c>
      <c r="G21" s="604" t="n">
        <v>836193</v>
      </c>
      <c r="H21" s="633">
        <f>IFERROR(G21/$G$5,"")</f>
        <v>0.00261851712190405</v>
      </c>
      <c r="I21" s="604" t="n"/>
      <c r="J21" s="633">
        <f>IFERROR(I21/$I$5,"")</f>
      </c>
      <c r="K21" s="604" t="n"/>
      <c r="L21" s="633">
        <f>IFERROR(K21/$K$5,"")</f>
      </c>
    </row>
    <row r="22" ht="22.5" customHeight="1" s="594">
      <c r="B22" s="207" t="inlineStr">
        <is>
          <t>諸会費</t>
        </is>
      </c>
      <c r="C22" s="617" t="n">
        <v>28000</v>
      </c>
      <c r="D22" s="633">
        <f>IFERROR(C22/$C$5,"")</f>
        <v>7.30233014147005e-05</v>
      </c>
      <c r="E22" s="604" t="n">
        <v>60000</v>
      </c>
      <c r="F22" s="633">
        <f>IFERROR(E22/$E$5,"")</f>
        <v>4.87475942361498e-05</v>
      </c>
      <c r="G22" s="604" t="n">
        <v>60000</v>
      </c>
      <c r="H22" s="633">
        <f>IFERROR(G22/$G$5,"")</f>
        <v>0.000187888474687355</v>
      </c>
      <c r="I22" s="604" t="n"/>
      <c r="J22" s="633">
        <f>IFERROR(I22/$I$5,"")</f>
      </c>
      <c r="K22" s="604" t="n"/>
      <c r="L22" s="633">
        <f>IFERROR(K22/$K$5,"")</f>
      </c>
    </row>
    <row r="23" ht="22.5" customHeight="1" s="594">
      <c r="B23" s="207" t="inlineStr">
        <is>
          <t>車輛費</t>
        </is>
      </c>
      <c r="C23" s="617" t="n">
        <v>966665</v>
      </c>
      <c r="D23" s="633">
        <f>IFERROR(C23/$C$5,"")</f>
        <v>0.00252103820221577</v>
      </c>
      <c r="E23" s="604" t="n">
        <v>159400</v>
      </c>
      <c r="F23" s="633">
        <f>IFERROR(E23/$E$5,"")</f>
        <v>0.000129506108687371</v>
      </c>
      <c r="G23" s="604" t="n">
        <v>653731</v>
      </c>
      <c r="H23" s="633">
        <f>IFERROR(G23/$G$5,"")</f>
        <v>0.00204714200743065</v>
      </c>
      <c r="I23" s="604" t="n"/>
      <c r="J23" s="633">
        <f>IFERROR(I23/$I$5,"")</f>
      </c>
      <c r="K23" s="604" t="n"/>
      <c r="L23" s="633">
        <f>IFERROR(K23/$K$5,"")</f>
      </c>
    </row>
    <row r="24" ht="22.5" customHeight="1" s="594">
      <c r="B24" s="207" t="inlineStr">
        <is>
          <t>貸倒引当金繰入額</t>
        </is>
      </c>
      <c r="C24" s="617" t="n"/>
      <c r="D24" s="633">
        <f>IFERROR(C24/$C$5,"")</f>
        <v>0</v>
      </c>
      <c r="E24" s="604" t="n"/>
      <c r="F24" s="633">
        <f>IFERROR(E24/$E$5,"")</f>
        <v>0</v>
      </c>
      <c r="G24" s="604" t="n"/>
      <c r="H24" s="633">
        <f>IFERROR(G24/$G$5,"")</f>
        <v>0</v>
      </c>
      <c r="I24" s="604" t="n"/>
      <c r="J24" s="633">
        <f>IFERROR(I24/$I$5,"")</f>
      </c>
      <c r="K24" s="604" t="n"/>
      <c r="L24" s="633">
        <f>IFERROR(K24/$K$5,"")</f>
      </c>
    </row>
    <row r="25" ht="22.5" customHeight="1" s="594">
      <c r="B25" s="207" t="inlineStr">
        <is>
          <t>研修費</t>
        </is>
      </c>
      <c r="C25" s="617" t="n">
        <v>3456</v>
      </c>
      <c r="D25" s="633">
        <f>IFERROR(C25/$C$5,"")</f>
        <v>9.01316177461446e-06</v>
      </c>
      <c r="E25" s="604" t="n">
        <v>0</v>
      </c>
      <c r="F25" s="633">
        <f>IFERROR(E25/$E$5,"")</f>
        <v>0</v>
      </c>
      <c r="G25" s="604" t="n">
        <v>0</v>
      </c>
      <c r="H25" s="633">
        <f>IFERROR(G25/$G$5,"")</f>
        <v>0</v>
      </c>
      <c r="I25" s="604" t="n"/>
      <c r="J25" s="633">
        <f>IFERROR(I25/$I$5,"")</f>
      </c>
      <c r="K25" s="604" t="n"/>
      <c r="L25" s="633">
        <f>IFERROR(K25/$K$5,"")</f>
      </c>
    </row>
    <row r="26" ht="22.5" customHeight="1" s="594">
      <c r="B26" s="207" t="inlineStr">
        <is>
          <t>雑費</t>
        </is>
      </c>
      <c r="C26" s="617" t="n">
        <v>1181195</v>
      </c>
      <c r="D26" s="633">
        <f>IFERROR(C26/$C$5,"")</f>
        <v>0.0030805270898049</v>
      </c>
      <c r="E26" s="604" t="n">
        <v>7140452</v>
      </c>
      <c r="F26" s="633">
        <f>IFERROR(E26/$E$5,"")</f>
        <v>0.0058013309459784</v>
      </c>
      <c r="G26" s="604" t="n">
        <v>1368052</v>
      </c>
      <c r="H26" s="633">
        <f>IFERROR(G26/$G$5,"")</f>
        <v>0.00428402005954975</v>
      </c>
      <c r="I26" s="604" t="n"/>
      <c r="J26" s="633">
        <f>IFERROR(I26/$I$5,"")</f>
      </c>
      <c r="K26" s="604" t="n"/>
      <c r="L26" s="633">
        <f>IFERROR(K26/$K$5,"")</f>
      </c>
    </row>
    <row r="27" ht="22.5" customHeight="1" s="594">
      <c r="B27" s="207" t="inlineStr">
        <is>
          <t>福利厚生費</t>
        </is>
      </c>
      <c r="C27" s="617" t="n">
        <v>291880</v>
      </c>
      <c r="D27" s="633">
        <f>IFERROR(C27/$C$5,"")</f>
        <v>0.000761215757747242</v>
      </c>
      <c r="E27" s="604" t="n">
        <v>380301</v>
      </c>
      <c r="F27" s="633">
        <f>IFERROR(E27/$E$5,"")</f>
        <v>0.0003089793139267</v>
      </c>
      <c r="G27" s="604" t="n">
        <v>235205</v>
      </c>
      <c r="H27" s="633">
        <f>IFERROR(G27/$G$5,"")</f>
        <v>0.000736538478147321</v>
      </c>
      <c r="I27" s="604" t="n"/>
      <c r="J27" s="633">
        <f>IFERROR(I27/$I$5,"")</f>
      </c>
      <c r="K27" s="604" t="n"/>
      <c r="L27" s="633">
        <f>IFERROR(K27/$K$5,"")</f>
      </c>
    </row>
    <row r="28" ht="22.5" customHeight="1" s="594">
      <c r="B28" s="207" t="inlineStr">
        <is>
          <t>外注費</t>
        </is>
      </c>
      <c r="C28" s="617" t="n">
        <v>6144296</v>
      </c>
      <c r="D28" s="633">
        <f>IFERROR(C28/$C$5,"")</f>
        <v>0.0160241706710407</v>
      </c>
      <c r="E28" s="604" t="n">
        <v>3207403</v>
      </c>
      <c r="F28" s="633">
        <f>IFERROR(E28/$E$5,"")</f>
        <v>0.00260588633326349</v>
      </c>
      <c r="G28" s="604" t="n">
        <v>2296521</v>
      </c>
      <c r="H28" s="633">
        <f>IFERROR(G28/$G$5,"")</f>
        <v>0.00719149712962464</v>
      </c>
      <c r="I28" s="604" t="n"/>
      <c r="J28" s="633">
        <f>IFERROR(I28/$I$5,"")</f>
      </c>
      <c r="K28" s="604" t="n"/>
      <c r="L28" s="633">
        <f>IFERROR(K28/$K$5,"")</f>
      </c>
    </row>
    <row r="29" ht="22.5" customHeight="1" s="594">
      <c r="B29" s="207" t="inlineStr">
        <is>
          <t>広告宣伝費</t>
        </is>
      </c>
      <c r="C29" s="617" t="n">
        <v>649000</v>
      </c>
      <c r="D29" s="633">
        <f>IFERROR(C29/$C$5,"")</f>
        <v>0.00169257580779074</v>
      </c>
      <c r="E29" s="604" t="n">
        <v>292026</v>
      </c>
      <c r="F29" s="633">
        <f>IFERROR(E29/$E$5,"")</f>
        <v>0.000237259415906765</v>
      </c>
      <c r="G29" s="604" t="n">
        <v>58411</v>
      </c>
      <c r="H29" s="633">
        <f>IFERROR(G29/$G$5,"")</f>
        <v>0.000182912561582718</v>
      </c>
      <c r="I29" s="604" t="n"/>
      <c r="J29" s="633">
        <f>IFERROR(I29/$I$5,"")</f>
      </c>
      <c r="K29" s="604" t="n"/>
      <c r="L29" s="633">
        <f>IFERROR(K29/$K$5,"")</f>
      </c>
    </row>
    <row r="30" ht="22.5" customHeight="1" s="594">
      <c r="B30" s="207" t="inlineStr">
        <is>
          <t>会議費</t>
        </is>
      </c>
      <c r="C30" s="617" t="n">
        <v>3050293</v>
      </c>
      <c r="D30" s="633">
        <f>IFERROR(C30/$C$5,"")</f>
        <v>0.00795508804079111</v>
      </c>
      <c r="E30" s="604" t="n">
        <v>5275153</v>
      </c>
      <c r="F30" s="633">
        <f>IFERROR(E30/$E$5,"")</f>
        <v>0.0042858502996268</v>
      </c>
      <c r="G30" s="604" t="n">
        <v>27249</v>
      </c>
      <c r="H30" s="633">
        <f>IFERROR(G30/$G$5,"")</f>
        <v>8.53295507792621e-05</v>
      </c>
      <c r="I30" s="604" t="n"/>
      <c r="J30" s="633">
        <f>IFERROR(I30/$I$5,"")</f>
      </c>
      <c r="K30" s="604" t="n"/>
      <c r="L30" s="633">
        <f>IFERROR(K30/$K$5,"")</f>
      </c>
    </row>
    <row r="31" ht="22.5" customHeight="1" s="594">
      <c r="B31" s="207" t="inlineStr">
        <is>
          <t>支払報酬料</t>
        </is>
      </c>
      <c r="C31" s="617" t="n">
        <v>4469601</v>
      </c>
      <c r="D31" s="633">
        <f>IFERROR(C31/$C$5,"")</f>
        <v>0.0116566078938017</v>
      </c>
      <c r="E31" s="604" t="n">
        <v>6976250</v>
      </c>
      <c r="F31" s="633">
        <f>IFERROR(E31/$E$5,"")</f>
        <v>0.00566792340483233</v>
      </c>
      <c r="G31" s="604" t="n">
        <v>1295640</v>
      </c>
      <c r="H31" s="633">
        <f>IFERROR(G31/$G$5,"")</f>
        <v>0.00405726372239874</v>
      </c>
      <c r="I31" s="604" t="n"/>
      <c r="J31" s="633">
        <f>IFERROR(I31/$I$5,"")</f>
      </c>
      <c r="K31" s="604" t="n"/>
      <c r="L31" s="633">
        <f>IFERROR(K31/$K$5,"")</f>
      </c>
    </row>
    <row r="32" ht="22.5" customHeight="1" s="594">
      <c r="B32" s="207" t="inlineStr">
        <is>
          <t>採用教育費</t>
        </is>
      </c>
      <c r="C32" s="617" t="n">
        <v>45273</v>
      </c>
      <c r="D32" s="633">
        <f>IFERROR(C32/$C$5,"")</f>
        <v>0.000118070854462419</v>
      </c>
      <c r="E32" s="604" t="n">
        <v>0</v>
      </c>
      <c r="F32" s="633">
        <f>IFERROR(E32/$E$5,"")</f>
        <v>0</v>
      </c>
      <c r="G32" s="604" t="n">
        <v>0</v>
      </c>
      <c r="H32" s="633">
        <f>IFERROR(G32/$G$5,"")</f>
        <v>0</v>
      </c>
      <c r="I32" s="604" t="n"/>
      <c r="J32" s="633">
        <f>IFERROR(I32/$I$5,"")</f>
      </c>
      <c r="K32" s="604" t="n"/>
      <c r="L32" s="633">
        <f>IFERROR(K32/$K$5,"")</f>
      </c>
    </row>
    <row r="33" ht="22.5" customHeight="1" s="594">
      <c r="B33" s="207" t="inlineStr">
        <is>
          <t>不動産管理費</t>
        </is>
      </c>
      <c r="C33" s="617" t="n">
        <v>4347132</v>
      </c>
      <c r="D33" s="633">
        <f>IFERROR(C33/$C$5,"")</f>
        <v>0.0113372117973389</v>
      </c>
      <c r="E33" s="604" t="n">
        <v>1928280</v>
      </c>
      <c r="F33" s="633">
        <f>IFERROR(E33/$E$5,"")</f>
        <v>0.00156665018356138</v>
      </c>
      <c r="G33" s="604" t="n">
        <v>686448</v>
      </c>
      <c r="H33" s="633">
        <f>IFERROR(G33/$G$5,"")</f>
        <v>0.00214959446120309</v>
      </c>
      <c r="I33" s="604" t="n"/>
      <c r="J33" s="633">
        <f>IFERROR(I33/$I$5,"")</f>
      </c>
      <c r="K33" s="604" t="n"/>
      <c r="L33" s="633">
        <f>IFERROR(K33/$K$5,"")</f>
      </c>
    </row>
    <row r="34" ht="22.5" customHeight="1" s="594">
      <c r="B34" s="207" t="inlineStr">
        <is>
          <t>リース料</t>
        </is>
      </c>
      <c r="C34" s="617" t="n">
        <v>13797260</v>
      </c>
      <c r="D34" s="633">
        <f>IFERROR(C34/$C$5,"")</f>
        <v>0.0359829098456068</v>
      </c>
      <c r="E34" s="604" t="n">
        <v>10744470</v>
      </c>
      <c r="F34" s="633">
        <f>IFERROR(E34/$E$5,"")</f>
        <v>0.0087294510640414</v>
      </c>
      <c r="G34" s="604" t="n">
        <v>10212056</v>
      </c>
      <c r="H34" s="633">
        <f>IFERROR(G34/$G$5,"")</f>
        <v>0.0319787937543641</v>
      </c>
      <c r="I34" s="604" t="n"/>
      <c r="J34" s="633">
        <f>IFERROR(I34/$I$5,"")</f>
      </c>
      <c r="K34" s="604" t="n"/>
      <c r="L34" s="633">
        <f>IFERROR(K34/$K$5,"")</f>
      </c>
    </row>
    <row r="35" ht="22.5" customHeight="1" s="594">
      <c r="B35" s="207" t="inlineStr">
        <is>
          <t>寄付金</t>
        </is>
      </c>
      <c r="C35" s="617" t="n">
        <v>0</v>
      </c>
      <c r="D35" s="633">
        <f>IFERROR(C35/$C$5,"")</f>
        <v>0</v>
      </c>
      <c r="E35" s="604" t="n">
        <v>500</v>
      </c>
      <c r="F35" s="633">
        <f>IFERROR(E35/$E$5,"")</f>
        <v>4.06229951967915e-07</v>
      </c>
      <c r="G35" s="604" t="n">
        <v>0</v>
      </c>
      <c r="H35" s="633">
        <f>IFERROR(G35/$G$5,"")</f>
        <v>0</v>
      </c>
      <c r="I35" s="604" t="n"/>
      <c r="J35" s="633">
        <f>IFERROR(I35/$I$5,"")</f>
      </c>
      <c r="K35" s="604" t="n"/>
      <c r="L35" s="633">
        <f>IFERROR(K35/$K$5,"")</f>
      </c>
    </row>
    <row r="36" ht="22.5" customHeight="1" s="594">
      <c r="B36" s="207" t="n"/>
      <c r="C36" s="617" t="n"/>
      <c r="D36" s="633">
        <f>IFERROR(C36/$C$5,"")</f>
        <v>0</v>
      </c>
      <c r="E36" s="604" t="n"/>
      <c r="F36" s="633">
        <f>IFERROR(E36/$E$5,"")</f>
        <v>0</v>
      </c>
      <c r="G36" s="604" t="n"/>
      <c r="H36" s="633">
        <f>IFERROR(G36/$G$5,"")</f>
        <v>0</v>
      </c>
      <c r="I36" s="604" t="n"/>
      <c r="J36" s="633">
        <f>IFERROR(I36/$I$5,"")</f>
      </c>
      <c r="K36" s="604" t="n"/>
      <c r="L36" s="633">
        <f>IFERROR(K36/$K$5,"")</f>
      </c>
    </row>
    <row r="37" ht="22.5" customHeight="1" s="594">
      <c r="B37" s="207" t="n"/>
      <c r="C37" s="617" t="n"/>
      <c r="D37" s="633">
        <f>IFERROR(C37/$C$5,"")</f>
        <v>0</v>
      </c>
      <c r="E37" s="604" t="n"/>
      <c r="F37" s="633">
        <f>IFERROR(E37/$E$5,"")</f>
        <v>0</v>
      </c>
      <c r="G37" s="604" t="n"/>
      <c r="H37" s="633">
        <f>IFERROR(G37/$G$5,"")</f>
        <v>0</v>
      </c>
      <c r="I37" s="604" t="n"/>
      <c r="J37" s="633">
        <f>IFERROR(I37/$I$5,"")</f>
      </c>
      <c r="K37" s="604" t="n"/>
      <c r="L37" s="633">
        <f>IFERROR(K37/$K$5,"")</f>
      </c>
    </row>
    <row r="38" ht="22.5" customHeight="1" s="594">
      <c r="B38" s="207" t="n"/>
      <c r="C38" s="617" t="n"/>
      <c r="D38" s="633">
        <f>IFERROR(C38/$C$5,"")</f>
        <v>0</v>
      </c>
      <c r="E38" s="604" t="n"/>
      <c r="F38" s="633">
        <f>IFERROR(E38/$E$5,"")</f>
        <v>0</v>
      </c>
      <c r="G38" s="604" t="n"/>
      <c r="H38" s="633">
        <f>IFERROR(G38/$G$5,"")</f>
        <v>0</v>
      </c>
      <c r="I38" s="604" t="n"/>
      <c r="J38" s="633">
        <f>IFERROR(I38/$I$5,"")</f>
      </c>
      <c r="K38" s="604" t="n"/>
      <c r="L38" s="633">
        <f>IFERROR(K38/$K$5,"")</f>
      </c>
    </row>
    <row r="39" ht="22.5" customHeight="1" s="594">
      <c r="B39" s="207" t="n"/>
      <c r="C39" s="617" t="n"/>
      <c r="D39" s="633">
        <f>IFERROR(C39/$C$5,"")</f>
        <v>0</v>
      </c>
      <c r="E39" s="604" t="n"/>
      <c r="F39" s="633">
        <f>IFERROR(E39/$E$5,"")</f>
        <v>0</v>
      </c>
      <c r="G39" s="604" t="n"/>
      <c r="H39" s="633">
        <f>IFERROR(G39/$G$5,"")</f>
        <v>0</v>
      </c>
      <c r="I39" s="604" t="n"/>
      <c r="J39" s="633">
        <f>IFERROR(I39/$I$5,"")</f>
      </c>
      <c r="K39" s="604" t="n"/>
      <c r="L39" s="633">
        <f>IFERROR(K39/$K$5,"")</f>
      </c>
    </row>
    <row r="40" ht="22.5" customHeight="1" s="594">
      <c r="B40" s="219" t="inlineStr">
        <is>
          <t>販売費および一般管理費合計</t>
        </is>
      </c>
      <c r="C40" s="665">
        <f>SUM(C6:C39)</f>
        <v>283551728</v>
      </c>
      <c r="D40" s="666">
        <f>IFERROR(C40/C5,"")</f>
        <v>0.739495832157256</v>
      </c>
      <c r="E40" s="667">
        <f>SUM(E6:E39)</f>
        <v>273060341</v>
      </c>
      <c r="F40" s="666">
        <f>IFERROR(E40/E5,"")</f>
        <v>0.221850578417545</v>
      </c>
      <c r="G40" s="667">
        <f>SUM(G6:G39)</f>
        <v>222261444</v>
      </c>
      <c r="H40" s="666">
        <f>IFERROR(G40/G5,"")</f>
        <v>0.696006061582815</v>
      </c>
      <c r="I40" s="667">
        <f>SUM(I6:I39)</f>
        <v>0</v>
      </c>
      <c r="J40" s="666">
        <f>IFERROR(I40/I5,"")</f>
      </c>
      <c r="K40" s="667">
        <f>SUM(K6:K39)</f>
        <v>0</v>
      </c>
      <c r="L40" s="666">
        <f>IFERROR(K40/K5,"")</f>
      </c>
    </row>
    <row r="41">
      <c r="B41" s="177" t="n"/>
      <c r="C41" s="661" t="n"/>
      <c r="D41" s="184" t="n"/>
      <c r="E41" s="663" t="n"/>
      <c r="F41" s="184" t="n"/>
      <c r="G41" s="663" t="n"/>
      <c r="H41" s="184" t="n"/>
      <c r="I41" s="663" t="n"/>
      <c r="J41" s="184" t="n"/>
      <c r="K41" s="663" t="n"/>
      <c r="L41" s="184" t="n"/>
    </row>
    <row r="42">
      <c r="B42" s="177" t="n"/>
      <c r="C42" s="661" t="n"/>
      <c r="D42" s="184" t="n"/>
      <c r="E42" s="663" t="n"/>
      <c r="F42" s="184" t="n"/>
      <c r="G42" s="663" t="n"/>
      <c r="H42" s="184" t="n"/>
      <c r="I42" s="663" t="n"/>
      <c r="J42" s="184" t="n"/>
      <c r="K42" s="663" t="n"/>
      <c r="L42" s="184" t="n"/>
    </row>
    <row r="43">
      <c r="B43" s="177" t="n"/>
      <c r="C43" s="661" t="n"/>
      <c r="D43" s="184" t="n"/>
      <c r="E43" s="663" t="n"/>
      <c r="F43" s="184" t="n"/>
      <c r="G43" s="663" t="n"/>
      <c r="H43" s="184" t="n"/>
      <c r="I43" s="663" t="n"/>
      <c r="J43" s="184" t="n"/>
      <c r="K43" s="663" t="n"/>
      <c r="L43" s="184" t="n"/>
    </row>
    <row r="44">
      <c r="B44" s="177" t="n"/>
      <c r="C44" s="661" t="n"/>
      <c r="D44" s="184" t="n"/>
      <c r="E44" s="663" t="n"/>
      <c r="F44" s="184" t="n"/>
      <c r="G44" s="663" t="n"/>
      <c r="H44" s="184" t="n"/>
      <c r="I44" s="663" t="n"/>
      <c r="J44" s="184" t="n"/>
      <c r="K44" s="663" t="n"/>
      <c r="L44" s="184" t="n"/>
    </row>
    <row r="45">
      <c r="B45" s="177" t="n"/>
      <c r="C45" s="661" t="n"/>
      <c r="D45" s="184" t="n"/>
      <c r="E45" s="663" t="n"/>
      <c r="F45" s="184" t="n"/>
      <c r="G45" s="663" t="n"/>
      <c r="H45" s="184" t="n"/>
      <c r="I45" s="663" t="n"/>
      <c r="J45" s="184" t="n"/>
      <c r="K45" s="663" t="n"/>
      <c r="L45" s="184" t="n"/>
    </row>
    <row r="46">
      <c r="B46" s="177" t="n"/>
      <c r="C46" s="661" t="n"/>
      <c r="D46" s="184" t="n"/>
      <c r="E46" s="663" t="n"/>
      <c r="F46" s="184" t="n"/>
      <c r="G46" s="663" t="n"/>
      <c r="H46" s="184" t="n"/>
      <c r="I46" s="663" t="n"/>
      <c r="J46" s="184" t="n"/>
      <c r="K46" s="663" t="n"/>
      <c r="L46" s="184" t="n"/>
    </row>
    <row r="47">
      <c r="B47" s="177" t="n"/>
      <c r="C47" s="661" t="n"/>
      <c r="D47" s="184" t="n"/>
      <c r="E47" s="663" t="n"/>
      <c r="F47" s="184" t="n"/>
      <c r="G47" s="663" t="n"/>
      <c r="H47" s="184" t="n"/>
      <c r="I47" s="663" t="n"/>
      <c r="J47" s="184" t="n"/>
      <c r="K47" s="663" t="n"/>
      <c r="L47" s="184" t="n"/>
    </row>
    <row r="48">
      <c r="B48" s="177" t="n"/>
      <c r="C48" s="661" t="n"/>
      <c r="D48" s="184" t="n"/>
      <c r="E48" s="663" t="n"/>
      <c r="F48" s="184" t="n"/>
      <c r="G48" s="663" t="n"/>
      <c r="H48" s="184" t="n"/>
      <c r="I48" s="663" t="n"/>
      <c r="J48" s="184" t="n"/>
      <c r="K48" s="663" t="n"/>
      <c r="L48" s="184" t="n"/>
    </row>
    <row r="49">
      <c r="C49" s="609" t="n"/>
      <c r="E49" s="609" t="n"/>
      <c r="G49" s="609" t="n"/>
      <c r="I49" s="629" t="n"/>
      <c r="K49" s="609" t="n"/>
    </row>
    <row r="50">
      <c r="C50" s="609" t="n"/>
      <c r="E50" s="609" t="n"/>
      <c r="G50" s="609" t="n"/>
      <c r="I50" s="629" t="n"/>
      <c r="K50" s="609" t="n"/>
    </row>
    <row r="51">
      <c r="C51" s="609" t="n"/>
      <c r="E51" s="609" t="n"/>
      <c r="G51" s="609" t="n"/>
      <c r="I51" s="629" t="n"/>
      <c r="K51" s="609" t="n"/>
    </row>
    <row r="52">
      <c r="C52" s="609" t="n"/>
      <c r="E52" s="609" t="n"/>
      <c r="G52" s="609" t="n"/>
      <c r="I52" s="629" t="n"/>
      <c r="K52" s="609" t="n"/>
    </row>
    <row r="53">
      <c r="C53" s="609" t="n"/>
      <c r="E53" s="609" t="n"/>
      <c r="G53" s="609" t="n"/>
      <c r="I53" s="629" t="n"/>
      <c r="K53" s="609" t="n"/>
    </row>
    <row r="54">
      <c r="C54" s="609" t="n"/>
      <c r="E54" s="609" t="n"/>
    </row>
  </sheetData>
  <mergeCells count="1">
    <mergeCell ref="B3:B4"/>
  </mergeCells>
  <pageMargins left="0.7" right="0.7" top="0.75" bottom="0.75" header="0.3" footer="0.3"/>
</worksheet>
</file>

<file path=xl/worksheets/sheet8.xml><?xml version="1.0" encoding="utf-8"?>
<worksheet xmlns="http://schemas.openxmlformats.org/spreadsheetml/2006/main">
  <sheetPr>
    <tabColor theme="7" tint="-0.499984740745262"/>
    <outlinePr summaryBelow="1" summaryRight="1"/>
    <pageSetUpPr/>
  </sheetPr>
  <dimension ref="A1:A1"/>
  <sheetViews>
    <sheetView showGridLines="0" workbookViewId="0">
      <selection activeCell="J21" sqref="J21"/>
    </sheetView>
  </sheetViews>
  <sheetFormatPr baseColWidth="8" defaultRowHeight="18"/>
  <sheetData/>
  <pageMargins left="0.7" right="0.7" top="0.75" bottom="0.75" header="0.3" footer="0.3"/>
</worksheet>
</file>

<file path=xl/worksheets/sheet9.xml><?xml version="1.0" encoding="utf-8"?>
<worksheet xmlns:r="http://schemas.openxmlformats.org/officeDocument/2006/relationships" xmlns="http://schemas.openxmlformats.org/spreadsheetml/2006/main">
  <sheetPr>
    <tabColor rgb="FF00B0F0"/>
    <outlinePr summaryBelow="1" summaryRight="1"/>
    <pageSetUpPr/>
  </sheetPr>
  <dimension ref="A1:I6"/>
  <sheetViews>
    <sheetView showGridLines="0" zoomScaleNormal="100" workbookViewId="0">
      <selection activeCell="I4" sqref="I4"/>
    </sheetView>
  </sheetViews>
  <sheetFormatPr baseColWidth="8" defaultRowHeight="18"/>
  <cols>
    <col width="18.59765625" customWidth="1" style="594" min="2" max="6"/>
  </cols>
  <sheetData>
    <row r="1">
      <c r="A1" s="415" t="inlineStr">
        <is>
          <t>作業不要（自動作成）</t>
        </is>
      </c>
    </row>
    <row r="2">
      <c r="F2" s="73" t="inlineStr">
        <is>
          <t>(単位：千円)</t>
        </is>
      </c>
    </row>
    <row r="3" ht="22.05" customHeight="1" s="594">
      <c r="B3" s="401" t="n"/>
      <c r="C3" s="413" t="inlineStr">
        <is>
          <t>min</t>
        </is>
      </c>
      <c r="D3" s="455" t="inlineStr">
        <is>
          <t>差（グラフ作成用）</t>
        </is>
      </c>
      <c r="E3" s="414" t="inlineStr">
        <is>
          <t>max</t>
        </is>
      </c>
      <c r="F3" s="414" t="n"/>
    </row>
    <row r="4" ht="31.95" customHeight="1" s="594">
      <c r="B4" s="435" t="inlineStr">
        <is>
          <t>インカム</t>
        </is>
      </c>
      <c r="C4" s="668" t="n">
        <v>0</v>
      </c>
      <c r="D4" s="669" t="n">
        <v>0</v>
      </c>
      <c r="E4" s="669" t="n">
        <v>0</v>
      </c>
      <c r="F4" s="668" t="n">
        <v>100</v>
      </c>
      <c r="I4" s="0" t="inlineStr">
        <is>
          <t>ｚ</t>
        </is>
      </c>
    </row>
    <row r="5" ht="31.95" customHeight="1" s="594">
      <c r="B5" s="435" t="inlineStr">
        <is>
          <t>マーケット</t>
        </is>
      </c>
      <c r="C5" s="669">
        <f>IF(ISNUMBER('EV EBITDAマルチプル'!K7),MAX(0,'EV EBITDAマルチプル'!K7),0)</f>
        <v>0</v>
      </c>
      <c r="D5" s="670">
        <f>E5-C5</f>
        <v>0</v>
      </c>
      <c r="E5" s="669">
        <f>IF(ISNUMBER('EV EBITDAマルチプル'!M7),MAX(0,'EV EBITDAマルチプル'!M7),0)</f>
        <v>0</v>
      </c>
      <c r="F5" s="668" t="n">
        <v>0</v>
      </c>
    </row>
    <row r="6" ht="31.95" customHeight="1" s="594">
      <c r="B6" s="425" t="inlineStr">
        <is>
          <t>コスト</t>
        </is>
      </c>
      <c r="C6" s="668">
        <f>'年買法'!K6</f>
        <v>320002051</v>
      </c>
      <c r="D6" s="670">
        <f>E6-C6</f>
        <v>0</v>
      </c>
      <c r="E6" s="668">
        <f>'年買法'!M6</f>
        <v>320002051</v>
      </c>
      <c r="F6" s="668" t="n">
        <v>0</v>
      </c>
    </row>
    <row r="7" ht="31.95" customHeight="1" s="594"/>
    <row r="8" ht="15.6" customHeight="1" s="594"/>
    <row r="9" ht="31.95" customHeight="1" s="594"/>
  </sheetData>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theme="7"/>
    <outlinePr summaryBelow="1" summaryRight="1"/>
    <pageSetUpPr/>
  </sheetPr>
  <dimension ref="B2:E119"/>
  <sheetViews>
    <sheetView showGridLines="0" zoomScaleNormal="100" workbookViewId="0">
      <pane ySplit="4" topLeftCell="A5" activePane="bottomLeft" state="frozen"/>
      <selection pane="bottomLeft" activeCell="E5" sqref="E5"/>
    </sheetView>
  </sheetViews>
  <sheetFormatPr baseColWidth="8" defaultRowHeight="18"/>
  <cols>
    <col width="28" bestFit="1" customWidth="1" style="184" min="2" max="2"/>
    <col width="18" customWidth="1" style="594" min="3" max="3"/>
    <col width="18" customWidth="1" style="594" min="4" max="4"/>
    <col width="18" customWidth="1" style="594" min="5" max="5"/>
  </cols>
  <sheetData>
    <row r="2">
      <c r="E2" s="73" t="inlineStr">
        <is>
          <t>(単位：千円)</t>
        </is>
      </c>
    </row>
    <row r="3" ht="28.2" customHeight="1" s="594" thickBot="1">
      <c r="B3" s="185" t="inlineStr">
        <is>
          <t>資産の部</t>
        </is>
      </c>
      <c r="C3" s="175" t="n"/>
      <c r="D3" s="175" t="n"/>
      <c r="E3" s="176" t="n"/>
    </row>
    <row r="4" ht="19.8" customHeight="1" s="594">
      <c r="B4" s="186" t="inlineStr">
        <is>
          <t>科目</t>
        </is>
      </c>
      <c r="C4" s="239" t="str">
        <f>'BS(借方)'!E4</f>
        <v>令和8年3月期</v>
      </c>
      <c r="D4" s="256" t="inlineStr">
        <is>
          <t>修正額</t>
        </is>
      </c>
      <c r="E4" s="267" t="inlineStr">
        <is>
          <t>修正後</t>
        </is>
      </c>
    </row>
    <row r="5" ht="22.5" customHeight="1" s="594">
      <c r="B5" s="171" t="inlineStr">
        <is>
          <t>【流動資産】</t>
        </is>
      </c>
      <c r="C5" s="595">
        <f>SUM(C6:C19)</f>
        <v>293198020</v>
      </c>
      <c r="D5" s="595">
        <f>SUM(D6:D19)</f>
        <v>0</v>
      </c>
      <c r="E5" s="596">
        <f>C5+D5</f>
        <v>293198020</v>
      </c>
    </row>
    <row r="6" ht="22.5" customHeight="1" s="594">
      <c r="B6" s="329" t="inlineStr">
        <is>
          <t>現金及び預金</t>
        </is>
      </c>
      <c r="C6" s="597">
        <f>'BS(借方)'!E6</f>
        <v>226057309</v>
      </c>
      <c r="D6" s="597" t="n"/>
      <c r="E6" s="598">
        <f>C6+D6</f>
        <v>226057309</v>
      </c>
    </row>
    <row r="7" ht="22.5" customHeight="1" s="594">
      <c r="B7" s="329" t="inlineStr">
        <is>
          <t>受取手形</t>
        </is>
      </c>
      <c r="C7" s="597">
        <f>'BS(借方)'!E7</f>
        <v>0</v>
      </c>
      <c r="D7" s="597" t="n"/>
      <c r="E7" s="598">
        <f>C7+D7</f>
        <v>0</v>
      </c>
    </row>
    <row r="8" ht="22.5" customHeight="1" s="594">
      <c r="B8" s="329" t="inlineStr">
        <is>
          <t>売掛金</t>
        </is>
      </c>
      <c r="C8" s="597">
        <f>'BS(借方)'!E8</f>
        <v>28512083</v>
      </c>
      <c r="D8" s="597" t="n"/>
      <c r="E8" s="598">
        <f>C8+D8</f>
        <v>28512083</v>
      </c>
    </row>
    <row r="9" ht="22.5" customHeight="1" s="594">
      <c r="B9" s="329" t="inlineStr">
        <is>
          <t>原材料</t>
        </is>
      </c>
      <c r="C9" s="597">
        <f>'BS(借方)'!E9</f>
        <v>0</v>
      </c>
      <c r="D9" s="597" t="n"/>
      <c r="E9" s="598">
        <f>C9+D9</f>
        <v>0</v>
      </c>
    </row>
    <row r="10" ht="22.5" customHeight="1" s="594">
      <c r="B10" s="329" t="inlineStr">
        <is>
          <t>仕掛品</t>
        </is>
      </c>
      <c r="C10" s="597">
        <f>'BS(借方)'!E10</f>
        <v>0</v>
      </c>
      <c r="D10" s="597" t="n"/>
      <c r="E10" s="598">
        <f>C10+D10</f>
        <v>0</v>
      </c>
    </row>
    <row r="11" ht="22.5" customHeight="1" s="594">
      <c r="B11" s="329" t="inlineStr">
        <is>
          <t>貯蔵品</t>
        </is>
      </c>
      <c r="C11" s="597">
        <f>'BS(借方)'!E11</f>
        <v>0</v>
      </c>
      <c r="D11" s="597" t="n"/>
      <c r="E11" s="598">
        <f>C11+D11</f>
        <v>0</v>
      </c>
    </row>
    <row r="12" ht="22.5" customHeight="1" s="594">
      <c r="B12" s="329" t="inlineStr">
        <is>
          <t>前渡金</t>
        </is>
      </c>
      <c r="C12" s="597">
        <f>'BS(借方)'!E12</f>
        <v>18507883</v>
      </c>
      <c r="D12" s="597" t="n"/>
      <c r="E12" s="598">
        <f>C12+D12</f>
        <v>18507883</v>
      </c>
    </row>
    <row r="13" ht="22.5" customHeight="1" s="594">
      <c r="B13" s="329" t="inlineStr">
        <is>
          <t>未収入金</t>
        </is>
      </c>
      <c r="C13" s="597">
        <f>'BS(借方)'!E13</f>
        <v>0</v>
      </c>
      <c r="D13" s="597" t="n"/>
      <c r="E13" s="598">
        <f>C13+D13</f>
        <v>0</v>
      </c>
    </row>
    <row r="14" ht="22.5" customHeight="1" s="594">
      <c r="B14" s="329" t="inlineStr">
        <is>
          <t>貸倒引当金</t>
        </is>
      </c>
      <c r="C14" s="597">
        <f>'BS(借方)'!E14</f>
        <v>0</v>
      </c>
      <c r="D14" s="597" t="n"/>
      <c r="E14" s="598">
        <f>C14+D14</f>
        <v>0</v>
      </c>
    </row>
    <row r="15" ht="22.5" customHeight="1" s="594">
      <c r="B15" s="329" t="inlineStr">
        <is>
          <t>商品</t>
        </is>
      </c>
      <c r="C15" s="597">
        <f>'BS(借方)'!E15</f>
        <v>8532000</v>
      </c>
      <c r="D15" s="597" t="n"/>
      <c r="E15" s="598">
        <f>C15+D15</f>
        <v>8532000</v>
      </c>
    </row>
    <row r="16" ht="22.5" customHeight="1" s="594">
      <c r="B16" s="329" t="inlineStr">
        <is>
          <t>前払費用</t>
        </is>
      </c>
      <c r="C16" s="597">
        <f>'BS(借方)'!E16</f>
        <v>710345</v>
      </c>
      <c r="D16" s="597" t="n"/>
      <c r="E16" s="598">
        <f>C16+D16</f>
        <v>710345</v>
      </c>
    </row>
    <row r="17" ht="22.5" customHeight="1" s="594">
      <c r="B17" s="329" t="inlineStr">
        <is>
          <t>立替金</t>
        </is>
      </c>
      <c r="C17" s="597">
        <f>'BS(借方)'!E17</f>
        <v>0</v>
      </c>
      <c r="D17" s="597" t="n"/>
      <c r="E17" s="598">
        <f>C17+D17</f>
        <v>0</v>
      </c>
    </row>
    <row r="18" ht="22.5" customHeight="1" s="594">
      <c r="B18" s="329" t="inlineStr">
        <is>
          <t>未収還付法人税等</t>
        </is>
      </c>
      <c r="C18" s="597">
        <f>'BS(借方)'!E18</f>
        <v>10878400</v>
      </c>
      <c r="D18" s="597" t="n"/>
      <c r="E18" s="598">
        <f>C18+D18</f>
        <v>10878400</v>
      </c>
    </row>
    <row r="19" ht="22.5" customHeight="1" s="594">
      <c r="B19" s="330" t="n"/>
      <c r="C19" s="613">
        <f>'BS(借方)'!E19</f>
        <v>0</v>
      </c>
      <c r="D19" s="613" t="n"/>
      <c r="E19" s="598">
        <f>C19+D19</f>
        <v>0</v>
      </c>
    </row>
    <row r="20" ht="22.5" customHeight="1" s="594">
      <c r="B20" s="171" t="inlineStr">
        <is>
          <t>【固定資産】</t>
        </is>
      </c>
      <c r="C20" s="671">
        <f>C21+C35+C46</f>
        <v>503310970</v>
      </c>
      <c r="D20" s="671">
        <f>D21+D35+D46</f>
        <v>0</v>
      </c>
      <c r="E20" s="672">
        <f>C20+D20</f>
        <v>503310970</v>
      </c>
    </row>
    <row r="21" ht="22.5" customHeight="1" s="594">
      <c r="B21" s="333" t="inlineStr">
        <is>
          <t>［有形固定資産］</t>
        </is>
      </c>
      <c r="C21" s="603">
        <f>SUM(C22:C34)</f>
        <v>490145870</v>
      </c>
      <c r="D21" s="603">
        <f>SUM(D22:D34)</f>
        <v>0</v>
      </c>
      <c r="E21" s="673">
        <f>C21+D21</f>
        <v>490145870</v>
      </c>
    </row>
    <row r="22" ht="22.5" customHeight="1" s="594">
      <c r="B22" s="329" t="inlineStr">
        <is>
          <t>建物</t>
        </is>
      </c>
      <c r="C22" s="597">
        <f>'BS(借方)'!E22</f>
        <v>118721091</v>
      </c>
      <c r="D22" s="597" t="n"/>
      <c r="E22" s="598">
        <f>C22+D22</f>
        <v>118721091</v>
      </c>
    </row>
    <row r="23" ht="22.5" customHeight="1" s="594">
      <c r="B23" s="329" t="inlineStr">
        <is>
          <t>建物付属設備</t>
        </is>
      </c>
      <c r="C23" s="597">
        <f>'BS(借方)'!E23</f>
        <v>20091490</v>
      </c>
      <c r="D23" s="597" t="n"/>
      <c r="E23" s="598">
        <f>C23+D23</f>
        <v>20091490</v>
      </c>
    </row>
    <row r="24" ht="22.5" customHeight="1" s="594">
      <c r="B24" s="329" t="inlineStr">
        <is>
          <t>構築物</t>
        </is>
      </c>
      <c r="C24" s="597">
        <f>'BS(借方)'!E24</f>
        <v>0</v>
      </c>
      <c r="D24" s="597" t="n"/>
      <c r="E24" s="598">
        <f>C24+D24</f>
        <v>0</v>
      </c>
    </row>
    <row r="25" ht="22.5" customHeight="1" s="594">
      <c r="B25" s="329" t="inlineStr">
        <is>
          <t>機械装置</t>
        </is>
      </c>
      <c r="C25" s="597">
        <f>'BS(借方)'!E25</f>
        <v>0</v>
      </c>
      <c r="D25" s="597" t="n"/>
      <c r="E25" s="598">
        <f>C25+D25</f>
        <v>0</v>
      </c>
    </row>
    <row r="26" ht="22.5" customHeight="1" s="594">
      <c r="B26" s="329" t="inlineStr">
        <is>
          <t>車輛運搬具</t>
        </is>
      </c>
      <c r="C26" s="597">
        <f>'BS(借方)'!E26</f>
        <v>5394909</v>
      </c>
      <c r="D26" s="597" t="n"/>
      <c r="E26" s="598">
        <f>C26+D26</f>
        <v>5394909</v>
      </c>
    </row>
    <row r="27" ht="22.5" customHeight="1" s="594">
      <c r="B27" s="329" t="inlineStr">
        <is>
          <t>工具器具備品</t>
        </is>
      </c>
      <c r="C27" s="597">
        <f>'BS(借方)'!E27</f>
        <v>908754</v>
      </c>
      <c r="D27" s="597" t="n"/>
      <c r="E27" s="598">
        <f>C27+D27</f>
        <v>908754</v>
      </c>
    </row>
    <row r="28" ht="22.5" customHeight="1" s="594">
      <c r="B28" s="329" t="inlineStr">
        <is>
          <t>一括償却資産</t>
        </is>
      </c>
      <c r="C28" s="597">
        <f>'BS(借方)'!E28</f>
        <v>0</v>
      </c>
      <c r="D28" s="597" t="n"/>
      <c r="E28" s="598">
        <f>C28+D28</f>
        <v>0</v>
      </c>
    </row>
    <row r="29" ht="22.5" customHeight="1" s="594">
      <c r="B29" s="329" t="inlineStr">
        <is>
          <t>土地</t>
        </is>
      </c>
      <c r="C29" s="597">
        <f>'BS(借方)'!E29</f>
        <v>345029626</v>
      </c>
      <c r="D29" s="597" t="n"/>
      <c r="E29" s="598">
        <f>C29+D29</f>
        <v>345029626</v>
      </c>
    </row>
    <row r="30" ht="22.5" customHeight="1" s="594">
      <c r="B30" s="329" t="inlineStr">
        <is>
          <t>建設仮戡定</t>
        </is>
      </c>
      <c r="C30" s="597">
        <f>'BS(借方)'!E30</f>
        <v>0</v>
      </c>
      <c r="D30" s="597" t="n"/>
      <c r="E30" s="598">
        <f>C30+D30</f>
        <v>0</v>
      </c>
    </row>
    <row r="31" ht="22.5" customHeight="1" s="594">
      <c r="B31" s="329" t="n"/>
      <c r="C31" s="597">
        <f>'BS(借方)'!E31</f>
        <v>0</v>
      </c>
      <c r="D31" s="597" t="n"/>
      <c r="E31" s="598">
        <f>C31+D31</f>
        <v>0</v>
      </c>
    </row>
    <row r="32" ht="22.5" customHeight="1" s="594">
      <c r="B32" s="329" t="n"/>
      <c r="C32" s="597">
        <f>'BS(借方)'!E32</f>
        <v>0</v>
      </c>
      <c r="D32" s="597" t="n"/>
      <c r="E32" s="598">
        <f>C32+D32</f>
        <v>0</v>
      </c>
    </row>
    <row r="33" ht="22.5" customHeight="1" s="594">
      <c r="B33" s="329" t="n"/>
      <c r="C33" s="597">
        <f>'BS(借方)'!E33</f>
        <v>0</v>
      </c>
      <c r="D33" s="597" t="n"/>
      <c r="E33" s="598">
        <f>C33+D33</f>
        <v>0</v>
      </c>
    </row>
    <row r="34" ht="22.5" customHeight="1" s="594">
      <c r="B34" s="330" t="n"/>
      <c r="C34" s="613">
        <f>'BS(借方)'!E34</f>
        <v>0</v>
      </c>
      <c r="D34" s="613" t="n"/>
      <c r="E34" s="598">
        <f>C34+D34</f>
        <v>0</v>
      </c>
    </row>
    <row r="35" ht="22.5" customHeight="1" s="594">
      <c r="B35" s="333" t="inlineStr">
        <is>
          <t>［無形固定資産］</t>
        </is>
      </c>
      <c r="C35" s="674">
        <f>SUM(C36:C45)</f>
        <v>0</v>
      </c>
      <c r="D35" s="675">
        <f>SUM(D36:D45)</f>
        <v>0</v>
      </c>
      <c r="E35" s="676">
        <f>C35+D35</f>
        <v>0</v>
      </c>
    </row>
    <row r="36" ht="22.2" customHeight="1" s="594">
      <c r="B36" s="329" t="inlineStr">
        <is>
          <t>ソフトウェア</t>
        </is>
      </c>
      <c r="C36" s="597">
        <f>'BS(借方)'!E36</f>
        <v>0</v>
      </c>
      <c r="D36" s="597" t="n"/>
      <c r="E36" s="598">
        <f>C36+D36</f>
        <v>0</v>
      </c>
    </row>
    <row r="37" ht="22.2" customHeight="1" s="594">
      <c r="B37" s="329" t="inlineStr">
        <is>
          <t>電話加入権</t>
        </is>
      </c>
      <c r="C37" s="597">
        <f>'BS(借方)'!E37</f>
        <v>0</v>
      </c>
      <c r="D37" s="597" t="n"/>
      <c r="E37" s="598">
        <f>C37+D37</f>
        <v>0</v>
      </c>
    </row>
    <row r="38" ht="22.2" customHeight="1" s="594">
      <c r="B38" s="329" t="inlineStr">
        <is>
          <t>施設利用権</t>
        </is>
      </c>
      <c r="C38" s="597">
        <f>'BS(借方)'!E38</f>
        <v>0</v>
      </c>
      <c r="D38" s="597" t="n"/>
      <c r="E38" s="598">
        <f>C38+D38</f>
        <v>0</v>
      </c>
    </row>
    <row r="39" ht="22.2" customHeight="1" s="594">
      <c r="B39" s="329" t="n"/>
      <c r="C39" s="597">
        <f>'BS(借方)'!E39</f>
        <v>0</v>
      </c>
      <c r="D39" s="597" t="n"/>
      <c r="E39" s="598">
        <f>C39+D39</f>
        <v>0</v>
      </c>
    </row>
    <row r="40" ht="22.2" customHeight="1" s="594">
      <c r="B40" s="329" t="n"/>
      <c r="C40" s="597">
        <f>'BS(借方)'!E40</f>
        <v>0</v>
      </c>
      <c r="D40" s="597" t="n"/>
      <c r="E40" s="598">
        <f>C40+D40</f>
        <v>0</v>
      </c>
    </row>
    <row r="41" ht="22.2" customHeight="1" s="594">
      <c r="B41" s="329" t="n"/>
      <c r="C41" s="597">
        <f>'BS(借方)'!E41</f>
        <v>0</v>
      </c>
      <c r="D41" s="597" t="n"/>
      <c r="E41" s="598">
        <f>C41+D41</f>
        <v>0</v>
      </c>
    </row>
    <row r="42" ht="22.2" customHeight="1" s="594">
      <c r="B42" s="329" t="n"/>
      <c r="C42" s="597">
        <f>'BS(借方)'!E42</f>
        <v>0</v>
      </c>
      <c r="D42" s="597" t="n"/>
      <c r="E42" s="598">
        <f>C42+D42</f>
        <v>0</v>
      </c>
    </row>
    <row r="43" ht="22.2" customHeight="1" s="594">
      <c r="B43" s="329" t="n"/>
      <c r="C43" s="597">
        <f>'BS(借方)'!E43</f>
        <v>0</v>
      </c>
      <c r="D43" s="597" t="n"/>
      <c r="E43" s="598">
        <f>C43+D43</f>
        <v>0</v>
      </c>
    </row>
    <row r="44" ht="22.2" customHeight="1" s="594">
      <c r="B44" s="329" t="n"/>
      <c r="C44" s="597">
        <f>'BS(借方)'!E44</f>
        <v>0</v>
      </c>
      <c r="D44" s="597" t="n"/>
      <c r="E44" s="598">
        <f>C44+D44</f>
        <v>0</v>
      </c>
    </row>
    <row r="45" ht="22.2" customHeight="1" s="594">
      <c r="B45" s="330" t="n"/>
      <c r="C45" s="613">
        <f>'BS(借方)'!E45</f>
        <v>0</v>
      </c>
      <c r="D45" s="613" t="n"/>
      <c r="E45" s="598">
        <f>C45+D45</f>
        <v>0</v>
      </c>
    </row>
    <row r="46" ht="22.2" customHeight="1" s="594">
      <c r="B46" s="333" t="inlineStr">
        <is>
          <t>［投資その他資産］</t>
        </is>
      </c>
      <c r="C46" s="677">
        <f>SUM(C47:C54)</f>
        <v>13165100</v>
      </c>
      <c r="D46" s="678">
        <f>SUM(D47:D54)</f>
        <v>0</v>
      </c>
      <c r="E46" s="679">
        <f>C46+D46</f>
        <v>13165100</v>
      </c>
    </row>
    <row r="47" ht="22.5" customHeight="1" s="594">
      <c r="B47" s="178" t="inlineStr">
        <is>
          <t>出資金</t>
        </is>
      </c>
      <c r="C47" s="597">
        <f>'BS(借方)'!E47</f>
        <v>5000</v>
      </c>
      <c r="D47" s="597" t="n"/>
      <c r="E47" s="598">
        <f>C47+D47</f>
        <v>5000</v>
      </c>
    </row>
    <row r="48" ht="22.5" customHeight="1" s="594">
      <c r="B48" s="178" t="inlineStr">
        <is>
          <t>リサイクル預託金</t>
        </is>
      </c>
      <c r="C48" s="597">
        <f>'BS(借方)'!E48</f>
        <v>0</v>
      </c>
      <c r="D48" s="597" t="n"/>
      <c r="E48" s="598">
        <f>C48+D48</f>
        <v>0</v>
      </c>
    </row>
    <row r="49" ht="22.5" customHeight="1" s="594">
      <c r="B49" s="187" t="inlineStr">
        <is>
          <t>保険積立金</t>
        </is>
      </c>
      <c r="C49" s="597">
        <f>'BS(借方)'!E49</f>
        <v>0</v>
      </c>
      <c r="D49" s="597" t="n"/>
      <c r="E49" s="598">
        <f>C49+D49</f>
        <v>0</v>
      </c>
    </row>
    <row r="50" ht="22.5" customHeight="1" s="594">
      <c r="B50" s="178" t="inlineStr">
        <is>
          <t>投資有価証券</t>
        </is>
      </c>
      <c r="C50" s="597">
        <f>'BS(借方)'!E50</f>
        <v>0</v>
      </c>
      <c r="D50" s="597" t="n"/>
      <c r="E50" s="598">
        <f>C50+D50</f>
        <v>0</v>
      </c>
    </row>
    <row r="51" ht="22.5" customHeight="1" s="594">
      <c r="B51" s="329" t="inlineStr">
        <is>
          <t>敷金</t>
        </is>
      </c>
      <c r="C51" s="597">
        <f>'BS(借方)'!E51</f>
        <v>13160100</v>
      </c>
      <c r="D51" s="597" t="n"/>
      <c r="E51" s="598">
        <f>C51+D51</f>
        <v>13160100</v>
      </c>
    </row>
    <row r="52" ht="22.5" customHeight="1" s="594">
      <c r="B52" s="329" t="inlineStr">
        <is>
          <t>差入保証金</t>
        </is>
      </c>
      <c r="C52" s="597">
        <f>'BS(借方)'!E52</f>
        <v>0</v>
      </c>
      <c r="D52" s="597" t="n"/>
      <c r="E52" s="598">
        <f>C52+D52</f>
        <v>0</v>
      </c>
    </row>
    <row r="53" ht="22.5" customHeight="1" s="594">
      <c r="B53" s="178" t="n"/>
      <c r="C53" s="597">
        <f>'BS(借方)'!E53</f>
        <v>0</v>
      </c>
      <c r="D53" s="597" t="n"/>
      <c r="E53" s="598">
        <f>C53+D53</f>
        <v>0</v>
      </c>
    </row>
    <row r="54" ht="22.5" customHeight="1" s="594">
      <c r="B54" s="178" t="n"/>
      <c r="C54" s="597">
        <f>'BS(借方)'!E54</f>
        <v>0</v>
      </c>
      <c r="D54" s="597" t="n"/>
      <c r="E54" s="598">
        <f>C54+D54</f>
        <v>0</v>
      </c>
    </row>
    <row r="55" ht="22.2" customHeight="1" s="594">
      <c r="B55" s="326" t="inlineStr">
        <is>
          <t>【繰延資産】</t>
        </is>
      </c>
      <c r="C55" s="680">
        <f>SUM(C56:C59)</f>
        <v>0</v>
      </c>
      <c r="D55" s="680">
        <f>SUM(D56:D59)</f>
        <v>0</v>
      </c>
      <c r="E55" s="681">
        <f>C55+D55</f>
        <v>0</v>
      </c>
    </row>
    <row r="56" ht="22.2" customHeight="1" s="594">
      <c r="B56" s="318" t="inlineStr">
        <is>
          <t>開業費</t>
        </is>
      </c>
      <c r="C56" s="682">
        <f>'BS(借方)'!E57</f>
        <v>0</v>
      </c>
      <c r="D56" s="683" t="n"/>
      <c r="E56" s="684">
        <f>C56+D56</f>
        <v>0</v>
      </c>
    </row>
    <row r="57" ht="22.2" customHeight="1" s="594">
      <c r="B57" s="178" t="n"/>
      <c r="C57" s="685">
        <f>'BS(借方)'!E58</f>
        <v>0</v>
      </c>
      <c r="D57" s="685" t="n"/>
      <c r="E57" s="598">
        <f>C57+D57</f>
        <v>0</v>
      </c>
    </row>
    <row r="58" ht="22.2" customHeight="1" s="594">
      <c r="B58" s="178" t="n"/>
      <c r="C58" s="685">
        <f>'BS(借方)'!E59</f>
        <v>0</v>
      </c>
      <c r="D58" s="685" t="n"/>
      <c r="E58" s="598">
        <f>C58+D58</f>
        <v>0</v>
      </c>
    </row>
    <row r="59" ht="22.2" customHeight="1" s="594">
      <c r="B59" s="317" t="n"/>
      <c r="C59" s="686">
        <f>'BS(借方)'!E60</f>
        <v>0</v>
      </c>
      <c r="D59" s="686" t="n"/>
      <c r="E59" s="687">
        <f>C59+D59</f>
        <v>0</v>
      </c>
    </row>
    <row r="60" ht="22.2" customHeight="1" s="594">
      <c r="B60" s="323" t="inlineStr">
        <is>
          <t>【繰延税金資産】</t>
        </is>
      </c>
      <c r="C60" s="688" t="n">
        <v>0</v>
      </c>
      <c r="D60" s="688">
        <f>'税効果'!E18</f>
        <v>3558003</v>
      </c>
      <c r="E60" s="689">
        <f>C60+D60</f>
        <v>3558003</v>
      </c>
    </row>
    <row r="61" ht="22.5" customHeight="1" s="594" thickBot="1">
      <c r="B61" s="188" t="inlineStr">
        <is>
          <t>資産合計</t>
        </is>
      </c>
      <c r="C61" s="690">
        <f>C5+C20+C55+C60</f>
        <v>796508990</v>
      </c>
      <c r="D61" s="690">
        <f>D5+D20+D55+D60</f>
        <v>3558003</v>
      </c>
      <c r="E61" s="691">
        <f>C61+D61</f>
        <v>800066993</v>
      </c>
    </row>
    <row r="62">
      <c r="C62" s="692" t="n"/>
      <c r="D62" s="692" t="n"/>
      <c r="E62" s="692" t="n"/>
    </row>
    <row r="63">
      <c r="C63" s="692" t="n"/>
      <c r="D63" s="692" t="n"/>
      <c r="E63" s="692" t="n"/>
    </row>
    <row r="64">
      <c r="C64" s="692" t="n"/>
      <c r="D64" s="692" t="n"/>
      <c r="E64" s="692" t="n"/>
    </row>
    <row r="65">
      <c r="C65" s="692" t="n"/>
      <c r="D65" s="692" t="n"/>
      <c r="E65" s="692" t="n"/>
    </row>
    <row r="66">
      <c r="C66" s="692" t="n"/>
      <c r="D66" s="692" t="n"/>
      <c r="E66" s="692" t="n"/>
    </row>
    <row r="67">
      <c r="C67" s="692" t="n"/>
      <c r="D67" s="692" t="n"/>
      <c r="E67" s="692" t="n"/>
    </row>
    <row r="68">
      <c r="C68" s="692" t="n"/>
      <c r="D68" s="692" t="n"/>
      <c r="E68" s="692" t="n"/>
    </row>
    <row r="69">
      <c r="C69" s="692" t="n"/>
      <c r="D69" s="692" t="n"/>
      <c r="E69" s="692" t="n"/>
    </row>
    <row r="70">
      <c r="C70" s="692" t="n"/>
      <c r="D70" s="692" t="n"/>
      <c r="E70" s="692" t="n"/>
    </row>
    <row r="71">
      <c r="C71" s="692" t="n"/>
      <c r="D71" s="692" t="n"/>
      <c r="E71" s="692" t="n"/>
    </row>
    <row r="72">
      <c r="C72" s="692" t="n"/>
      <c r="D72" s="692" t="n"/>
      <c r="E72" s="692" t="n"/>
    </row>
    <row r="73">
      <c r="C73" s="692" t="n"/>
      <c r="D73" s="692" t="n"/>
      <c r="E73" s="692" t="n"/>
    </row>
    <row r="74">
      <c r="C74" s="692" t="n"/>
      <c r="D74" s="692" t="n"/>
      <c r="E74" s="692" t="n"/>
    </row>
    <row r="75">
      <c r="C75" s="692" t="n"/>
      <c r="D75" s="692" t="n"/>
      <c r="E75" s="692" t="n"/>
    </row>
    <row r="76">
      <c r="C76" s="692" t="n"/>
      <c r="D76" s="692" t="n"/>
      <c r="E76" s="692" t="n"/>
    </row>
    <row r="77">
      <c r="C77" s="692" t="n"/>
      <c r="D77" s="692" t="n"/>
      <c r="E77" s="692" t="n"/>
    </row>
    <row r="78">
      <c r="C78" s="692" t="n"/>
      <c r="D78" s="692" t="n"/>
      <c r="E78" s="692" t="n"/>
    </row>
    <row r="79">
      <c r="C79" s="692" t="n"/>
      <c r="D79" s="692" t="n"/>
      <c r="E79" s="692" t="n"/>
    </row>
    <row r="80">
      <c r="C80" s="692" t="n"/>
      <c r="D80" s="692" t="n"/>
      <c r="E80" s="692" t="n"/>
    </row>
    <row r="81">
      <c r="C81" s="692" t="n"/>
      <c r="D81" s="692" t="n"/>
      <c r="E81" s="692" t="n"/>
    </row>
    <row r="82">
      <c r="C82" s="692" t="n"/>
      <c r="D82" s="692" t="n"/>
      <c r="E82" s="692" t="n"/>
    </row>
    <row r="83">
      <c r="C83" s="692" t="n"/>
      <c r="D83" s="692" t="n"/>
      <c r="E83" s="692" t="n"/>
    </row>
    <row r="84">
      <c r="C84" s="692" t="n"/>
      <c r="D84" s="692" t="n"/>
      <c r="E84" s="692" t="n"/>
    </row>
    <row r="85">
      <c r="C85" s="692" t="n"/>
      <c r="D85" s="692" t="n"/>
      <c r="E85" s="692" t="n"/>
    </row>
    <row r="86">
      <c r="C86" s="692" t="n"/>
      <c r="D86" s="692" t="n"/>
      <c r="E86" s="692" t="n"/>
    </row>
    <row r="87">
      <c r="C87" s="692" t="n"/>
      <c r="D87" s="692" t="n"/>
      <c r="E87" s="692" t="n"/>
    </row>
    <row r="88">
      <c r="C88" s="692" t="n"/>
      <c r="D88" s="692" t="n"/>
      <c r="E88" s="692" t="n"/>
    </row>
    <row r="89">
      <c r="C89" s="692" t="n"/>
      <c r="D89" s="692" t="n"/>
      <c r="E89" s="692" t="n"/>
    </row>
    <row r="90">
      <c r="C90" s="692" t="n"/>
      <c r="D90" s="692" t="n"/>
      <c r="E90" s="692" t="n"/>
    </row>
    <row r="91">
      <c r="C91" s="692" t="n"/>
      <c r="D91" s="692" t="n"/>
      <c r="E91" s="692" t="n"/>
    </row>
    <row r="92">
      <c r="C92" s="692" t="n"/>
      <c r="D92" s="692" t="n"/>
      <c r="E92" s="692" t="n"/>
    </row>
    <row r="93">
      <c r="C93" s="692" t="n"/>
      <c r="D93" s="692" t="n"/>
      <c r="E93" s="692" t="n"/>
    </row>
    <row r="94">
      <c r="C94" s="692" t="n"/>
      <c r="D94" s="692" t="n"/>
      <c r="E94" s="692" t="n"/>
    </row>
    <row r="95">
      <c r="C95" s="692" t="n"/>
      <c r="D95" s="692" t="n"/>
      <c r="E95" s="692" t="n"/>
    </row>
    <row r="96">
      <c r="C96" s="693" t="n"/>
      <c r="D96" s="693" t="n"/>
      <c r="E96" s="693" t="n"/>
    </row>
    <row r="97">
      <c r="C97" s="693" t="n"/>
      <c r="D97" s="693" t="n"/>
      <c r="E97" s="693" t="n"/>
    </row>
    <row r="98">
      <c r="C98" s="693" t="n"/>
      <c r="D98" s="693" t="n"/>
      <c r="E98" s="693" t="n"/>
    </row>
    <row r="99">
      <c r="C99" s="693" t="n"/>
      <c r="D99" s="693" t="n"/>
      <c r="E99" s="693" t="n"/>
    </row>
    <row r="100">
      <c r="C100" s="693" t="n"/>
      <c r="D100" s="693" t="n"/>
      <c r="E100" s="693" t="n"/>
    </row>
    <row r="101">
      <c r="C101" s="693" t="n"/>
      <c r="D101" s="693" t="n"/>
      <c r="E101" s="693" t="n"/>
    </row>
    <row r="102">
      <c r="C102" s="693" t="n"/>
      <c r="D102" s="693" t="n"/>
      <c r="E102" s="693" t="n"/>
    </row>
    <row r="103">
      <c r="C103" s="693" t="n"/>
      <c r="D103" s="693" t="n"/>
      <c r="E103" s="693" t="n"/>
    </row>
    <row r="104">
      <c r="C104" s="693" t="n"/>
      <c r="D104" s="693" t="n"/>
      <c r="E104" s="693" t="n"/>
    </row>
    <row r="105">
      <c r="C105" s="693" t="n"/>
      <c r="D105" s="693" t="n"/>
      <c r="E105" s="693" t="n"/>
    </row>
    <row r="106">
      <c r="C106" s="693" t="n"/>
      <c r="D106" s="693" t="n"/>
      <c r="E106" s="693" t="n"/>
    </row>
    <row r="107">
      <c r="C107" s="693" t="n"/>
      <c r="D107" s="693" t="n"/>
      <c r="E107" s="693" t="n"/>
    </row>
    <row r="108">
      <c r="C108" s="693" t="n"/>
      <c r="D108" s="693" t="n"/>
      <c r="E108" s="693" t="n"/>
    </row>
    <row r="109">
      <c r="C109" s="71" t="n"/>
      <c r="D109" s="71" t="n"/>
      <c r="E109" s="71" t="n"/>
    </row>
    <row r="110">
      <c r="C110" s="71" t="n"/>
      <c r="D110" s="71" t="n"/>
      <c r="E110" s="71" t="n"/>
    </row>
    <row r="111">
      <c r="C111" s="71" t="n"/>
      <c r="D111" s="71" t="n"/>
      <c r="E111" s="71" t="n"/>
    </row>
    <row r="112">
      <c r="C112" s="71" t="n"/>
      <c r="D112" s="71" t="n"/>
      <c r="E112" s="71" t="n"/>
    </row>
    <row r="113">
      <c r="C113" s="71" t="n"/>
      <c r="D113" s="71" t="n"/>
      <c r="E113" s="71" t="n"/>
    </row>
    <row r="114">
      <c r="C114" s="71" t="n"/>
      <c r="D114" s="71" t="n"/>
      <c r="E114" s="71" t="n"/>
    </row>
    <row r="115">
      <c r="C115" s="71" t="n"/>
      <c r="D115" s="71" t="n"/>
      <c r="E115" s="71" t="n"/>
    </row>
    <row r="116">
      <c r="C116" s="71" t="n"/>
      <c r="D116" s="71" t="n"/>
      <c r="E116" s="71" t="n"/>
    </row>
    <row r="117">
      <c r="C117" s="71" t="n"/>
      <c r="D117" s="71" t="n"/>
      <c r="E117" s="71" t="n"/>
    </row>
    <row r="118">
      <c r="C118" s="71" t="n"/>
      <c r="D118" s="71" t="n"/>
      <c r="E118" s="71" t="n"/>
    </row>
    <row r="119">
      <c r="C119" s="71" t="n"/>
      <c r="D119" s="71" t="n"/>
      <c r="E119" s="71"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2:F18"/>
  <sheetViews>
    <sheetView showGridLines="0" zoomScaleNormal="100" workbookViewId="0">
      <selection activeCell="E18" sqref="E18"/>
    </sheetView>
  </sheetViews>
  <sheetFormatPr baseColWidth="8" defaultRowHeight="18"/>
  <cols>
    <col width="34" customWidth="1" style="594" min="2" max="2"/>
    <col width="18.59765625" customWidth="1" style="594" min="3" max="5"/>
    <col width="62" customWidth="1" style="594" min="6" max="6"/>
  </cols>
  <sheetData>
    <row r="2">
      <c r="E2" s="73" t="inlineStr">
        <is>
          <t>(単位：千円)</t>
        </is>
      </c>
    </row>
    <row r="3" ht="22.05" customHeight="1" s="594">
      <c r="A3" s="0" t="inlineStr">
        <is>
          <t>売掛金</t>
        </is>
      </c>
      <c r="B3" s="2" t="inlineStr">
        <is>
          <t>相手先</t>
        </is>
      </c>
      <c r="C3" s="3" t="inlineStr">
        <is>
          <t>帳簿価額</t>
        </is>
      </c>
      <c r="D3" s="3" t="inlineStr">
        <is>
          <t>評価差額</t>
        </is>
      </c>
      <c r="E3" s="3" t="inlineStr">
        <is>
          <t>評価額</t>
        </is>
      </c>
      <c r="F3" s="1" t="inlineStr">
        <is>
          <t>調整事由</t>
        </is>
      </c>
    </row>
    <row r="4" ht="38" customHeight="1" s="594">
      <c r="B4" s="694" t="inlineStr">
        <is>
          <t>コンサル料（相手先不明）</t>
        </is>
      </c>
      <c r="C4" s="632" t="n">
        <v>15400000</v>
      </c>
      <c r="D4" s="632" t="n">
        <v>0</v>
      </c>
      <c r="E4" s="632">
        <f>SUM(C4,D4)</f>
        <v>15400000</v>
      </c>
      <c r="F4" s="695" t="inlineStr">
        <is>
          <t>相手先・契約書・入金予定が未確認のため簿価評価。単発の売上計上であり、回収可能性・実在性は要確認</t>
        </is>
      </c>
    </row>
    <row r="5" ht="22.5" customHeight="1" s="594">
      <c r="B5" s="694" t="inlineStr">
        <is>
          <t>大船店（百貨店精算分等）</t>
        </is>
      </c>
      <c r="C5" s="696" t="n">
        <v>5988954</v>
      </c>
      <c r="D5" s="696" t="n">
        <v>0</v>
      </c>
      <c r="E5" s="696">
        <f>SUM(C5,D5)</f>
        <v>5988954</v>
      </c>
      <c r="F5" s="695" t="inlineStr">
        <is>
          <t>店舗売上に係る決済・百貨店精算の未収。年齢表未受領のため簿価評価</t>
        </is>
      </c>
    </row>
    <row r="6" ht="22.5" customHeight="1" s="594">
      <c r="B6" s="694" t="inlineStr">
        <is>
          <t>紀尾井町店</t>
        </is>
      </c>
      <c r="C6" s="696" t="n">
        <v>3347303</v>
      </c>
      <c r="D6" s="696" t="n">
        <v>0</v>
      </c>
      <c r="E6" s="696">
        <f>SUM(C6,D6)</f>
        <v>3347303</v>
      </c>
      <c r="F6" s="695" t="inlineStr">
        <is>
          <t>同上</t>
        </is>
      </c>
    </row>
    <row r="7" ht="38" customHeight="1" s="594" thickBot="1">
      <c r="B7" s="697" t="inlineStr">
        <is>
          <t>その他（鎌倉山店・ミリュウショップ・リンベル㈱等）</t>
        </is>
      </c>
      <c r="C7" s="698" t="n">
        <v>3775826</v>
      </c>
      <c r="D7" s="698" t="n">
        <v>0</v>
      </c>
      <c r="E7" s="698">
        <f>SUM(C7,D7)</f>
        <v>3775826</v>
      </c>
      <c r="F7" s="699" t="inlineStr">
        <is>
          <t>鎌倉山店2,079千円、ミリュウショップ768千円、リンベル㈱644千円、㈱西武リアルティソリューションズ236千円ほか。年齢表未受領のため簿価評価</t>
        </is>
      </c>
    </row>
    <row r="8" ht="22.5" customHeight="1" s="594">
      <c r="B8" s="700" t="inlineStr">
        <is>
          <t>合計</t>
        </is>
      </c>
      <c r="C8" s="701">
        <f>SUM(C4:C7)</f>
        <v>28512083</v>
      </c>
      <c r="D8" s="701">
        <f>SUM(D4:D7)</f>
        <v>0</v>
      </c>
      <c r="E8" s="701">
        <f>C8+D8</f>
        <v>28512083</v>
      </c>
      <c r="F8" s="702" t="n"/>
    </row>
    <row r="12">
      <c r="E12" s="73" t="inlineStr">
        <is>
          <t>(単位：千円)</t>
        </is>
      </c>
    </row>
    <row r="13" ht="22.05" customHeight="1" s="594">
      <c r="A13" s="0" t="inlineStr">
        <is>
          <t>商品在庫</t>
        </is>
      </c>
      <c r="B13" s="9" t="inlineStr">
        <is>
          <t>相手先</t>
        </is>
      </c>
      <c r="C13" s="10" t="inlineStr">
        <is>
          <t>帳簿価額</t>
        </is>
      </c>
      <c r="D13" s="10" t="inlineStr">
        <is>
          <t>評価差額</t>
        </is>
      </c>
      <c r="E13" s="10" t="inlineStr">
        <is>
          <t>評価額</t>
        </is>
      </c>
      <c r="F13" s="1" t="inlineStr">
        <is>
          <t>調整事由</t>
        </is>
      </c>
    </row>
    <row r="14" ht="38" customHeight="1" s="594">
      <c r="B14" s="421" t="inlineStr">
        <is>
          <t>商品（ケーキ・菓子・食材等）</t>
        </is>
      </c>
      <c r="C14" s="703" t="n">
        <v>8532000</v>
      </c>
      <c r="D14" s="703" t="n">
        <v>0</v>
      </c>
      <c r="E14" s="703">
        <f>SUM(C14,D14)</f>
        <v>8532000</v>
      </c>
      <c r="F14" s="704" t="inlineStr">
        <is>
          <t>「明細別途保存」とされ棚卸明細は未受領のため簿価評価。滞留・陳腐化の有無は要確認</t>
        </is>
      </c>
    </row>
    <row r="15" ht="22.5" customHeight="1" s="594">
      <c r="B15" s="422" t="n"/>
      <c r="C15" s="703" t="n"/>
      <c r="D15" s="703" t="n"/>
      <c r="E15" s="703">
        <f>SUM(C15,D15)</f>
        <v>0</v>
      </c>
      <c r="F15" s="704" t="n"/>
    </row>
    <row r="16" ht="22.5" customHeight="1" s="594">
      <c r="B16" s="423" t="n"/>
      <c r="C16" s="597" t="n"/>
      <c r="D16" s="597" t="n"/>
      <c r="E16" s="597">
        <f>SUM(C16,D16)</f>
        <v>0</v>
      </c>
      <c r="F16" s="705" t="n"/>
    </row>
    <row r="17" ht="22.5" customHeight="1" s="594" thickBot="1">
      <c r="B17" s="424" t="n"/>
      <c r="C17" s="706" t="n"/>
      <c r="D17" s="706" t="n"/>
      <c r="E17" s="706">
        <f>SUM(C17,D17)</f>
        <v>0</v>
      </c>
      <c r="F17" s="707" t="n"/>
    </row>
    <row r="18" ht="22.5" customHeight="1" s="594">
      <c r="B18" s="351" t="inlineStr">
        <is>
          <t>合計</t>
        </is>
      </c>
      <c r="C18" s="708">
        <f>SUM(C14:C17)</f>
        <v>8532000</v>
      </c>
      <c r="D18" s="708">
        <f>SUM(D14:D17)</f>
        <v>0</v>
      </c>
      <c r="E18" s="708">
        <f>C18+D18</f>
        <v>8532000</v>
      </c>
      <c r="F18" s="709"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F8"/>
  <sheetViews>
    <sheetView showGridLines="0" zoomScaleNormal="100" workbookViewId="0">
      <selection activeCell="B4" sqref="B4:B7"/>
    </sheetView>
  </sheetViews>
  <sheetFormatPr baseColWidth="8" defaultRowHeight="18"/>
  <cols>
    <col width="18" customWidth="1" style="594" min="2" max="2"/>
    <col width="18.59765625" customWidth="1" style="594" min="3" max="5"/>
    <col width="70" customWidth="1" style="594" min="6" max="6"/>
  </cols>
  <sheetData>
    <row r="2">
      <c r="E2" s="73" t="inlineStr">
        <is>
          <t>(単位：千円)</t>
        </is>
      </c>
    </row>
    <row r="3" ht="22.05" customHeight="1" s="594">
      <c r="B3" s="2" t="inlineStr">
        <is>
          <t>資産</t>
        </is>
      </c>
      <c r="C3" s="3" t="inlineStr">
        <is>
          <t>帳簿価額</t>
        </is>
      </c>
      <c r="D3" s="3" t="inlineStr">
        <is>
          <t>評価差額</t>
        </is>
      </c>
      <c r="E3" s="3" t="inlineStr">
        <is>
          <t>評価額</t>
        </is>
      </c>
      <c r="F3" s="1" t="inlineStr">
        <is>
          <t>調整事由</t>
        </is>
      </c>
    </row>
    <row r="4" ht="38" customHeight="1" s="594">
      <c r="B4" s="75" t="inlineStr">
        <is>
          <t>建物</t>
        </is>
      </c>
      <c r="C4" s="632">
        <f>'BS(借方)'!E22</f>
        <v>118721091</v>
      </c>
      <c r="D4" s="632" t="n">
        <v>0</v>
      </c>
      <c r="E4" s="632">
        <f>SUM(C4,D4)</f>
        <v>118721091</v>
      </c>
      <c r="F4" s="695" t="inlineStr">
        <is>
          <t>固定資産台帳上、普通償却限度額＝当期償却額で償却不足額なし。実態の劣化・耐用年数との乖離は未検討のため簿価評価（要確認）</t>
        </is>
      </c>
    </row>
    <row r="5" ht="22.5" customHeight="1" s="594">
      <c r="B5" s="75" t="inlineStr">
        <is>
          <t>建物付属設備</t>
        </is>
      </c>
      <c r="C5" s="696">
        <f>'BS(借方)'!E23</f>
        <v>20091490</v>
      </c>
      <c r="D5" s="696" t="n">
        <v>0</v>
      </c>
      <c r="E5" s="696">
        <f>SUM(C5,D5)</f>
        <v>20091490</v>
      </c>
      <c r="F5" s="695" t="inlineStr">
        <is>
          <t>同上</t>
        </is>
      </c>
    </row>
    <row r="6" ht="22.5" customHeight="1" s="594">
      <c r="B6" s="75" t="inlineStr">
        <is>
          <t>車両運搬具</t>
        </is>
      </c>
      <c r="C6" s="696">
        <f>'BS(借方)'!E26</f>
        <v>5394909</v>
      </c>
      <c r="D6" s="696" t="n">
        <v>0</v>
      </c>
      <c r="E6" s="696">
        <f>SUM(C6,D6)</f>
        <v>5394909</v>
      </c>
      <c r="F6" s="695" t="inlineStr">
        <is>
          <t>同上</t>
        </is>
      </c>
    </row>
    <row r="7" ht="22.5" customHeight="1" s="594" thickBot="1">
      <c r="B7" s="420" t="inlineStr">
        <is>
          <t>工具器具備品</t>
        </is>
      </c>
      <c r="C7" s="698">
        <f>'BS(借方)'!E27</f>
        <v>908754</v>
      </c>
      <c r="D7" s="698" t="n">
        <v>0</v>
      </c>
      <c r="E7" s="698">
        <f>SUM(C7,D7)</f>
        <v>908754</v>
      </c>
      <c r="F7" s="699" t="inlineStr">
        <is>
          <t>同上</t>
        </is>
      </c>
    </row>
    <row r="8" ht="22.5" customHeight="1" s="594">
      <c r="B8" s="351" t="inlineStr">
        <is>
          <t>合計</t>
        </is>
      </c>
      <c r="C8" s="701">
        <f>SUM(C4:C7)</f>
        <v>145116244</v>
      </c>
      <c r="D8" s="701">
        <f>SUM(D4:D7)</f>
        <v>0</v>
      </c>
      <c r="E8" s="701">
        <f>C8+D8</f>
        <v>145116244</v>
      </c>
      <c r="F8" s="702"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G8"/>
  <sheetViews>
    <sheetView showGridLines="0" zoomScaleNormal="100" workbookViewId="0">
      <selection activeCell="E15" sqref="E15"/>
    </sheetView>
  </sheetViews>
  <sheetFormatPr baseColWidth="8" defaultRowHeight="18"/>
  <cols>
    <col width="40" customWidth="1" style="594" min="2" max="2"/>
    <col width="18.59765625" customWidth="1" style="594" min="3" max="6"/>
    <col width="62" customWidth="1" style="594" min="7" max="7"/>
  </cols>
  <sheetData>
    <row r="2">
      <c r="E2" s="73" t="n"/>
      <c r="F2" s="73" t="inlineStr">
        <is>
          <t>(単位：千円)</t>
        </is>
      </c>
    </row>
    <row r="3" ht="22.05" customHeight="1" s="594">
      <c r="B3" s="2" t="inlineStr">
        <is>
          <t>内容・所在地</t>
        </is>
      </c>
      <c r="C3" s="3" t="inlineStr">
        <is>
          <t>地積(㎡)</t>
        </is>
      </c>
      <c r="D3" s="3" t="inlineStr">
        <is>
          <t>帳簿価額</t>
        </is>
      </c>
      <c r="E3" s="3" t="inlineStr">
        <is>
          <t>評価差額</t>
        </is>
      </c>
      <c r="F3" s="3" t="inlineStr">
        <is>
          <t>時価評価額</t>
        </is>
      </c>
      <c r="G3" s="1" t="inlineStr">
        <is>
          <t>調整事由</t>
        </is>
      </c>
    </row>
    <row r="4" ht="53.5" customHeight="1" s="594">
      <c r="B4" s="694" t="inlineStr">
        <is>
          <t>鎌倉山店・本社敷地ほか／神奈川県鎌倉市鎌倉山三丁目2番31（地番・地目の詳細は要確認）</t>
        </is>
      </c>
      <c r="C4" s="710" t="inlineStr">
        <is>
          <t>要確認</t>
        </is>
      </c>
      <c r="D4" s="711">
        <f>'BS(借方)'!E29</f>
        <v>345029626</v>
      </c>
      <c r="E4" s="711">
        <f>F4-D4</f>
        <v>0</v>
      </c>
      <c r="F4" s="711">
        <f>D4</f>
        <v>345029626</v>
      </c>
      <c r="G4" s="695" t="inlineStr">
        <is>
          <t>登記事項証明書・固定資産税評価証明書・路線価が未受領のため時価評価未実施（簿価評価）。うち約87,420千円は「鎌倉山三丁目計画」に係る建設仮勘定からの振替額（内容要確認）</t>
        </is>
      </c>
    </row>
    <row r="5" ht="31.95" customHeight="1" s="594">
      <c r="B5" s="425" t="n"/>
      <c r="C5" s="712" t="n"/>
      <c r="D5" s="696" t="n"/>
      <c r="E5" s="696">
        <f>F5-D5</f>
        <v>0</v>
      </c>
      <c r="F5" s="696" t="n"/>
      <c r="G5" s="4" t="n"/>
    </row>
    <row r="6" ht="31.95" customHeight="1" s="594">
      <c r="B6" s="426" t="n"/>
      <c r="C6" s="712" t="n"/>
      <c r="D6" s="604" t="n"/>
      <c r="E6" s="696">
        <f>F6-D6</f>
        <v>0</v>
      </c>
      <c r="F6" s="696" t="n"/>
      <c r="G6" s="4" t="n"/>
    </row>
    <row r="7" ht="31.95" customHeight="1" s="594" thickBot="1">
      <c r="B7" s="420" t="n"/>
      <c r="C7" s="713" t="n"/>
      <c r="D7" s="698" t="n"/>
      <c r="E7" s="604">
        <f>F7-D7</f>
        <v>0</v>
      </c>
      <c r="F7" s="604" t="n"/>
      <c r="G7" s="6" t="n"/>
    </row>
    <row r="8" ht="31.95" customHeight="1" s="594">
      <c r="B8" s="351" t="inlineStr">
        <is>
          <t>合計</t>
        </is>
      </c>
      <c r="C8" s="714" t="n"/>
      <c r="D8" s="701">
        <f>SUM(D4:D7)</f>
        <v>345029626</v>
      </c>
      <c r="E8" s="701">
        <f>SUM(E4:E7)</f>
        <v>0</v>
      </c>
      <c r="F8" s="701">
        <f>SUM(F4:F7)</f>
        <v>345029626</v>
      </c>
      <c r="G8" s="7"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F8"/>
  <sheetViews>
    <sheetView showGridLines="0" zoomScaleNormal="100" workbookViewId="0">
      <selection activeCell="B12" sqref="B12"/>
    </sheetView>
  </sheetViews>
  <sheetFormatPr baseColWidth="8" defaultRowHeight="18"/>
  <cols>
    <col width="34" bestFit="1" customWidth="1" style="594" min="2" max="2"/>
    <col width="18.59765625" customWidth="1" style="594" min="3" max="5"/>
    <col width="62" bestFit="1" customWidth="1" style="594" min="6" max="6"/>
  </cols>
  <sheetData>
    <row r="2">
      <c r="E2" s="73" t="inlineStr">
        <is>
          <t>(単位：千円)</t>
        </is>
      </c>
    </row>
    <row r="3" ht="22.05" customHeight="1" s="594">
      <c r="B3" s="2" t="inlineStr">
        <is>
          <t>保険商品</t>
        </is>
      </c>
      <c r="C3" s="3" t="inlineStr">
        <is>
          <t>帳簿価額</t>
        </is>
      </c>
      <c r="D3" s="3" t="inlineStr">
        <is>
          <t>評価差額</t>
        </is>
      </c>
      <c r="E3" s="3" t="inlineStr">
        <is>
          <t>評価額</t>
        </is>
      </c>
      <c r="F3" s="1" t="inlineStr">
        <is>
          <t>調整事由</t>
        </is>
      </c>
    </row>
    <row r="4" ht="38" customHeight="1" s="594">
      <c r="B4" s="75" t="inlineStr">
        <is>
          <t>該当なし（BS上、保険積立金の計上なし）</t>
        </is>
      </c>
      <c r="C4" s="632" t="n">
        <v>0</v>
      </c>
      <c r="D4" s="632">
        <f>E4-C4</f>
        <v>0</v>
      </c>
      <c r="E4" s="632" t="n">
        <v>0</v>
      </c>
      <c r="F4" s="695" t="inlineStr">
        <is>
          <t>保険契約の有無・解約返戻金は未確認（保険証券未受領）。支払保険料は年664千円のみ（損害保険料等と推察）</t>
        </is>
      </c>
    </row>
    <row r="5" ht="31.95" customHeight="1" s="594">
      <c r="B5" s="425" t="n"/>
      <c r="C5" s="696" t="n"/>
      <c r="D5" s="696" t="n"/>
      <c r="E5" s="696" t="n"/>
      <c r="F5" s="4" t="n"/>
    </row>
    <row r="6" ht="31.95" customHeight="1" s="594">
      <c r="B6" s="426" t="n"/>
      <c r="C6" s="696" t="n"/>
      <c r="D6" s="696" t="n"/>
      <c r="E6" s="696" t="n"/>
      <c r="F6" s="4" t="n"/>
    </row>
    <row r="7" ht="31.95" customHeight="1" s="594" thickBot="1">
      <c r="B7" s="420" t="n"/>
      <c r="C7" s="698" t="n"/>
      <c r="D7" s="698" t="n"/>
      <c r="E7" s="698" t="n"/>
      <c r="F7" s="6" t="n"/>
    </row>
    <row r="8" ht="31.95" customHeight="1" s="594">
      <c r="B8" s="460" t="inlineStr">
        <is>
          <t>合計</t>
        </is>
      </c>
      <c r="C8" s="701">
        <f>SUM(C4:C7)</f>
        <v>0</v>
      </c>
      <c r="D8" s="701">
        <f>SUM(D4:D7)</f>
        <v>0</v>
      </c>
      <c r="E8" s="701">
        <f>C8+D8</f>
        <v>0</v>
      </c>
      <c r="F8" s="7"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B2:G9"/>
  <sheetViews>
    <sheetView showGridLines="0" zoomScaleNormal="100" workbookViewId="0">
      <selection activeCell="F14" sqref="F14"/>
    </sheetView>
  </sheetViews>
  <sheetFormatPr baseColWidth="8" defaultRowHeight="18"/>
  <cols>
    <col width="34" customWidth="1" style="594" min="2" max="2"/>
    <col width="10" customWidth="1" style="594" min="3" max="3"/>
    <col width="18.59765625" customWidth="1" style="594" min="4" max="6"/>
    <col width="50" bestFit="1" customWidth="1" style="594" min="7" max="7"/>
  </cols>
  <sheetData>
    <row r="2">
      <c r="F2" s="73" t="inlineStr">
        <is>
          <t>(単位：千円)</t>
        </is>
      </c>
    </row>
    <row r="3" ht="22.05" customHeight="1" s="594">
      <c r="B3" s="2" t="inlineStr">
        <is>
          <t>銘柄</t>
        </is>
      </c>
      <c r="C3" s="116" t="inlineStr">
        <is>
          <t>数量</t>
        </is>
      </c>
      <c r="D3" s="3" t="inlineStr">
        <is>
          <t>帳簿価額</t>
        </is>
      </c>
      <c r="E3" s="3" t="inlineStr">
        <is>
          <t>評価差額</t>
        </is>
      </c>
      <c r="F3" s="3" t="inlineStr">
        <is>
          <t>評価額</t>
        </is>
      </c>
      <c r="G3" s="1" t="inlineStr">
        <is>
          <t>調整事由</t>
        </is>
      </c>
    </row>
    <row r="4" ht="31.95" customHeight="1" s="594">
      <c r="B4" s="75" t="inlineStr">
        <is>
          <t>該当なし（BS上、投資有価証券の計上なし）</t>
        </is>
      </c>
      <c r="C4" s="352" t="n">
        <v>0</v>
      </c>
      <c r="D4" s="632" t="n">
        <v>0</v>
      </c>
      <c r="E4" s="632">
        <f>F4-D4</f>
        <v>0</v>
      </c>
      <c r="F4" s="632" t="n">
        <v>0</v>
      </c>
      <c r="G4" s="4" t="inlineStr">
        <is>
          <t>BSに計上なし（出資金5千円のみ）</t>
        </is>
      </c>
    </row>
    <row r="5" ht="31.95" customHeight="1" s="594">
      <c r="B5" s="425" t="n"/>
      <c r="C5" s="355" t="n"/>
      <c r="D5" s="696" t="n"/>
      <c r="E5" s="696">
        <f>F5-D5</f>
        <v>0</v>
      </c>
      <c r="F5" s="696" t="n"/>
      <c r="G5" s="4" t="n"/>
    </row>
    <row r="6" ht="31.95" customHeight="1" s="594">
      <c r="B6" s="426" t="n"/>
      <c r="C6" s="353" t="n"/>
      <c r="D6" s="696" t="n"/>
      <c r="E6" s="696" t="n"/>
      <c r="F6" s="696" t="n"/>
      <c r="G6" s="4" t="n"/>
    </row>
    <row r="7" ht="31.95" customHeight="1" s="594">
      <c r="B7" s="425" t="n"/>
      <c r="C7" s="355" t="n"/>
      <c r="D7" s="696" t="n"/>
      <c r="E7" s="696">
        <f>F7-D7</f>
        <v>0</v>
      </c>
      <c r="F7" s="696" t="n"/>
      <c r="G7" s="4" t="n"/>
    </row>
    <row r="8" ht="31.95" customHeight="1" s="594" thickBot="1">
      <c r="B8" s="420" t="n"/>
      <c r="C8" s="354" t="n"/>
      <c r="D8" s="698" t="n"/>
      <c r="E8" s="604">
        <f>F8-D8</f>
        <v>0</v>
      </c>
      <c r="F8" s="698" t="n"/>
      <c r="G8" s="6" t="n"/>
    </row>
    <row r="9" ht="31.95" customHeight="1" s="594">
      <c r="B9" s="351" t="inlineStr">
        <is>
          <t>合計</t>
        </is>
      </c>
      <c r="C9" s="356" t="inlineStr">
        <is>
          <t>-</t>
        </is>
      </c>
      <c r="D9" s="701">
        <f>SUM(D4:D8)</f>
        <v>0</v>
      </c>
      <c r="E9" s="701">
        <f>SUM(E4:E8)</f>
        <v>0</v>
      </c>
      <c r="F9" s="701">
        <f>D9+E9</f>
        <v>0</v>
      </c>
      <c r="G9" s="7"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B2:F8"/>
  <sheetViews>
    <sheetView workbookViewId="0">
      <selection activeCell="A1" sqref="A1"/>
    </sheetView>
  </sheetViews>
  <sheetFormatPr baseColWidth="8" defaultRowHeight="18"/>
  <cols>
    <col width="34" bestFit="1" customWidth="1" style="594" min="2" max="2"/>
    <col width="18.59765625" customWidth="1" style="594" min="3" max="5"/>
    <col width="62" bestFit="1" customWidth="1" style="594" min="6" max="6"/>
  </cols>
  <sheetData>
    <row r="2">
      <c r="E2" s="73" t="inlineStr">
        <is>
          <t>(単位：千円)</t>
        </is>
      </c>
    </row>
    <row r="3" ht="22.05" customHeight="1" s="594">
      <c r="B3" s="2" t="inlineStr">
        <is>
          <t>内容</t>
        </is>
      </c>
      <c r="C3" s="3" t="inlineStr">
        <is>
          <t>帳簿価額</t>
        </is>
      </c>
      <c r="D3" s="3" t="inlineStr">
        <is>
          <t>評価差額</t>
        </is>
      </c>
      <c r="E3" s="3" t="inlineStr">
        <is>
          <t>評価額</t>
        </is>
      </c>
      <c r="F3" s="1" t="inlineStr">
        <is>
          <t>調整事由</t>
        </is>
      </c>
    </row>
    <row r="4" ht="38" customHeight="1" s="594">
      <c r="B4" s="75" t="inlineStr">
        <is>
          <t>敷金（店舗等の賃借物件）</t>
        </is>
      </c>
      <c r="C4" s="632">
        <f>'BS(借方)'!E51</f>
        <v>13160100</v>
      </c>
      <c r="D4" s="632" t="n">
        <v>0</v>
      </c>
      <c r="E4" s="632">
        <f>C4+D4</f>
        <v>13160100</v>
      </c>
      <c r="F4" s="695" t="inlineStr">
        <is>
          <t>店舗別の賃貸借契約書・預託明細が未受領のため簿価評価。返還見込み・原状回復費用は要確認</t>
        </is>
      </c>
    </row>
    <row r="5" ht="22.5" customHeight="1" s="594">
      <c r="B5" s="425" t="inlineStr">
        <is>
          <t>差入保証金</t>
        </is>
      </c>
      <c r="C5" s="696">
        <f>'BS(借方)'!E52</f>
        <v>0</v>
      </c>
      <c r="D5" s="696" t="n">
        <v>0</v>
      </c>
      <c r="E5" s="696">
        <f>C5+D5</f>
        <v>0</v>
      </c>
      <c r="F5" s="695" t="inlineStr">
        <is>
          <t>BSに計上なし</t>
        </is>
      </c>
    </row>
    <row r="6" ht="31.95" customHeight="1" s="594">
      <c r="B6" s="426" t="n"/>
      <c r="C6" s="696" t="n"/>
      <c r="D6" s="696" t="n"/>
      <c r="E6" s="696" t="n"/>
      <c r="F6" s="4" t="n"/>
    </row>
    <row r="7" ht="31.95" customHeight="1" s="594" thickBot="1">
      <c r="B7" s="420" t="n"/>
      <c r="C7" s="698" t="n"/>
      <c r="D7" s="698" t="n"/>
      <c r="E7" s="698" t="n"/>
      <c r="F7" s="6" t="n"/>
    </row>
    <row r="8" ht="31.95" customHeight="1" s="594">
      <c r="B8" s="460" t="inlineStr">
        <is>
          <t>合計</t>
        </is>
      </c>
      <c r="C8" s="701">
        <f>SUM(C4:C7)</f>
        <v>13160100</v>
      </c>
      <c r="D8" s="701">
        <f>SUM(D4:D7)</f>
        <v>0</v>
      </c>
      <c r="E8" s="701">
        <f>SUM(E4:E7)</f>
        <v>13160100</v>
      </c>
      <c r="F8" s="7" t="n"/>
    </row>
  </sheetData>
  <pageMargins left="0.7" right="0.7" top="0.75" bottom="0.75" header="0.3" footer="0.3"/>
</worksheet>
</file>

<file path=xl/worksheets/sheet17.xml><?xml version="1.0" encoding="utf-8"?>
<worksheet xmlns="http://schemas.openxmlformats.org/spreadsheetml/2006/main">
  <sheetPr>
    <tabColor theme="7"/>
    <outlinePr summaryBelow="1" summaryRight="1"/>
    <pageSetUpPr/>
  </sheetPr>
  <dimension ref="B2:E103"/>
  <sheetViews>
    <sheetView showGridLines="0" zoomScaleNormal="100" workbookViewId="0">
      <pane ySplit="4" topLeftCell="A5" activePane="bottomLeft" state="frozen"/>
      <selection pane="bottomLeft" activeCell="F57" sqref="F57"/>
    </sheetView>
  </sheetViews>
  <sheetFormatPr baseColWidth="8" defaultRowHeight="18"/>
  <cols>
    <col width="28" customWidth="1" style="177" min="2" max="2"/>
    <col width="18" customWidth="1" style="594" min="3" max="3"/>
    <col width="18" customWidth="1" style="594" min="4" max="4"/>
    <col width="18" customWidth="1" style="594" min="5" max="5"/>
    <col width="8.796875" customWidth="1" style="594" min="6" max="6"/>
  </cols>
  <sheetData>
    <row r="2">
      <c r="E2" s="73" t="inlineStr">
        <is>
          <t>(単位：千円)</t>
        </is>
      </c>
    </row>
    <row r="3" ht="28.2" customHeight="1" s="594" thickBot="1">
      <c r="B3" s="179" t="inlineStr">
        <is>
          <t>負債の部</t>
        </is>
      </c>
      <c r="C3" s="170" t="n"/>
      <c r="D3" s="170" t="n"/>
      <c r="E3" s="295" t="n"/>
    </row>
    <row r="4" ht="19.8" customHeight="1" s="594">
      <c r="B4" s="1" t="inlineStr">
        <is>
          <t>科目</t>
        </is>
      </c>
      <c r="C4" s="240" t="str">
        <f>'BS(借方)'!E4</f>
        <v>令和8年3月期</v>
      </c>
      <c r="D4" s="268" t="inlineStr">
        <is>
          <t>修正額</t>
        </is>
      </c>
      <c r="E4" s="267" t="inlineStr">
        <is>
          <t>修正後</t>
        </is>
      </c>
    </row>
    <row r="5" ht="22.5" customHeight="1" s="594">
      <c r="B5" s="258" t="inlineStr">
        <is>
          <t>【流動負債】</t>
        </is>
      </c>
      <c r="C5" s="635">
        <f>SUM(C6:C17)</f>
        <v>196854699</v>
      </c>
      <c r="D5" s="595">
        <f>SUM(D6:D17)</f>
        <v>10464714</v>
      </c>
      <c r="E5" s="596">
        <f>C5+D5</f>
        <v>207319413</v>
      </c>
    </row>
    <row r="6" ht="22.5" customHeight="1" s="594">
      <c r="B6" s="215" t="inlineStr">
        <is>
          <t>買掛金</t>
        </is>
      </c>
      <c r="C6" s="604">
        <f>'BS (貸方)'!E6</f>
        <v>10296760</v>
      </c>
      <c r="D6" s="611" t="n"/>
      <c r="E6" s="598">
        <f>C6+D6</f>
        <v>10296760</v>
      </c>
    </row>
    <row r="7" ht="22.5" customHeight="1" s="594">
      <c r="B7" s="215" t="inlineStr">
        <is>
          <t>未払金</t>
        </is>
      </c>
      <c r="C7" s="604">
        <f>'BS (貸方)'!E7</f>
        <v>7639437</v>
      </c>
      <c r="D7" s="611" t="n"/>
      <c r="E7" s="598">
        <f>C7+D7</f>
        <v>7639437</v>
      </c>
    </row>
    <row r="8" ht="22.5" customHeight="1" s="594">
      <c r="B8" s="215" t="inlineStr">
        <is>
          <t>未払費用</t>
        </is>
      </c>
      <c r="C8" s="604">
        <f>'BS (貸方)'!E8</f>
        <v>0</v>
      </c>
      <c r="D8" s="611">
        <f>'未払人件費・賞与'!F4</f>
        <v>10464714</v>
      </c>
      <c r="E8" s="598">
        <f>C8+D8</f>
        <v>10464714</v>
      </c>
    </row>
    <row r="9" ht="22.5" customHeight="1" s="594">
      <c r="B9" s="215" t="inlineStr">
        <is>
          <t>未払消費税</t>
        </is>
      </c>
      <c r="C9" s="604">
        <f>'BS (貸方)'!E9</f>
        <v>4950000</v>
      </c>
      <c r="D9" s="611" t="n"/>
      <c r="E9" s="598">
        <f>C9+D9</f>
        <v>4950000</v>
      </c>
    </row>
    <row r="10" ht="22.5" customHeight="1" s="594">
      <c r="B10" s="215" t="inlineStr">
        <is>
          <t>預り金</t>
        </is>
      </c>
      <c r="C10" s="604">
        <f>'BS (貸方)'!E10</f>
        <v>794225</v>
      </c>
      <c r="D10" s="611" t="n"/>
      <c r="E10" s="598">
        <f>C10+D10</f>
        <v>794225</v>
      </c>
    </row>
    <row r="11" ht="22.5" customHeight="1" s="594">
      <c r="B11" s="215" t="inlineStr">
        <is>
          <t>未払法人税等</t>
        </is>
      </c>
      <c r="C11" s="604">
        <f>'BS (貸方)'!E11</f>
        <v>97300</v>
      </c>
      <c r="D11" s="611" t="n"/>
      <c r="E11" s="598">
        <f>C11+D11</f>
        <v>97300</v>
      </c>
    </row>
    <row r="12" ht="22.5" customHeight="1" s="594">
      <c r="B12" s="215" t="inlineStr">
        <is>
          <t>短期借入金</t>
        </is>
      </c>
      <c r="C12" s="604">
        <f>'BS (貸方)'!E12</f>
        <v>173076977</v>
      </c>
      <c r="D12" s="611" t="n"/>
      <c r="E12" s="598">
        <f>C12+D12</f>
        <v>173076977</v>
      </c>
    </row>
    <row r="13" ht="22.5" customHeight="1" s="594">
      <c r="B13" s="215" t="n"/>
      <c r="C13" s="604">
        <f>'BS (貸方)'!E13</f>
        <v>0</v>
      </c>
      <c r="D13" s="611" t="n"/>
      <c r="E13" s="598">
        <f>C13+D13</f>
        <v>0</v>
      </c>
    </row>
    <row r="14" ht="22.5" customHeight="1" s="594">
      <c r="B14" s="215" t="n"/>
      <c r="C14" s="604">
        <f>'BS (貸方)'!E14</f>
        <v>0</v>
      </c>
      <c r="D14" s="611" t="n"/>
      <c r="E14" s="598">
        <f>C14+D14</f>
        <v>0</v>
      </c>
    </row>
    <row r="15" ht="22.5" customHeight="1" s="594">
      <c r="B15" s="215" t="n"/>
      <c r="C15" s="604">
        <f>'BS (貸方)'!E15</f>
        <v>0</v>
      </c>
      <c r="D15" s="611" t="n"/>
      <c r="E15" s="598">
        <f>C15+D15</f>
        <v>0</v>
      </c>
    </row>
    <row r="16" ht="22.5" customHeight="1" s="594">
      <c r="B16" s="215" t="n"/>
      <c r="C16" s="604">
        <f>'BS (貸方)'!E16</f>
        <v>0</v>
      </c>
      <c r="D16" s="611" t="n"/>
      <c r="E16" s="598">
        <f>C16+D16</f>
        <v>0</v>
      </c>
    </row>
    <row r="17" ht="22.5" customHeight="1" s="594">
      <c r="B17" s="214" t="n"/>
      <c r="C17" s="606">
        <f>'BS (貸方)'!E17</f>
        <v>0</v>
      </c>
      <c r="D17" s="612" t="n"/>
      <c r="E17" s="598">
        <f>C17+D17</f>
        <v>0</v>
      </c>
    </row>
    <row r="18" ht="22.5" customHeight="1" s="594">
      <c r="B18" s="258" t="inlineStr">
        <is>
          <t>【固定負債】</t>
        </is>
      </c>
      <c r="C18" s="635">
        <f>SUM(C19:C26)</f>
        <v>272745529</v>
      </c>
      <c r="D18" s="595">
        <f>SUM(D19:D26)</f>
        <v>0</v>
      </c>
      <c r="E18" s="715">
        <f>C18+D18</f>
        <v>272745529</v>
      </c>
    </row>
    <row r="19" ht="22.5" customHeight="1" s="594">
      <c r="B19" s="215" t="inlineStr">
        <is>
          <t>長期借入金</t>
        </is>
      </c>
      <c r="C19" s="604">
        <f>'BS (貸方)'!E19</f>
        <v>272745529</v>
      </c>
      <c r="D19" s="611" t="n"/>
      <c r="E19" s="598">
        <f>C19+D19</f>
        <v>272745529</v>
      </c>
    </row>
    <row r="20" ht="22.5" customHeight="1" s="594">
      <c r="B20" s="215" t="inlineStr">
        <is>
          <t>長期預り保証金</t>
        </is>
      </c>
      <c r="C20" s="604">
        <f>'BS (貸方)'!E20</f>
        <v>0</v>
      </c>
      <c r="D20" s="611" t="n"/>
      <c r="E20" s="598">
        <f>C20+D20</f>
        <v>0</v>
      </c>
    </row>
    <row r="21" ht="22.5" customHeight="1" s="594">
      <c r="B21" s="215" t="n"/>
      <c r="C21" s="604">
        <f>'BS (貸方)'!E21</f>
        <v>0</v>
      </c>
      <c r="D21" s="611" t="n"/>
      <c r="E21" s="598">
        <f>C21+D21</f>
        <v>0</v>
      </c>
    </row>
    <row r="22" ht="22.5" customHeight="1" s="594">
      <c r="B22" s="215" t="n"/>
      <c r="C22" s="604">
        <f>'BS (貸方)'!E22</f>
        <v>0</v>
      </c>
      <c r="D22" s="611" t="n"/>
      <c r="E22" s="598">
        <f>C22+D22</f>
        <v>0</v>
      </c>
    </row>
    <row r="23" ht="22.5" customHeight="1" s="594">
      <c r="B23" s="215" t="n"/>
      <c r="C23" s="604">
        <f>'BS (貸方)'!E23</f>
        <v>0</v>
      </c>
      <c r="D23" s="611" t="n"/>
      <c r="E23" s="598">
        <f>C23+D23</f>
        <v>0</v>
      </c>
    </row>
    <row r="24" ht="22.5" customHeight="1" s="594">
      <c r="B24" s="215" t="n"/>
      <c r="C24" s="604">
        <f>'BS (貸方)'!E24</f>
        <v>0</v>
      </c>
      <c r="D24" s="611" t="n"/>
      <c r="E24" s="598">
        <f>C24+D24</f>
        <v>0</v>
      </c>
    </row>
    <row r="25" ht="22.5" customHeight="1" s="594">
      <c r="B25" s="215" t="n"/>
      <c r="C25" s="604" t="n"/>
      <c r="D25" s="611" t="n"/>
      <c r="E25" s="598">
        <f>C25+D25</f>
        <v>0</v>
      </c>
    </row>
    <row r="26" ht="22.5" customHeight="1" s="594">
      <c r="B26" s="215" t="n"/>
      <c r="C26" s="604" t="n"/>
      <c r="D26" s="611" t="n"/>
      <c r="E26" s="598">
        <f>C26+D26</f>
        <v>0</v>
      </c>
    </row>
    <row r="27" ht="22.5" customHeight="1" s="594">
      <c r="B27" s="216" t="inlineStr">
        <is>
          <t>【繰延税金負債】</t>
        </is>
      </c>
      <c r="C27" s="671" t="n">
        <v>0</v>
      </c>
      <c r="D27" s="716" t="n">
        <v>0</v>
      </c>
      <c r="E27" s="672">
        <f>C27+D27</f>
        <v>0</v>
      </c>
    </row>
    <row r="28" ht="22.5" customHeight="1" s="594" thickBot="1">
      <c r="B28" s="259" t="inlineStr">
        <is>
          <t>負債合計</t>
        </is>
      </c>
      <c r="C28" s="717">
        <f>C5+C18+C27</f>
        <v>469600228</v>
      </c>
      <c r="D28" s="614">
        <f>D5+D18+D27</f>
        <v>10464714</v>
      </c>
      <c r="E28" s="718">
        <f>C28+D28</f>
        <v>480064942</v>
      </c>
    </row>
    <row r="29" ht="22.5" customHeight="1" s="594">
      <c r="B29" s="719" t="n"/>
      <c r="C29" s="617" t="n"/>
      <c r="D29" s="617" t="n"/>
      <c r="E29" s="617" t="n"/>
    </row>
    <row r="30" ht="22.5" customHeight="1" s="594">
      <c r="B30" s="719" t="n"/>
      <c r="C30" s="597" t="n"/>
      <c r="D30" s="597" t="n"/>
      <c r="E30" s="597" t="n"/>
    </row>
    <row r="31" ht="22.5" customHeight="1" s="594">
      <c r="B31" s="719" t="n"/>
      <c r="C31" s="597" t="n"/>
      <c r="D31" s="597" t="n"/>
      <c r="E31" s="597" t="n"/>
    </row>
    <row r="32" ht="22.5" customHeight="1" s="594">
      <c r="B32" s="719" t="n"/>
      <c r="C32" s="597" t="n"/>
      <c r="D32" s="597" t="n"/>
      <c r="E32" s="597" t="n"/>
    </row>
    <row r="33" ht="22.5" customHeight="1" s="594">
      <c r="B33" s="719" t="n"/>
      <c r="C33" s="597" t="n"/>
      <c r="D33" s="597" t="n"/>
      <c r="E33" s="597" t="n"/>
    </row>
    <row r="34" ht="22.2" customHeight="1" s="594" thickBot="1">
      <c r="B34" s="175" t="inlineStr">
        <is>
          <t>純資産の部</t>
        </is>
      </c>
      <c r="C34" s="170" t="n"/>
      <c r="D34" s="170" t="n"/>
      <c r="E34" s="296" t="n"/>
    </row>
    <row r="35" ht="22.2" customHeight="1" s="594">
      <c r="B35" s="258" t="inlineStr">
        <is>
          <t>【資本金】</t>
        </is>
      </c>
      <c r="C35" s="635">
        <f>SUM(C36:C38)</f>
        <v>500000</v>
      </c>
      <c r="D35" s="595">
        <f>SUM(D36:D38)</f>
        <v>0</v>
      </c>
      <c r="E35" s="596">
        <f>C35+D35</f>
        <v>500000</v>
      </c>
    </row>
    <row r="36" ht="22.2" customHeight="1" s="594">
      <c r="B36" s="173" t="inlineStr">
        <is>
          <t>資本金</t>
        </is>
      </c>
      <c r="C36" s="617">
        <f>'BS (貸方)'!E36</f>
        <v>500000</v>
      </c>
      <c r="D36" s="597" t="n"/>
      <c r="E36" s="598">
        <f>C36+D36</f>
        <v>500000</v>
      </c>
    </row>
    <row r="37" ht="22.2" customHeight="1" s="594">
      <c r="B37" s="173" t="n"/>
      <c r="C37" s="597">
        <f>'BS (貸方)'!E37</f>
        <v>0</v>
      </c>
      <c r="D37" s="597" t="n"/>
      <c r="E37" s="598">
        <f>C37+D37</f>
        <v>0</v>
      </c>
    </row>
    <row r="38" ht="22.2" customHeight="1" s="594">
      <c r="B38" s="191" t="n"/>
      <c r="C38" s="606">
        <f>'BS (貸方)'!E38</f>
        <v>0</v>
      </c>
      <c r="D38" s="612" t="n"/>
      <c r="E38" s="598">
        <f>C38+D38</f>
        <v>0</v>
      </c>
    </row>
    <row r="39" ht="22.2" customHeight="1" s="594">
      <c r="B39" s="258" t="inlineStr">
        <is>
          <t>【資本剰余金】</t>
        </is>
      </c>
      <c r="C39" s="671">
        <f>SUM(C40:C42)</f>
        <v>5000000</v>
      </c>
      <c r="D39" s="716">
        <f>SUM(D40:D42)</f>
        <v>0</v>
      </c>
      <c r="E39" s="672">
        <f>C39+D39</f>
        <v>5000000</v>
      </c>
    </row>
    <row r="40" ht="22.2" customHeight="1" s="594">
      <c r="B40" s="215" t="inlineStr">
        <is>
          <t>その他資本剰余金</t>
        </is>
      </c>
      <c r="C40" s="720">
        <f>'BS (貸方)'!E40</f>
        <v>5000000</v>
      </c>
      <c r="D40" s="721" t="n"/>
      <c r="E40" s="684">
        <f>C40+D40</f>
        <v>5000000</v>
      </c>
    </row>
    <row r="41" ht="22.2" customHeight="1" s="594">
      <c r="B41" s="173" t="n"/>
      <c r="C41" s="604">
        <f>'BS (貸方)'!E41</f>
        <v>0</v>
      </c>
      <c r="D41" s="611" t="n"/>
      <c r="E41" s="598">
        <f>C41+D41</f>
        <v>0</v>
      </c>
    </row>
    <row r="42" ht="22.2" customHeight="1" s="594">
      <c r="B42" s="260" t="n"/>
      <c r="C42" s="606">
        <f>'BS (貸方)'!E42</f>
        <v>0</v>
      </c>
      <c r="D42" s="612" t="n"/>
      <c r="E42" s="598">
        <f>C42+D42</f>
        <v>0</v>
      </c>
    </row>
    <row r="43" ht="22.5" customHeight="1" s="594">
      <c r="B43" s="258" t="inlineStr">
        <is>
          <t>【利益剰余金】</t>
        </is>
      </c>
      <c r="C43" s="671">
        <f>SUM(C44:C47)</f>
        <v>321408762</v>
      </c>
      <c r="D43" s="716">
        <f>SUM(D44:D47)</f>
        <v>0</v>
      </c>
      <c r="E43" s="672">
        <f>C43+D43</f>
        <v>321408762</v>
      </c>
    </row>
    <row r="44" ht="22.5" customHeight="1" s="594">
      <c r="B44" s="174" t="inlineStr">
        <is>
          <t>利益準備金</t>
        </is>
      </c>
      <c r="C44" s="617">
        <f>'BS (貸方)'!E44</f>
        <v>0</v>
      </c>
      <c r="D44" s="597" t="n"/>
      <c r="E44" s="598">
        <f>C44+D44</f>
        <v>0</v>
      </c>
    </row>
    <row r="45" ht="22.5" customHeight="1" s="594">
      <c r="B45" s="173" t="inlineStr">
        <is>
          <t>別途積立金</t>
        </is>
      </c>
      <c r="C45" s="597">
        <f>'BS (貸方)'!E45</f>
        <v>0</v>
      </c>
      <c r="D45" s="597" t="n"/>
      <c r="E45" s="598">
        <f>C45+D45</f>
        <v>0</v>
      </c>
    </row>
    <row r="46" ht="22.5" customHeight="1" s="594">
      <c r="B46" s="173" t="inlineStr">
        <is>
          <t>繰越利益剰余金</t>
        </is>
      </c>
      <c r="C46" s="597">
        <f>'BS (貸方)'!E46</f>
        <v>321408762</v>
      </c>
      <c r="D46" s="597" t="n"/>
      <c r="E46" s="598">
        <f>C46+D46</f>
        <v>321408762</v>
      </c>
    </row>
    <row r="47" ht="22.5" customHeight="1" s="594">
      <c r="B47" s="191" t="n"/>
      <c r="C47" s="606" t="n"/>
      <c r="D47" s="612" t="n"/>
      <c r="E47" s="598">
        <f>C47+D47</f>
        <v>0</v>
      </c>
    </row>
    <row r="48" ht="22.5" customHeight="1" s="594">
      <c r="B48" s="427" t="inlineStr">
        <is>
          <t>【自己株式】</t>
        </is>
      </c>
      <c r="C48" s="722" t="n">
        <v>0</v>
      </c>
      <c r="D48" s="723" t="n">
        <v>0</v>
      </c>
      <c r="E48" s="724">
        <f>C48+D48</f>
        <v>0</v>
      </c>
    </row>
    <row r="49" ht="22.5" customHeight="1" s="594">
      <c r="B49" s="427" t="inlineStr">
        <is>
          <t>【評価修正額】</t>
        </is>
      </c>
      <c r="C49" s="722" t="n"/>
      <c r="D49" s="723">
        <f>SUM(D50:D51)</f>
        <v>-6906711</v>
      </c>
      <c r="E49" s="724">
        <f>C49+D49</f>
        <v>-6906711</v>
      </c>
    </row>
    <row r="50" ht="22.5" customHeight="1" s="594">
      <c r="B50" s="339" t="inlineStr">
        <is>
          <t>修正額</t>
        </is>
      </c>
      <c r="C50" s="725" t="n"/>
      <c r="D50" s="726">
        <f>'修正BS(借方)'!D61-'修正BS(借方)'!D60-(D28-D27)</f>
        <v>-10464714</v>
      </c>
      <c r="E50" s="727">
        <f>C50+D50</f>
        <v>-10464714</v>
      </c>
    </row>
    <row r="51" ht="22.5" customHeight="1" s="594">
      <c r="B51" s="338" t="inlineStr">
        <is>
          <t>修正税効果</t>
        </is>
      </c>
      <c r="C51" s="728" t="n"/>
      <c r="D51" s="729">
        <f>'修正BS(借方)'!D60-D27</f>
        <v>3558003</v>
      </c>
      <c r="E51" s="730">
        <f>C51+D51</f>
        <v>3558003</v>
      </c>
    </row>
    <row r="52" ht="22.5" customHeight="1" s="594">
      <c r="B52" s="261" t="inlineStr">
        <is>
          <t>純資産合計</t>
        </is>
      </c>
      <c r="C52" s="731">
        <f>C35+C39+C43+C48</f>
        <v>326908762</v>
      </c>
      <c r="D52" s="731">
        <f>D35+D39+D43+D48+D49</f>
        <v>-6906711</v>
      </c>
      <c r="E52" s="732">
        <f>C52+D52</f>
        <v>320002051</v>
      </c>
    </row>
    <row r="53" ht="22.5" customHeight="1" s="594" thickBot="1">
      <c r="B53" s="262" t="inlineStr">
        <is>
          <t>負債・純資産合計</t>
        </is>
      </c>
      <c r="C53" s="733">
        <f>C28+C52</f>
        <v>796508990</v>
      </c>
      <c r="D53" s="733">
        <f>D28+D52</f>
        <v>3558003</v>
      </c>
      <c r="E53" s="734">
        <f>C53+D53</f>
        <v>800066993</v>
      </c>
    </row>
    <row r="54">
      <c r="C54" s="609" t="n"/>
      <c r="D54" s="609" t="n"/>
      <c r="E54" s="609" t="n"/>
    </row>
    <row r="55">
      <c r="B55" s="262" t="inlineStr">
        <is>
          <t>検算：修正後 貸借一致</t>
        </is>
      </c>
      <c r="C55" s="609">
        <f>EXACT(E53,'修正BS(借方)'!E61)</f>
        <v>1</v>
      </c>
      <c r="D55" s="609" t="n"/>
      <c r="E55" s="609" t="n"/>
    </row>
    <row r="56">
      <c r="C56" s="609" t="n"/>
      <c r="D56" s="609" t="n"/>
      <c r="E56" s="609" t="n"/>
    </row>
    <row r="57">
      <c r="C57" s="609" t="n"/>
      <c r="D57" s="609" t="n"/>
      <c r="E57" s="609" t="n"/>
    </row>
    <row r="58">
      <c r="C58" s="609" t="n"/>
      <c r="D58" s="609" t="n"/>
      <c r="E58" s="609" t="n"/>
    </row>
    <row r="59">
      <c r="C59" s="609" t="n"/>
      <c r="D59" s="609" t="n"/>
      <c r="E59" s="609" t="n"/>
    </row>
    <row r="60">
      <c r="C60" s="609" t="n"/>
      <c r="D60" s="609" t="n"/>
      <c r="E60" s="609" t="n"/>
    </row>
    <row r="61">
      <c r="C61" s="609" t="n"/>
      <c r="D61" s="609" t="n"/>
      <c r="E61" s="609" t="n"/>
    </row>
    <row r="62">
      <c r="C62" s="609" t="n"/>
      <c r="D62" s="609" t="n"/>
      <c r="E62" s="609" t="n"/>
    </row>
    <row r="63">
      <c r="C63" s="609" t="n"/>
      <c r="D63" s="609" t="n"/>
      <c r="E63" s="609" t="n"/>
    </row>
    <row r="64">
      <c r="C64" s="609" t="n"/>
      <c r="D64" s="609" t="n"/>
      <c r="E64" s="609" t="n"/>
    </row>
    <row r="65">
      <c r="C65" s="609" t="n"/>
      <c r="D65" s="609" t="n"/>
      <c r="E65" s="609" t="n"/>
    </row>
    <row r="66">
      <c r="C66" s="609" t="n"/>
      <c r="D66" s="609" t="n"/>
      <c r="E66" s="609" t="n"/>
    </row>
    <row r="67">
      <c r="C67" s="609" t="n"/>
      <c r="D67" s="609" t="n"/>
      <c r="E67" s="609" t="n"/>
    </row>
    <row r="68">
      <c r="C68" s="609" t="n"/>
      <c r="D68" s="609" t="n"/>
      <c r="E68" s="609" t="n"/>
    </row>
    <row r="69">
      <c r="C69" s="609" t="n"/>
      <c r="D69" s="609" t="n"/>
      <c r="E69" s="609" t="n"/>
    </row>
    <row r="70">
      <c r="C70" s="609" t="n"/>
      <c r="D70" s="609" t="n"/>
      <c r="E70" s="609" t="n"/>
    </row>
    <row r="71">
      <c r="C71" s="609" t="n"/>
      <c r="D71" s="609" t="n"/>
      <c r="E71" s="609" t="n"/>
    </row>
    <row r="72">
      <c r="C72" s="609" t="n"/>
      <c r="D72" s="609" t="n"/>
      <c r="E72" s="609" t="n"/>
    </row>
    <row r="73">
      <c r="C73" s="609" t="n"/>
      <c r="D73" s="609" t="n"/>
      <c r="E73" s="609" t="n"/>
    </row>
    <row r="74">
      <c r="C74" s="609" t="n"/>
      <c r="D74" s="609" t="n"/>
      <c r="E74" s="609" t="n"/>
    </row>
    <row r="75">
      <c r="C75" s="609" t="n"/>
      <c r="D75" s="609" t="n"/>
      <c r="E75" s="609" t="n"/>
    </row>
    <row r="76">
      <c r="C76" s="609" t="n"/>
      <c r="D76" s="609" t="n"/>
      <c r="E76" s="609" t="n"/>
    </row>
    <row r="77">
      <c r="C77" s="609" t="n"/>
      <c r="D77" s="609" t="n"/>
      <c r="E77" s="609" t="n"/>
    </row>
    <row r="78">
      <c r="C78" s="609" t="n"/>
      <c r="D78" s="609" t="n"/>
      <c r="E78" s="609" t="n"/>
    </row>
    <row r="79">
      <c r="C79" s="609" t="n"/>
      <c r="D79" s="609" t="n"/>
      <c r="E79" s="609" t="n"/>
    </row>
    <row r="80">
      <c r="C80" s="609" t="n"/>
      <c r="D80" s="609" t="n"/>
      <c r="E80" s="609" t="n"/>
    </row>
    <row r="81">
      <c r="C81" s="609" t="n"/>
      <c r="D81" s="609" t="n"/>
      <c r="E81" s="609" t="n"/>
    </row>
    <row r="82">
      <c r="C82" s="609" t="n"/>
      <c r="D82" s="609" t="n"/>
      <c r="E82" s="609" t="n"/>
    </row>
    <row r="83">
      <c r="C83" s="609" t="n"/>
      <c r="D83" s="609" t="n"/>
      <c r="E83" s="609" t="n"/>
    </row>
    <row r="84">
      <c r="C84" s="609" t="n"/>
      <c r="D84" s="609" t="n"/>
      <c r="E84" s="609" t="n"/>
    </row>
    <row r="85">
      <c r="C85" s="609" t="n"/>
      <c r="D85" s="609" t="n"/>
      <c r="E85" s="609" t="n"/>
    </row>
    <row r="86">
      <c r="C86" s="609" t="n"/>
      <c r="D86" s="609" t="n"/>
      <c r="E86" s="609" t="n"/>
    </row>
    <row r="87">
      <c r="C87" s="609" t="n"/>
      <c r="D87" s="609" t="n"/>
      <c r="E87" s="609" t="n"/>
    </row>
    <row r="88">
      <c r="C88" s="609" t="n"/>
      <c r="D88" s="609" t="n"/>
      <c r="E88" s="609" t="n"/>
    </row>
    <row r="89">
      <c r="C89" s="609" t="n"/>
      <c r="D89" s="609" t="n"/>
      <c r="E89" s="609" t="n"/>
    </row>
    <row r="90">
      <c r="C90" s="609" t="n"/>
      <c r="D90" s="609" t="n"/>
      <c r="E90" s="609" t="n"/>
    </row>
    <row r="91">
      <c r="C91" s="609" t="n"/>
      <c r="D91" s="609" t="n"/>
      <c r="E91" s="609" t="n"/>
    </row>
    <row r="92">
      <c r="C92" s="609" t="n"/>
      <c r="D92" s="609" t="n"/>
      <c r="E92" s="609" t="n"/>
    </row>
    <row r="93">
      <c r="C93" s="609" t="n"/>
      <c r="D93" s="609" t="n"/>
      <c r="E93" s="609" t="n"/>
    </row>
    <row r="94">
      <c r="C94" s="609" t="n"/>
      <c r="D94" s="609" t="n"/>
      <c r="E94" s="609" t="n"/>
    </row>
    <row r="95">
      <c r="C95" s="609" t="n"/>
      <c r="D95" s="609" t="n"/>
      <c r="E95" s="609" t="n"/>
    </row>
    <row r="96">
      <c r="C96" s="609" t="n"/>
      <c r="D96" s="609" t="n"/>
      <c r="E96" s="609" t="n"/>
    </row>
    <row r="97">
      <c r="C97" s="609" t="n"/>
      <c r="D97" s="609" t="n"/>
      <c r="E97" s="609" t="n"/>
    </row>
    <row r="98">
      <c r="C98" s="609" t="n"/>
      <c r="D98" s="609" t="n"/>
      <c r="E98" s="609" t="n"/>
    </row>
    <row r="99">
      <c r="C99" s="609" t="n"/>
      <c r="D99" s="609" t="n"/>
      <c r="E99" s="609" t="n"/>
    </row>
    <row r="100">
      <c r="C100" s="609" t="n"/>
      <c r="D100" s="609" t="n"/>
      <c r="E100" s="609" t="n"/>
    </row>
    <row r="101">
      <c r="C101" s="609" t="n"/>
      <c r="D101" s="609" t="n"/>
      <c r="E101" s="609" t="n"/>
    </row>
    <row r="102">
      <c r="C102" s="609" t="n"/>
      <c r="D102" s="609" t="n"/>
      <c r="E102" s="609" t="n"/>
    </row>
    <row r="103">
      <c r="C103" s="609" t="n"/>
      <c r="D103" s="609" t="n"/>
      <c r="E103" s="609"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B2:G9"/>
  <sheetViews>
    <sheetView showGridLines="0" zoomScaleNormal="100" workbookViewId="0">
      <selection activeCell="E14" sqref="E14"/>
    </sheetView>
  </sheetViews>
  <sheetFormatPr baseColWidth="8" defaultRowHeight="18"/>
  <cols>
    <col width="26" customWidth="1" style="594" min="2" max="2"/>
    <col width="44" customWidth="1" style="594" min="3" max="3"/>
    <col width="18.59765625" customWidth="1" style="594" min="4" max="4"/>
    <col width="19.69921875" customWidth="1" style="594" min="5" max="7"/>
  </cols>
  <sheetData>
    <row r="2">
      <c r="D2" s="73" t="n"/>
      <c r="E2" s="73" t="n"/>
      <c r="F2" s="73" t="inlineStr">
        <is>
          <t>(単位：千円)</t>
        </is>
      </c>
    </row>
    <row r="3" ht="22.05" customHeight="1" s="594">
      <c r="B3" s="2" t="inlineStr">
        <is>
          <t>令和8年3月計上の給料手当</t>
        </is>
      </c>
      <c r="C3" s="3" t="inlineStr">
        <is>
          <t>未払日数</t>
        </is>
      </c>
      <c r="D3" s="3" t="inlineStr">
        <is>
          <t>未払給与引当額</t>
        </is>
      </c>
      <c r="E3" s="735" t="inlineStr">
        <is>
          <t>概算社会保険料</t>
        </is>
      </c>
      <c r="F3" s="3" t="inlineStr">
        <is>
          <t>未払給与引当額</t>
        </is>
      </c>
    </row>
    <row r="4" ht="38" customHeight="1" s="594">
      <c r="B4" s="736" t="n">
        <v>9099751</v>
      </c>
      <c r="C4" s="737" t="inlineStr">
        <is>
          <t>3月分給与は4月支給と推察（賃金規程未受領・要確認）</t>
        </is>
      </c>
      <c r="D4" s="738">
        <f>ROUND(B4*31/31,0)</f>
        <v>9099751</v>
      </c>
      <c r="E4" s="739">
        <f>ROUND(D4*0.15,0)</f>
        <v>1364963</v>
      </c>
      <c r="F4" s="738">
        <f>D4+E4</f>
        <v>10464714</v>
      </c>
    </row>
    <row r="7">
      <c r="D7" s="73" t="n"/>
      <c r="E7" s="73" t="inlineStr">
        <is>
          <t>(単位：千円)</t>
        </is>
      </c>
    </row>
    <row r="8" ht="19.8" customHeight="1" s="594">
      <c r="B8" s="2" t="inlineStr">
        <is>
          <t>支払予定賞与</t>
        </is>
      </c>
      <c r="C8" s="3" t="inlineStr">
        <is>
          <t>支給対象月数</t>
        </is>
      </c>
      <c r="D8" s="3" t="inlineStr">
        <is>
          <t>経過月数</t>
        </is>
      </c>
      <c r="E8" s="3" t="inlineStr">
        <is>
          <t>引当額</t>
        </is>
      </c>
      <c r="F8" s="735" t="inlineStr">
        <is>
          <t>概算社会保険料</t>
        </is>
      </c>
      <c r="G8" s="735" t="inlineStr">
        <is>
          <t>社保考慮後引当不足</t>
        </is>
      </c>
    </row>
    <row r="9" ht="38" customHeight="1" s="594">
      <c r="B9" s="736" t="n">
        <v>0</v>
      </c>
      <c r="C9" s="737" t="inlineStr">
        <is>
          <t>賞与規程・支給実績未受領（給与台帳上、賞与の記載なし）</t>
        </is>
      </c>
      <c r="D9" s="740" t="inlineStr">
        <is>
          <t>－</t>
        </is>
      </c>
      <c r="E9" s="741">
        <f>B9*0</f>
        <v>0</v>
      </c>
      <c r="F9" s="739">
        <f>E9*0.15</f>
        <v>0</v>
      </c>
      <c r="G9" s="742">
        <f>E9+F9</f>
        <v>0</v>
      </c>
    </row>
    <row r="10" ht="31.8" customHeight="1" s="594"/>
    <row r="11" ht="31.8" customHeight="1" s="594"/>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B2:J10"/>
  <sheetViews>
    <sheetView showGridLines="0" zoomScaleNormal="100" workbookViewId="0">
      <selection activeCell="J10" sqref="J10"/>
    </sheetView>
  </sheetViews>
  <sheetFormatPr baseColWidth="8" defaultRowHeight="18"/>
  <cols>
    <col width="4.69921875" customWidth="1" style="594" min="2" max="2"/>
    <col width="14.5" customWidth="1" style="594" min="3" max="3"/>
    <col width="18.59765625" customWidth="1" style="594" min="4" max="11"/>
  </cols>
  <sheetData>
    <row r="2">
      <c r="J2" s="73" t="inlineStr">
        <is>
          <t>(単位：千円)</t>
        </is>
      </c>
    </row>
    <row r="3" ht="22.05" customHeight="1" s="594">
      <c r="B3" s="2" t="inlineStr">
        <is>
          <t>№</t>
        </is>
      </c>
      <c r="C3" s="2" t="inlineStr">
        <is>
          <t>氏名</t>
        </is>
      </c>
      <c r="D3" s="3" t="inlineStr">
        <is>
          <t>勤続年数(年)</t>
        </is>
      </c>
      <c r="E3" s="3" t="inlineStr">
        <is>
          <t>基本給</t>
        </is>
      </c>
      <c r="F3" s="3" t="inlineStr">
        <is>
          <t>支給倍率</t>
        </is>
      </c>
      <c r="G3" s="3" t="inlineStr">
        <is>
          <t>退職理由率</t>
        </is>
      </c>
      <c r="H3" s="3" t="inlineStr">
        <is>
          <t>要支給額</t>
        </is>
      </c>
      <c r="I3" s="3" t="inlineStr">
        <is>
          <t>中退共積立額</t>
        </is>
      </c>
      <c r="J3" s="3" t="inlineStr">
        <is>
          <t>引当不足</t>
        </is>
      </c>
    </row>
    <row r="4" ht="31.95" customHeight="1" s="594">
      <c r="B4" s="743" t="n"/>
      <c r="C4" s="744" t="inlineStr">
        <is>
          <t>退職金規程・中退共等の加入資料が未受領のため要支給額を算定できず、引当は未計上（簿外債務の可能性：要確認）</t>
        </is>
      </c>
      <c r="D4" s="745" t="n"/>
      <c r="E4" s="745" t="n"/>
      <c r="F4" s="745" t="n"/>
      <c r="G4" s="745" t="n"/>
      <c r="H4" s="745" t="n"/>
      <c r="I4" s="745" t="n"/>
      <c r="J4" s="745" t="n"/>
    </row>
    <row r="5" ht="31.95" customHeight="1" s="594">
      <c r="B5" s="743" t="n"/>
      <c r="C5" s="744" t="n"/>
      <c r="D5" s="745" t="n"/>
      <c r="E5" s="745" t="n"/>
      <c r="F5" s="745" t="n"/>
      <c r="G5" s="745" t="n"/>
      <c r="H5" s="745" t="n"/>
      <c r="I5" s="745" t="n"/>
      <c r="J5" s="745" t="n"/>
    </row>
    <row r="6" ht="31.95" customHeight="1" s="594">
      <c r="B6" s="743" t="n"/>
      <c r="C6" s="744" t="n"/>
      <c r="D6" s="745" t="n"/>
      <c r="E6" s="745" t="n"/>
      <c r="F6" s="745" t="n"/>
      <c r="G6" s="745" t="n"/>
      <c r="H6" s="745" t="n"/>
      <c r="I6" s="745" t="n"/>
      <c r="J6" s="745" t="n"/>
    </row>
    <row r="7" ht="31.95" customHeight="1" s="594">
      <c r="B7" s="743" t="n"/>
      <c r="C7" s="744" t="n"/>
      <c r="D7" s="745" t="n"/>
      <c r="E7" s="745" t="n"/>
      <c r="F7" s="745" t="n"/>
      <c r="G7" s="745" t="n"/>
      <c r="H7" s="745" t="n"/>
      <c r="I7" s="745" t="n"/>
      <c r="J7" s="745" t="n"/>
    </row>
    <row r="8" ht="31.95" customHeight="1" s="594">
      <c r="B8" s="743" t="n"/>
      <c r="C8" s="744" t="n"/>
      <c r="D8" s="745" t="n"/>
      <c r="E8" s="745" t="n"/>
      <c r="F8" s="745" t="n"/>
      <c r="G8" s="745" t="n"/>
      <c r="H8" s="745" t="n"/>
      <c r="I8" s="745" t="n"/>
      <c r="J8" s="745" t="n"/>
    </row>
    <row r="9" ht="31.95" customHeight="1" s="594" thickBot="1">
      <c r="B9" s="743" t="n"/>
      <c r="C9" s="744" t="n"/>
      <c r="D9" s="745" t="n"/>
      <c r="E9" s="745" t="n"/>
      <c r="F9" s="745" t="n"/>
      <c r="G9" s="745" t="n"/>
      <c r="H9" s="745" t="n"/>
      <c r="I9" s="745" t="n"/>
      <c r="J9" s="745" t="n"/>
    </row>
    <row r="10" ht="31.8" customHeight="1" s="594">
      <c r="B10" s="351" t="n"/>
      <c r="C10" s="351" t="inlineStr">
        <is>
          <t>合計</t>
        </is>
      </c>
      <c r="D10" s="356" t="n"/>
      <c r="E10" s="356" t="n"/>
      <c r="F10" s="356" t="n"/>
      <c r="G10" s="356" t="n"/>
      <c r="H10" s="701" t="n">
        <v>0</v>
      </c>
      <c r="I10" s="701" t="n">
        <v>0</v>
      </c>
      <c r="J10" s="701">
        <f>H10+I10</f>
        <v>0</v>
      </c>
    </row>
  </sheetData>
  <pageMargins left="0.7" right="0.7" top="0.75" bottom="0.75" header="0.3" footer="0.3"/>
</worksheet>
</file>

<file path=xl/worksheets/sheet20.xml><?xml version="1.0" encoding="utf-8"?>
<worksheet xmlns="http://schemas.openxmlformats.org/spreadsheetml/2006/main">
  <sheetPr>
    <tabColor theme="6"/>
    <outlinePr summaryBelow="1" summaryRight="1"/>
    <pageSetUpPr/>
  </sheetPr>
  <dimension ref="B2:F18"/>
  <sheetViews>
    <sheetView showGridLines="0" zoomScaleNormal="100" workbookViewId="0">
      <selection activeCell="D4" sqref="D4"/>
    </sheetView>
  </sheetViews>
  <sheetFormatPr baseColWidth="8" defaultRowHeight="18"/>
  <cols>
    <col width="22" customWidth="1" style="594" min="2" max="2"/>
    <col width="21.19921875" customWidth="1" style="594" min="3" max="3"/>
    <col width="18.59765625" customWidth="1" style="594" min="4" max="5"/>
    <col width="52" customWidth="1" style="594" min="6" max="6"/>
  </cols>
  <sheetData>
    <row r="2">
      <c r="E2" s="73" t="inlineStr">
        <is>
          <t>(単位：千円)</t>
        </is>
      </c>
    </row>
    <row r="3" ht="22.05" customHeight="1" s="594">
      <c r="B3" s="2" t="inlineStr">
        <is>
          <t>修正科目</t>
        </is>
      </c>
      <c r="C3" s="116" t="inlineStr">
        <is>
          <t>適用判定</t>
        </is>
      </c>
      <c r="D3" s="3" t="inlineStr">
        <is>
          <t>修正額</t>
        </is>
      </c>
      <c r="E3" s="3" t="inlineStr">
        <is>
          <t>繰延税金資産/負債</t>
        </is>
      </c>
      <c r="F3" s="1" t="inlineStr">
        <is>
          <t>備考</t>
        </is>
      </c>
    </row>
    <row r="4" ht="31.95" customHeight="1" s="594">
      <c r="B4" s="75" t="inlineStr">
        <is>
          <t>売掛金</t>
        </is>
      </c>
      <c r="C4" s="365" t="inlineStr">
        <is>
          <t>〇</t>
        </is>
      </c>
      <c r="D4" s="632" t="n">
        <v>0</v>
      </c>
      <c r="E4" s="632">
        <f>ROUND(-D4*0.34,0)</f>
        <v>0</v>
      </c>
      <c r="F4" s="364" t="inlineStr">
        <is>
          <t>修正なし</t>
        </is>
      </c>
    </row>
    <row r="5" ht="31.95" customHeight="1" s="594">
      <c r="B5" s="425" t="inlineStr">
        <is>
          <t>棚卸資産</t>
        </is>
      </c>
      <c r="C5" s="366" t="inlineStr">
        <is>
          <t>〇</t>
        </is>
      </c>
      <c r="D5" s="696" t="n">
        <v>0</v>
      </c>
      <c r="E5" s="696">
        <f>ROUND(-D5*0.34,0)</f>
        <v>0</v>
      </c>
      <c r="F5" s="4" t="inlineStr">
        <is>
          <t>修正なし</t>
        </is>
      </c>
    </row>
    <row r="6" ht="31.95" customHeight="1" s="594">
      <c r="B6" s="425" t="inlineStr">
        <is>
          <t>建物</t>
        </is>
      </c>
      <c r="C6" s="366" t="inlineStr">
        <is>
          <t>〇</t>
        </is>
      </c>
      <c r="D6" s="696" t="n"/>
      <c r="E6" s="696">
        <f>ROUND(-D6*0.34,0)</f>
        <v>0</v>
      </c>
      <c r="F6" s="4" t="inlineStr">
        <is>
          <t>修正なし（償却不足なし）</t>
        </is>
      </c>
    </row>
    <row r="7" ht="31.95" customHeight="1" s="594">
      <c r="B7" s="425" t="inlineStr">
        <is>
          <t>土地</t>
        </is>
      </c>
      <c r="C7" s="366" t="inlineStr">
        <is>
          <t>×</t>
        </is>
      </c>
      <c r="D7" s="696" t="n"/>
      <c r="E7" s="746" t="inlineStr">
        <is>
          <t>－</t>
        </is>
      </c>
      <c r="F7" s="4" t="inlineStr">
        <is>
          <t>時価評価未実施（簿価評価）のため修正なし</t>
        </is>
      </c>
    </row>
    <row r="8" ht="31.95" customHeight="1" s="594">
      <c r="B8" s="425" t="inlineStr">
        <is>
          <t>電話加入権</t>
        </is>
      </c>
      <c r="C8" s="366" t="inlineStr">
        <is>
          <t>×</t>
        </is>
      </c>
      <c r="D8" s="696" t="n"/>
      <c r="E8" s="746" t="inlineStr">
        <is>
          <t>－</t>
        </is>
      </c>
      <c r="F8" s="4" t="inlineStr">
        <is>
          <t>流動性がないため、除外</t>
        </is>
      </c>
    </row>
    <row r="9" ht="31.95" customHeight="1" s="594">
      <c r="B9" s="425" t="inlineStr">
        <is>
          <t>保険積立金</t>
        </is>
      </c>
      <c r="C9" s="366" t="inlineStr">
        <is>
          <t>〇</t>
        </is>
      </c>
      <c r="D9" s="696" t="n"/>
      <c r="E9" s="696">
        <f>ROUND(-D9*0.34,0)</f>
        <v>0</v>
      </c>
      <c r="F9" s="4" t="inlineStr">
        <is>
          <t>該当なし</t>
        </is>
      </c>
    </row>
    <row r="10" ht="31.95" customHeight="1" s="594">
      <c r="B10" s="425" t="inlineStr">
        <is>
          <t>投資有価証券</t>
        </is>
      </c>
      <c r="C10" s="366" t="inlineStr">
        <is>
          <t>〇</t>
        </is>
      </c>
      <c r="D10" s="696" t="n"/>
      <c r="E10" s="696">
        <f>ROUND(-D10*0.34,0)</f>
        <v>0</v>
      </c>
      <c r="F10" s="4" t="inlineStr">
        <is>
          <t>該当なし</t>
        </is>
      </c>
    </row>
    <row r="11" ht="31.95" customHeight="1" s="594">
      <c r="B11" s="425" t="inlineStr">
        <is>
          <t>未払費用</t>
        </is>
      </c>
      <c r="C11" s="366" t="inlineStr">
        <is>
          <t>〇</t>
        </is>
      </c>
      <c r="D11" s="696">
        <f>-'未払人件費・賞与'!F4</f>
        <v>-10464714</v>
      </c>
      <c r="E11" s="696">
        <f>ROUND(-D11*0.34,0)</f>
        <v>3558003</v>
      </c>
      <c r="F11" s="4" t="inlineStr">
        <is>
          <t>3月分給与の未払計上に係る一時差異（実効税率34%）</t>
        </is>
      </c>
    </row>
    <row r="12" ht="31.95" customHeight="1" s="594">
      <c r="B12" s="425" t="inlineStr">
        <is>
          <t>賞与引当金</t>
        </is>
      </c>
      <c r="C12" s="366" t="inlineStr">
        <is>
          <t>〇</t>
        </is>
      </c>
      <c r="D12" s="696" t="n"/>
      <c r="E12" s="696">
        <f>ROUND(-D12*0.34,0)</f>
        <v>0</v>
      </c>
      <c r="F12" s="4" t="inlineStr">
        <is>
          <t>修正なし（賞与実績未確認）</t>
        </is>
      </c>
    </row>
    <row r="13" ht="31.95" customHeight="1" s="594">
      <c r="B13" s="425" t="inlineStr">
        <is>
          <t>退職給付引当</t>
        </is>
      </c>
      <c r="C13" s="366" t="inlineStr">
        <is>
          <t>〇</t>
        </is>
      </c>
      <c r="D13" s="696" t="n"/>
      <c r="E13" s="696">
        <f>ROUND(-D13*0.34,0)</f>
        <v>0</v>
      </c>
      <c r="F13" s="4" t="inlineStr">
        <is>
          <t>修正なし（退職金規程未受領・要確認）</t>
        </is>
      </c>
    </row>
    <row r="14" ht="31.95" customHeight="1" s="594">
      <c r="B14" s="425" t="n"/>
      <c r="C14" s="366" t="n"/>
      <c r="D14" s="696" t="n"/>
      <c r="E14" s="696">
        <f>ROUND(-D14*0.34,0)</f>
        <v>0</v>
      </c>
      <c r="F14" s="4" t="n"/>
    </row>
    <row r="15" ht="31.95" customHeight="1" s="594">
      <c r="B15" s="425" t="n"/>
      <c r="C15" s="366" t="n"/>
      <c r="D15" s="696" t="n"/>
      <c r="E15" s="696">
        <f>ROUND(-D15*0.34,0)</f>
        <v>0</v>
      </c>
      <c r="F15" s="4" t="n"/>
    </row>
    <row r="16" ht="31.95" customHeight="1" s="594">
      <c r="B16" s="425" t="n"/>
      <c r="C16" s="366" t="n"/>
      <c r="D16" s="696" t="n"/>
      <c r="E16" s="696">
        <f>ROUND(-D16*0.34,0)</f>
        <v>0</v>
      </c>
      <c r="F16" s="4" t="n"/>
    </row>
    <row r="17" ht="31.95" customHeight="1" s="594" thickBot="1">
      <c r="B17" s="420" t="n"/>
      <c r="C17" s="367" t="n"/>
      <c r="D17" s="698" t="n"/>
      <c r="E17" s="604">
        <f>ROUND(-D17*0.34,0)</f>
        <v>0</v>
      </c>
      <c r="F17" s="6" t="n"/>
    </row>
    <row r="18" ht="31.95" customHeight="1" s="594">
      <c r="B18" s="351" t="inlineStr">
        <is>
          <t>合計</t>
        </is>
      </c>
      <c r="C18" s="368" t="inlineStr">
        <is>
          <t>－</t>
        </is>
      </c>
      <c r="D18" s="701">
        <f>SUM(D4:D17)</f>
        <v>-10464714</v>
      </c>
      <c r="E18" s="701">
        <f>SUM(E4:E17)</f>
        <v>3558003</v>
      </c>
      <c r="F18" s="7" t="n"/>
    </row>
  </sheetData>
  <pageMargins left="0.7" right="0.7" top="0.75" bottom="0.75" header="0.3" footer="0.3"/>
</worksheet>
</file>

<file path=xl/worksheets/sheet21.xml><?xml version="1.0" encoding="utf-8"?>
<worksheet xmlns="http://schemas.openxmlformats.org/spreadsheetml/2006/main">
  <sheetPr>
    <tabColor theme="6"/>
    <outlinePr summaryBelow="1" summaryRight="1"/>
    <pageSetUpPr/>
  </sheetPr>
  <dimension ref="B2:F20"/>
  <sheetViews>
    <sheetView showGridLines="0" zoomScaleNormal="100" workbookViewId="0">
      <selection activeCell="F15" sqref="F15"/>
    </sheetView>
  </sheetViews>
  <sheetFormatPr baseColWidth="8" defaultRowHeight="18"/>
  <cols>
    <col width="27.3984375" customWidth="1" style="594" min="2" max="3"/>
    <col width="4.8984375" customWidth="1" style="594" min="4" max="4"/>
    <col width="27.3984375" customWidth="1" style="594" min="5" max="6"/>
  </cols>
  <sheetData>
    <row r="2">
      <c r="C2" s="73" t="n"/>
      <c r="F2" s="73" t="inlineStr">
        <is>
          <t>(単位：千円)</t>
        </is>
      </c>
    </row>
    <row r="3" ht="22.05" customHeight="1" s="594">
      <c r="B3" s="2" t="inlineStr">
        <is>
          <t>キャッシュライクアイテム</t>
        </is>
      </c>
      <c r="C3" s="3" t="inlineStr">
        <is>
          <t>金額</t>
        </is>
      </c>
      <c r="E3" s="2" t="inlineStr">
        <is>
          <t>デットライクアイテム</t>
        </is>
      </c>
      <c r="F3" s="3" t="inlineStr">
        <is>
          <t>金額</t>
        </is>
      </c>
    </row>
    <row r="4" ht="31.95" customHeight="1" s="594">
      <c r="B4" s="744" t="inlineStr">
        <is>
          <t>現金及び預金</t>
        </is>
      </c>
      <c r="C4" s="745">
        <f>'修正BS(借方)'!E6</f>
        <v>226057309</v>
      </c>
      <c r="E4" s="744" t="inlineStr">
        <is>
          <t>借入金（金融機関）</t>
        </is>
      </c>
      <c r="F4" s="745" t="n">
        <v>86156000</v>
      </c>
    </row>
    <row r="5" ht="31.95" customHeight="1" s="594">
      <c r="B5" s="747" t="inlineStr">
        <is>
          <t>役員貸付金</t>
        </is>
      </c>
      <c r="C5" s="748" t="n">
        <v>0</v>
      </c>
      <c r="E5" s="747" t="inlineStr">
        <is>
          <t>未払配当金</t>
        </is>
      </c>
      <c r="F5" s="748" t="n">
        <v>0</v>
      </c>
    </row>
    <row r="6" ht="31.95" customHeight="1" s="594">
      <c r="B6" s="747" t="inlineStr">
        <is>
          <t>従業員貸付金</t>
        </is>
      </c>
      <c r="C6" s="748" t="n">
        <v>0</v>
      </c>
      <c r="E6" s="747" t="inlineStr">
        <is>
          <t>社債</t>
        </is>
      </c>
      <c r="F6" s="748" t="n">
        <v>0</v>
      </c>
    </row>
    <row r="7" ht="31.95" customHeight="1" s="594">
      <c r="B7" s="747" t="inlineStr">
        <is>
          <t>立替金</t>
        </is>
      </c>
      <c r="C7" s="748" t="n">
        <v>0</v>
      </c>
      <c r="E7" s="747" t="inlineStr">
        <is>
          <t>役員借入金</t>
        </is>
      </c>
      <c r="F7" s="748" t="n">
        <v>359666506</v>
      </c>
    </row>
    <row r="8" ht="31.95" customHeight="1" s="594">
      <c r="B8" s="747" t="inlineStr">
        <is>
          <t>保険積立金</t>
        </is>
      </c>
      <c r="C8" s="748" t="n">
        <v>0</v>
      </c>
      <c r="E8" s="747" t="inlineStr">
        <is>
          <t>未払法人税</t>
        </is>
      </c>
      <c r="F8" s="748">
        <f>'修正BS(貸方) '!E11</f>
        <v>97300</v>
      </c>
    </row>
    <row r="9" ht="31.95" customHeight="1" s="594">
      <c r="B9" s="747" t="inlineStr">
        <is>
          <t>投資有価証券</t>
        </is>
      </c>
      <c r="C9" s="748" t="n">
        <v>0</v>
      </c>
      <c r="E9" s="747" t="inlineStr">
        <is>
          <t>資産除去債務</t>
        </is>
      </c>
      <c r="F9" s="748" t="n">
        <v>0</v>
      </c>
    </row>
    <row r="10" ht="31.95" customHeight="1" s="594">
      <c r="B10" s="749" t="inlineStr">
        <is>
          <t>売却予定不動産</t>
        </is>
      </c>
      <c r="C10" s="748" t="n">
        <v>0</v>
      </c>
      <c r="E10" s="747" t="inlineStr">
        <is>
          <t>役員退職慰労金</t>
        </is>
      </c>
      <c r="F10" s="748" t="n">
        <v>0</v>
      </c>
    </row>
    <row r="11" ht="31.95" customHeight="1" s="594">
      <c r="B11" s="747" t="inlineStr">
        <is>
          <t>売却予定車両</t>
        </is>
      </c>
      <c r="C11" s="748" t="n">
        <v>0</v>
      </c>
      <c r="E11" s="747" t="inlineStr">
        <is>
          <t>営業循環外前受金</t>
        </is>
      </c>
      <c r="F11" s="748" t="n">
        <v>0</v>
      </c>
    </row>
    <row r="12" ht="31.95" customHeight="1" s="594" thickBot="1">
      <c r="B12" s="747" t="inlineStr">
        <is>
          <t>未収還付法人税等</t>
        </is>
      </c>
      <c r="C12" s="750">
        <f>'修正BS(借方)'!E18</f>
        <v>10878400</v>
      </c>
      <c r="E12" s="749" t="inlineStr">
        <is>
          <t>リース債務（未確認）</t>
        </is>
      </c>
      <c r="F12" s="750" t="n">
        <v>0</v>
      </c>
    </row>
    <row r="13" ht="31.8" customHeight="1" s="594">
      <c r="B13" s="351" t="inlineStr">
        <is>
          <t>合計</t>
        </is>
      </c>
      <c r="C13" s="751">
        <f>SUM(C4:C12)</f>
        <v>236935709</v>
      </c>
      <c r="E13" s="351" t="inlineStr">
        <is>
          <t>合計</t>
        </is>
      </c>
      <c r="F13" s="751">
        <f>SUM(F4:F12)</f>
        <v>445919806</v>
      </c>
    </row>
    <row r="14" ht="18.6" customHeight="1" s="594" thickBot="1"/>
    <row r="15" ht="31.8" customHeight="1" s="594" thickBot="1">
      <c r="B15" s="371" t="inlineStr">
        <is>
          <t>ネットキャッシュ</t>
        </is>
      </c>
      <c r="C15" s="752">
        <f>C13-F13</f>
        <v>-208984097</v>
      </c>
      <c r="E15" s="371" t="inlineStr">
        <is>
          <t>ネットデット</t>
        </is>
      </c>
      <c r="F15" s="752">
        <f>F13-C13</f>
        <v>208984097</v>
      </c>
    </row>
    <row r="17">
      <c r="C17" s="0" t="n"/>
      <c r="F17" s="0" t="n"/>
    </row>
    <row r="19">
      <c r="B19" s="753" t="inlineStr">
        <is>
          <t>※借入金合計445,823千円（BS：短期173,077千円＋長期272,746千円）の内訳は勘定科目内訳明細書（令和8年3月期）による。</t>
        </is>
      </c>
    </row>
    <row r="20">
      <c r="B20" s="753" t="inlineStr">
        <is>
          <t>※未収還付法人税等は実現見込みを要確認のうえキャッシュライクに算入。リース債務・未払給与は評価書上、別途検討。</t>
        </is>
      </c>
    </row>
  </sheetData>
  <pageMargins left="0.7" right="0.7" top="0.75" bottom="0.75" header="0.3" footer="0.3"/>
</worksheet>
</file>

<file path=xl/worksheets/sheet22.xml><?xml version="1.0" encoding="utf-8"?>
<worksheet xmlns="http://schemas.openxmlformats.org/spreadsheetml/2006/main">
  <sheetPr>
    <tabColor theme="7"/>
    <outlinePr summaryBelow="1" summaryRight="1"/>
    <pageSetUpPr/>
  </sheetPr>
  <dimension ref="B1:S67"/>
  <sheetViews>
    <sheetView showGridLines="0" zoomScale="89" zoomScaleNormal="100" workbookViewId="0">
      <pane ySplit="4" topLeftCell="A36" activePane="bottomLeft" state="frozen"/>
      <selection activeCell="Q4" sqref="Q4"/>
      <selection pane="bottomLeft" activeCell="Q5" sqref="Q5"/>
    </sheetView>
  </sheetViews>
  <sheetFormatPr baseColWidth="8" defaultRowHeight="18"/>
  <cols>
    <col width="28" bestFit="1" customWidth="1" style="177" min="2" max="2"/>
    <col width="15" customWidth="1" style="184" min="3" max="17"/>
    <col width="16.09765625" customWidth="1" style="594" min="18" max="18"/>
    <col width="8.796875" customWidth="1" style="594" min="19" max="19"/>
  </cols>
  <sheetData>
    <row r="1">
      <c r="B1" s="184" t="n"/>
      <c r="C1" s="0" t="n"/>
      <c r="D1" s="0" t="n"/>
      <c r="E1" s="0" t="n"/>
      <c r="F1" s="0" t="n"/>
      <c r="G1" s="0" t="n"/>
      <c r="H1" s="0" t="n"/>
      <c r="I1" s="0" t="n"/>
      <c r="J1" s="0" t="n"/>
      <c r="K1" s="0" t="n"/>
      <c r="L1" s="0" t="n"/>
      <c r="M1" s="0" t="n"/>
      <c r="N1" s="0" t="n"/>
      <c r="O1" s="0" t="n"/>
      <c r="P1" s="0" t="n"/>
      <c r="Q1" s="0" t="n"/>
    </row>
    <row r="2">
      <c r="B2" s="0" t="n"/>
      <c r="C2" s="177" t="n"/>
      <c r="D2" s="0" t="n"/>
      <c r="E2" s="0" t="n"/>
      <c r="F2" s="177" t="n"/>
      <c r="G2" s="0" t="n"/>
      <c r="H2" s="0" t="n"/>
      <c r="I2" s="177" t="n"/>
      <c r="J2" s="0" t="n"/>
      <c r="K2" s="73" t="inlineStr">
        <is>
          <t>(単位：千円)</t>
        </is>
      </c>
      <c r="L2" s="177" t="n"/>
      <c r="M2" s="0" t="n"/>
      <c r="N2" s="0" t="n"/>
      <c r="O2" s="177" t="n"/>
      <c r="P2" s="0" t="n"/>
      <c r="Q2" s="0" t="n"/>
      <c r="S2" s="73" t="n"/>
    </row>
    <row r="3" ht="20.4" customHeight="1" s="594" thickBot="1">
      <c r="B3" s="568" t="inlineStr">
        <is>
          <t>科目</t>
        </is>
      </c>
      <c r="C3" s="195" t="str">
        <f>'BS(借方)'!C4</f>
        <v>令和6年3月期</v>
      </c>
      <c r="D3" s="176" t="n"/>
      <c r="E3" s="176" t="n"/>
      <c r="F3" s="195" t="str">
        <f>'BS(借方)'!D4</f>
        <v>令和7年3月期</v>
      </c>
      <c r="G3" s="176" t="n"/>
      <c r="H3" s="176" t="n"/>
      <c r="I3" s="195" t="str">
        <f>'BS(借方)'!E4</f>
        <v>令和8年3月期</v>
      </c>
      <c r="J3" s="176" t="n"/>
      <c r="K3" s="176" t="n"/>
      <c r="L3" s="195" t="str">
        <f>'BS(借方)'!F4</f>
        <v>－</v>
      </c>
      <c r="M3" s="176" t="n"/>
      <c r="N3" s="176" t="n"/>
      <c r="O3" s="276" t="str">
        <f>'BS(借方)'!G4</f>
        <v>進行期
（試算表未受領）</v>
      </c>
      <c r="P3" s="277" t="n"/>
      <c r="Q3" s="277" t="n"/>
    </row>
    <row r="4" ht="19.8" customHeight="1" s="594">
      <c r="B4" s="631" t="n"/>
      <c r="C4" s="224" t="inlineStr">
        <is>
          <t>帳簿価額</t>
        </is>
      </c>
      <c r="D4" s="283" t="inlineStr">
        <is>
          <t>修正額</t>
        </is>
      </c>
      <c r="E4" s="288" t="inlineStr">
        <is>
          <t>修正後</t>
        </is>
      </c>
      <c r="F4" s="278" t="inlineStr">
        <is>
          <t>帳簿価額</t>
        </is>
      </c>
      <c r="G4" s="283" t="inlineStr">
        <is>
          <t>修正額</t>
        </is>
      </c>
      <c r="H4" s="288" t="inlineStr">
        <is>
          <t>修正後</t>
        </is>
      </c>
      <c r="I4" s="224" t="inlineStr">
        <is>
          <t>帳簿価額</t>
        </is>
      </c>
      <c r="J4" s="283" t="inlineStr">
        <is>
          <t>修正額</t>
        </is>
      </c>
      <c r="K4" s="288" t="inlineStr">
        <is>
          <t>修正後</t>
        </is>
      </c>
      <c r="L4" s="224" t="inlineStr">
        <is>
          <t>帳簿価額</t>
        </is>
      </c>
      <c r="M4" s="283" t="inlineStr">
        <is>
          <t>修正額</t>
        </is>
      </c>
      <c r="N4" s="288" t="inlineStr">
        <is>
          <t>修正後</t>
        </is>
      </c>
      <c r="O4" s="225" t="inlineStr">
        <is>
          <t>帳簿価額</t>
        </is>
      </c>
      <c r="P4" s="225" t="inlineStr">
        <is>
          <t>修正額</t>
        </is>
      </c>
      <c r="Q4" s="288" t="inlineStr">
        <is>
          <t>修正後</t>
        </is>
      </c>
    </row>
    <row r="5" ht="22.5" customHeight="1" s="594">
      <c r="B5" s="206" t="inlineStr">
        <is>
          <t>店舗・EC等売上高</t>
        </is>
      </c>
      <c r="C5" s="604">
        <f>PL!C5</f>
        <v>366805605</v>
      </c>
      <c r="D5" s="611" t="n"/>
      <c r="E5" s="598">
        <f>C5+D5</f>
        <v>366805605</v>
      </c>
      <c r="F5" s="604">
        <f>PL!E5</f>
        <v>344797561</v>
      </c>
      <c r="G5" s="611" t="n"/>
      <c r="H5" s="598">
        <f>F5+G5</f>
        <v>344797561</v>
      </c>
      <c r="I5" s="604">
        <f>PL!G5</f>
        <v>303702978</v>
      </c>
      <c r="J5" s="611" t="n"/>
      <c r="K5" s="598">
        <f>I5+J5</f>
        <v>303702978</v>
      </c>
      <c r="L5" s="604" t="n"/>
      <c r="M5" s="611" t="n"/>
      <c r="N5" s="598">
        <f>L5+M5</f>
        <v>0</v>
      </c>
      <c r="O5" s="604" t="n"/>
      <c r="P5" s="611" t="n"/>
      <c r="Q5" s="598">
        <f>O5+P5</f>
        <v>0</v>
      </c>
    </row>
    <row r="6" ht="22.5" customHeight="1" s="594">
      <c r="B6" s="206" t="inlineStr">
        <is>
          <t>不動産賃貸収入</t>
        </is>
      </c>
      <c r="C6" s="604">
        <f>PL!C6</f>
        <v>16633646</v>
      </c>
      <c r="D6" s="611" t="n">
        <v>-16633646</v>
      </c>
      <c r="E6" s="598">
        <f>C6+D6</f>
        <v>0</v>
      </c>
      <c r="F6" s="604">
        <f>PL!E6</f>
        <v>16832410</v>
      </c>
      <c r="G6" s="611" t="n">
        <v>-16832410</v>
      </c>
      <c r="H6" s="598">
        <f>F6+G6</f>
        <v>0</v>
      </c>
      <c r="I6" s="604">
        <f>PL!G6</f>
        <v>1635396</v>
      </c>
      <c r="J6" s="611" t="n">
        <v>-1635396</v>
      </c>
      <c r="K6" s="598">
        <f>I6+J6</f>
        <v>0</v>
      </c>
      <c r="L6" s="604" t="n"/>
      <c r="M6" s="611" t="n"/>
      <c r="N6" s="598">
        <f>L6+M6</f>
        <v>0</v>
      </c>
      <c r="O6" s="604" t="n"/>
      <c r="P6" s="611" t="n"/>
      <c r="Q6" s="598">
        <f>O6+P6</f>
        <v>0</v>
      </c>
    </row>
    <row r="7" ht="22.5" customHeight="1" s="594">
      <c r="B7" s="206" t="inlineStr">
        <is>
          <t>不動産売却収入</t>
        </is>
      </c>
      <c r="C7" s="604">
        <f>PL!C7</f>
        <v>0</v>
      </c>
      <c r="D7" s="611" t="n">
        <v>0</v>
      </c>
      <c r="E7" s="598">
        <f>C7+D7</f>
        <v>0</v>
      </c>
      <c r="F7" s="604">
        <f>PL!E7</f>
        <v>869200000</v>
      </c>
      <c r="G7" s="611" t="n">
        <v>-869200000</v>
      </c>
      <c r="H7" s="598">
        <f>F7+G7</f>
        <v>0</v>
      </c>
      <c r="I7" s="604">
        <f>PL!G7</f>
        <v>0</v>
      </c>
      <c r="J7" s="611" t="n">
        <v>0</v>
      </c>
      <c r="K7" s="598">
        <f>I7+J7</f>
        <v>0</v>
      </c>
      <c r="L7" s="604" t="n"/>
      <c r="M7" s="611" t="n"/>
      <c r="N7" s="598">
        <f>L7+M7</f>
        <v>0</v>
      </c>
      <c r="O7" s="604" t="n"/>
      <c r="P7" s="611" t="n"/>
      <c r="Q7" s="598">
        <f>O7+P7</f>
        <v>0</v>
      </c>
    </row>
    <row r="8" ht="22.5" customHeight="1" s="594">
      <c r="B8" s="206" t="inlineStr">
        <is>
          <t>コンサル収入</t>
        </is>
      </c>
      <c r="C8" s="606">
        <f>PL!C8</f>
        <v>0</v>
      </c>
      <c r="D8" s="612" t="n">
        <v>0</v>
      </c>
      <c r="E8" s="754">
        <f>C8+D8</f>
        <v>0</v>
      </c>
      <c r="F8" s="606">
        <f>PL!E8</f>
        <v>0</v>
      </c>
      <c r="G8" s="612" t="n">
        <v>0</v>
      </c>
      <c r="H8" s="754">
        <f>F8+G8</f>
        <v>0</v>
      </c>
      <c r="I8" s="606">
        <f>PL!G8</f>
        <v>14000000</v>
      </c>
      <c r="J8" s="612" t="n">
        <v>-14000000</v>
      </c>
      <c r="K8" s="754">
        <f>I8+J8</f>
        <v>0</v>
      </c>
      <c r="L8" s="606" t="n"/>
      <c r="M8" s="612" t="n"/>
      <c r="N8" s="754">
        <f>L8+M8</f>
        <v>0</v>
      </c>
      <c r="O8" s="606" t="n"/>
      <c r="P8" s="612" t="n"/>
      <c r="Q8" s="754">
        <f>O8+P8</f>
        <v>0</v>
      </c>
    </row>
    <row r="9" ht="22.5" customHeight="1" s="594">
      <c r="B9" s="212" t="inlineStr">
        <is>
          <t>売上高</t>
        </is>
      </c>
      <c r="C9" s="635">
        <f>SUM(C5:C8)</f>
        <v>383439251</v>
      </c>
      <c r="D9" s="635">
        <f>SUM(D5:D8)</f>
        <v>-16633646</v>
      </c>
      <c r="E9" s="596">
        <f>C9+D9</f>
        <v>366805605</v>
      </c>
      <c r="F9" s="635">
        <f>SUM(F5:F8)</f>
        <v>1230829971</v>
      </c>
      <c r="G9" s="635">
        <f>SUM(G5:G8)</f>
        <v>-886032410</v>
      </c>
      <c r="H9" s="596">
        <f>F9+G9</f>
        <v>344797561</v>
      </c>
      <c r="I9" s="635">
        <f>SUM(I5:I8)</f>
        <v>319338374</v>
      </c>
      <c r="J9" s="635">
        <f>SUM(J5:J8)</f>
        <v>-15635396</v>
      </c>
      <c r="K9" s="596">
        <f>I9+J9</f>
        <v>303702978</v>
      </c>
      <c r="L9" s="635">
        <f>SUM(L5:L8)</f>
        <v>0</v>
      </c>
      <c r="M9" s="635">
        <f>SUM(M5:M8)</f>
        <v>0</v>
      </c>
      <c r="N9" s="596">
        <f>L9+M9</f>
        <v>0</v>
      </c>
      <c r="O9" s="635">
        <f>SUM(O5:O8)</f>
        <v>0</v>
      </c>
      <c r="P9" s="635">
        <f>SUM(P5:P8)</f>
        <v>0</v>
      </c>
      <c r="Q9" s="596">
        <f>O9+P9</f>
        <v>0</v>
      </c>
    </row>
    <row r="10" ht="22.5" customHeight="1" s="594">
      <c r="B10" s="206" t="inlineStr">
        <is>
          <t>期首商品棚卸高</t>
        </is>
      </c>
      <c r="C10" s="604">
        <f>PL!C12</f>
        <v>7732842</v>
      </c>
      <c r="D10" s="611" t="n"/>
      <c r="E10" s="598">
        <f>C10+D10</f>
        <v>7732842</v>
      </c>
      <c r="F10" s="604">
        <f>PL!E12</f>
        <v>8732000</v>
      </c>
      <c r="G10" s="611" t="n"/>
      <c r="H10" s="598">
        <f>F10+G10</f>
        <v>8732000</v>
      </c>
      <c r="I10" s="604">
        <f>PL!G12</f>
        <v>8732000</v>
      </c>
      <c r="J10" s="611" t="n"/>
      <c r="K10" s="598">
        <f>I10+J10</f>
        <v>8732000</v>
      </c>
      <c r="L10" s="604" t="n"/>
      <c r="M10" s="611" t="n"/>
      <c r="N10" s="598">
        <f>L10+M10</f>
        <v>0</v>
      </c>
      <c r="O10" s="604" t="n"/>
      <c r="P10" s="611" t="n"/>
      <c r="Q10" s="598">
        <f>O10+P10</f>
        <v>0</v>
      </c>
    </row>
    <row r="11" ht="22.5" customHeight="1" s="594">
      <c r="B11" s="206" t="inlineStr">
        <is>
          <t>当期商品仕入高</t>
        </is>
      </c>
      <c r="C11" s="604">
        <f>PL!C13</f>
        <v>105841625</v>
      </c>
      <c r="D11" s="611" t="n"/>
      <c r="E11" s="598">
        <f>C11+D11</f>
        <v>105841625</v>
      </c>
      <c r="F11" s="604">
        <f>PL!E13</f>
        <v>100866136</v>
      </c>
      <c r="G11" s="611" t="n"/>
      <c r="H11" s="598">
        <f>F11+G11</f>
        <v>100866136</v>
      </c>
      <c r="I11" s="604">
        <f>PL!G13</f>
        <v>96006124</v>
      </c>
      <c r="J11" s="611" t="n"/>
      <c r="K11" s="598">
        <f>I11+J11</f>
        <v>96006124</v>
      </c>
      <c r="L11" s="604" t="n"/>
      <c r="M11" s="611" t="n"/>
      <c r="N11" s="598">
        <f>L11+M11</f>
        <v>0</v>
      </c>
      <c r="O11" s="604" t="n"/>
      <c r="P11" s="611" t="n"/>
      <c r="Q11" s="598">
        <f>O11+P11</f>
        <v>0</v>
      </c>
    </row>
    <row r="12" ht="22.5" customHeight="1" s="594">
      <c r="B12" s="206" t="inlineStr">
        <is>
          <t>不動産売却関連原価</t>
        </is>
      </c>
      <c r="C12" s="604">
        <f>PL!C14</f>
        <v>0</v>
      </c>
      <c r="D12" s="611" t="n">
        <v>0</v>
      </c>
      <c r="E12" s="598">
        <f>C12+D12</f>
        <v>0</v>
      </c>
      <c r="F12" s="604">
        <f>PL!E14</f>
        <v>636056000</v>
      </c>
      <c r="G12" s="611" t="n">
        <v>-636056000</v>
      </c>
      <c r="H12" s="598">
        <f>F12+G12</f>
        <v>0</v>
      </c>
      <c r="I12" s="604">
        <f>PL!G14</f>
        <v>0</v>
      </c>
      <c r="J12" s="611" t="n">
        <v>0</v>
      </c>
      <c r="K12" s="598">
        <f>I12+J12</f>
        <v>0</v>
      </c>
      <c r="L12" s="604" t="n"/>
      <c r="M12" s="611" t="n"/>
      <c r="N12" s="598">
        <f>L12+M12</f>
        <v>0</v>
      </c>
      <c r="O12" s="604" t="n"/>
      <c r="P12" s="611" t="n"/>
      <c r="Q12" s="598">
        <f>O12+P12</f>
        <v>0</v>
      </c>
    </row>
    <row r="13" ht="22.5" customHeight="1" s="594">
      <c r="B13" s="206" t="inlineStr">
        <is>
          <t>期末商品棚卸高</t>
        </is>
      </c>
      <c r="C13" s="604">
        <f>PL!C15</f>
        <v>-8732000</v>
      </c>
      <c r="D13" s="611" t="n"/>
      <c r="E13" s="598">
        <f>C13+D13</f>
        <v>-8732000</v>
      </c>
      <c r="F13" s="604">
        <f>PL!E15</f>
        <v>-8732000</v>
      </c>
      <c r="G13" s="611" t="n"/>
      <c r="H13" s="598">
        <f>F13+G13</f>
        <v>-8732000</v>
      </c>
      <c r="I13" s="604">
        <f>PL!G15</f>
        <v>-8532000</v>
      </c>
      <c r="J13" s="611" t="n"/>
      <c r="K13" s="598">
        <f>I13+J13</f>
        <v>-8532000</v>
      </c>
      <c r="L13" s="604" t="n"/>
      <c r="M13" s="611" t="n"/>
      <c r="N13" s="598">
        <f>L13+M13</f>
        <v>0</v>
      </c>
      <c r="O13" s="604" t="n"/>
      <c r="P13" s="611" t="n"/>
      <c r="Q13" s="598">
        <f>O13+P13</f>
        <v>0</v>
      </c>
    </row>
    <row r="14" ht="22.5" customHeight="1" s="594">
      <c r="B14" s="209" t="inlineStr">
        <is>
          <t>売上原価</t>
        </is>
      </c>
      <c r="C14" s="637">
        <f>SUM(C10:C13)</f>
        <v>104842467</v>
      </c>
      <c r="D14" s="637">
        <f>SUM(D10:D13)</f>
        <v>0</v>
      </c>
      <c r="E14" s="755">
        <f>C14+D14</f>
        <v>104842467</v>
      </c>
      <c r="F14" s="637">
        <f>SUM(F10:F13)</f>
        <v>736922136</v>
      </c>
      <c r="G14" s="637">
        <f>SUM(G10:G13)</f>
        <v>-636056000</v>
      </c>
      <c r="H14" s="755">
        <f>F14+G14</f>
        <v>100866136</v>
      </c>
      <c r="I14" s="637">
        <f>SUM(I10:I13)</f>
        <v>96206124</v>
      </c>
      <c r="J14" s="637">
        <f>SUM(J10:J13)</f>
        <v>0</v>
      </c>
      <c r="K14" s="755">
        <f>I14+J14</f>
        <v>96206124</v>
      </c>
      <c r="L14" s="637">
        <f>SUM(L10:L13)</f>
        <v>0</v>
      </c>
      <c r="M14" s="637">
        <f>SUM(M10:M13)</f>
        <v>0</v>
      </c>
      <c r="N14" s="755">
        <f>L14+M14</f>
        <v>0</v>
      </c>
      <c r="O14" s="637">
        <f>SUM(O10:O13)</f>
        <v>0</v>
      </c>
      <c r="P14" s="637">
        <f>SUM(P10:P13)</f>
        <v>0</v>
      </c>
      <c r="Q14" s="755">
        <f>O14+P14</f>
        <v>0</v>
      </c>
    </row>
    <row r="15" ht="22.5" customHeight="1" s="594">
      <c r="B15" s="212" t="inlineStr">
        <is>
          <t>売上総利益</t>
        </is>
      </c>
      <c r="C15" s="635">
        <f>C9-C14</f>
        <v>278596784</v>
      </c>
      <c r="D15" s="635">
        <f>D9-D14</f>
        <v>-16633646</v>
      </c>
      <c r="E15" s="596">
        <f>C15+D15</f>
        <v>261963138</v>
      </c>
      <c r="F15" s="635">
        <f>F9-F14</f>
        <v>493907835</v>
      </c>
      <c r="G15" s="635">
        <f>G9-G14</f>
        <v>-249976410</v>
      </c>
      <c r="H15" s="596">
        <f>F15+G15</f>
        <v>243931425</v>
      </c>
      <c r="I15" s="635">
        <f>I9-I14</f>
        <v>223132250</v>
      </c>
      <c r="J15" s="635">
        <f>J9-J14</f>
        <v>-15635396</v>
      </c>
      <c r="K15" s="596">
        <f>I15+J15</f>
        <v>207496854</v>
      </c>
      <c r="L15" s="635">
        <f>L9-L14</f>
        <v>0</v>
      </c>
      <c r="M15" s="635">
        <f>M9-M14</f>
        <v>0</v>
      </c>
      <c r="N15" s="596">
        <f>L15+M15</f>
        <v>0</v>
      </c>
      <c r="O15" s="635">
        <f>O9-O14</f>
        <v>0</v>
      </c>
      <c r="P15" s="635">
        <f>P9-P14</f>
        <v>0</v>
      </c>
      <c r="Q15" s="596">
        <f>O15+P15</f>
        <v>0</v>
      </c>
    </row>
    <row r="16" ht="22.5" customHeight="1" s="594">
      <c r="B16" s="209" t="inlineStr">
        <is>
          <t>販売費及び一般管理費</t>
        </is>
      </c>
      <c r="C16" s="639">
        <f>PL!C18</f>
        <v>283551728</v>
      </c>
      <c r="D16" s="756">
        <f>'修正SGA'!D39</f>
        <v>-4347132</v>
      </c>
      <c r="E16" s="757">
        <f>C16+D16</f>
        <v>279204596</v>
      </c>
      <c r="F16" s="639">
        <f>PL!E18</f>
        <v>273060341</v>
      </c>
      <c r="G16" s="756">
        <f>'修正SGA'!G39</f>
        <v>-1928280</v>
      </c>
      <c r="H16" s="757">
        <f>F16+G16</f>
        <v>271132061</v>
      </c>
      <c r="I16" s="639">
        <f>PL!G18</f>
        <v>222261444</v>
      </c>
      <c r="J16" s="756">
        <f>'修正SGA'!J39</f>
        <v>-686448</v>
      </c>
      <c r="K16" s="757">
        <f>I16+J16</f>
        <v>221574996</v>
      </c>
      <c r="L16" s="639" t="n"/>
      <c r="M16" s="756" t="n"/>
      <c r="N16" s="757">
        <f>L16+M16</f>
        <v>0</v>
      </c>
      <c r="O16" s="639" t="n"/>
      <c r="P16" s="756" t="n"/>
      <c r="Q16" s="757">
        <f>O16+P16</f>
        <v>0</v>
      </c>
    </row>
    <row r="17" ht="22.5" customHeight="1" s="594">
      <c r="B17" s="212" t="inlineStr">
        <is>
          <t>営業利益</t>
        </is>
      </c>
      <c r="C17" s="635">
        <f>C15- C16</f>
        <v>-4954944</v>
      </c>
      <c r="D17" s="635">
        <f>D15- D16</f>
        <v>-12286514</v>
      </c>
      <c r="E17" s="596">
        <f>C17+D17</f>
        <v>-17241458</v>
      </c>
      <c r="F17" s="635">
        <f>F15- F16</f>
        <v>220847494</v>
      </c>
      <c r="G17" s="635">
        <f>G15- G16</f>
        <v>-248048130</v>
      </c>
      <c r="H17" s="596">
        <f>F17+G17</f>
        <v>-27200636</v>
      </c>
      <c r="I17" s="635">
        <f>I15- I16</f>
        <v>870806</v>
      </c>
      <c r="J17" s="635">
        <f>J15- J16</f>
        <v>-14948948</v>
      </c>
      <c r="K17" s="596">
        <f>I17+J17</f>
        <v>-14078142</v>
      </c>
      <c r="L17" s="635">
        <f>L15- L16</f>
        <v>0</v>
      </c>
      <c r="M17" s="635">
        <f>M15- M16</f>
        <v>0</v>
      </c>
      <c r="N17" s="596">
        <f>L17+M17</f>
        <v>0</v>
      </c>
      <c r="O17" s="635">
        <f>O15- O16</f>
        <v>0</v>
      </c>
      <c r="P17" s="635">
        <f>P15- P16</f>
        <v>0</v>
      </c>
      <c r="Q17" s="596">
        <f>O17+P17</f>
        <v>0</v>
      </c>
    </row>
    <row r="18" ht="22.5" customHeight="1" s="594">
      <c r="B18" s="209" t="inlineStr">
        <is>
          <t>営業外収益</t>
        </is>
      </c>
      <c r="C18" s="639">
        <f>SUM(C19:C23)</f>
        <v>416337</v>
      </c>
      <c r="D18" s="639">
        <f>SUM(D19:D23)</f>
        <v>0</v>
      </c>
      <c r="E18" s="757">
        <f>C18+D18</f>
        <v>416337</v>
      </c>
      <c r="F18" s="639">
        <f>SUM(F19:F23)</f>
        <v>2887886</v>
      </c>
      <c r="G18" s="639">
        <f>SUM(G19:G23)</f>
        <v>0</v>
      </c>
      <c r="H18" s="757">
        <f>F18+G18</f>
        <v>2887886</v>
      </c>
      <c r="I18" s="639">
        <f>SUM(I19:I23)</f>
        <v>2924950</v>
      </c>
      <c r="J18" s="639">
        <f>SUM(J19:J23)</f>
        <v>0</v>
      </c>
      <c r="K18" s="757">
        <f>I18+J18</f>
        <v>2924950</v>
      </c>
      <c r="L18" s="639">
        <f>SUM(L19:L23)</f>
        <v>0</v>
      </c>
      <c r="M18" s="639">
        <f>SUM(M19:M23)</f>
        <v>0</v>
      </c>
      <c r="N18" s="757">
        <f>L18+M18</f>
        <v>0</v>
      </c>
      <c r="O18" s="639">
        <f>SUM(O19:O23)</f>
        <v>0</v>
      </c>
      <c r="P18" s="639">
        <f>SUM(P19:P23)</f>
        <v>0</v>
      </c>
      <c r="Q18" s="757">
        <f>O18+P18</f>
        <v>0</v>
      </c>
    </row>
    <row r="19" ht="22.5" customHeight="1" s="594">
      <c r="B19" s="206" t="inlineStr">
        <is>
          <t>受取利息</t>
        </is>
      </c>
      <c r="C19" s="604">
        <f>PL!C21</f>
        <v>1507</v>
      </c>
      <c r="D19" s="611" t="n"/>
      <c r="E19" s="598">
        <f>C19+D19</f>
        <v>1507</v>
      </c>
      <c r="F19" s="604">
        <f>PL!E21</f>
        <v>7617</v>
      </c>
      <c r="G19" s="611" t="n"/>
      <c r="H19" s="598">
        <f>F19+G19</f>
        <v>7617</v>
      </c>
      <c r="I19" s="604">
        <f>PL!G21</f>
        <v>618278</v>
      </c>
      <c r="J19" s="611" t="n"/>
      <c r="K19" s="598">
        <f>I19+J19</f>
        <v>618278</v>
      </c>
      <c r="L19" s="604" t="n"/>
      <c r="M19" s="611" t="n"/>
      <c r="N19" s="598">
        <f>L19+M19</f>
        <v>0</v>
      </c>
      <c r="O19" s="604" t="n"/>
      <c r="P19" s="611" t="n"/>
      <c r="Q19" s="598">
        <f>O19+P19</f>
        <v>0</v>
      </c>
    </row>
    <row r="20" ht="22.5" customHeight="1" s="594">
      <c r="B20" s="206" t="inlineStr">
        <is>
          <t>雑収入</t>
        </is>
      </c>
      <c r="C20" s="604">
        <f>PL!C22</f>
        <v>414830</v>
      </c>
      <c r="D20" s="611" t="n"/>
      <c r="E20" s="598">
        <f>C20+D20</f>
        <v>414830</v>
      </c>
      <c r="F20" s="604">
        <f>PL!E22</f>
        <v>2880269</v>
      </c>
      <c r="G20" s="611" t="n"/>
      <c r="H20" s="598">
        <f>F20+G20</f>
        <v>2880269</v>
      </c>
      <c r="I20" s="604">
        <f>PL!G22</f>
        <v>2306672</v>
      </c>
      <c r="J20" s="611" t="n"/>
      <c r="K20" s="598">
        <f>I20+J20</f>
        <v>2306672</v>
      </c>
      <c r="L20" s="604" t="n"/>
      <c r="M20" s="611" t="n"/>
      <c r="N20" s="598">
        <f>L20+M20</f>
        <v>0</v>
      </c>
      <c r="O20" s="604" t="n"/>
      <c r="P20" s="611" t="n"/>
      <c r="Q20" s="598">
        <f>O20+P20</f>
        <v>0</v>
      </c>
    </row>
    <row r="21" ht="22.5" customHeight="1" s="594">
      <c r="B21" s="215" t="n"/>
      <c r="C21" s="604" t="n"/>
      <c r="D21" s="611" t="n"/>
      <c r="E21" s="598">
        <f>C21+D21</f>
        <v>0</v>
      </c>
      <c r="F21" s="604" t="n"/>
      <c r="G21" s="611" t="n"/>
      <c r="H21" s="598">
        <f>F21+G21</f>
        <v>0</v>
      </c>
      <c r="I21" s="604" t="n"/>
      <c r="J21" s="611" t="n"/>
      <c r="K21" s="598">
        <f>I21+J21</f>
        <v>0</v>
      </c>
      <c r="L21" s="604" t="n"/>
      <c r="M21" s="611" t="n"/>
      <c r="N21" s="598">
        <f>L21+M21</f>
        <v>0</v>
      </c>
      <c r="O21" s="604" t="n"/>
      <c r="P21" s="611" t="n"/>
      <c r="Q21" s="598">
        <f>O21+P21</f>
        <v>0</v>
      </c>
    </row>
    <row r="22" ht="22.5" customHeight="1" s="594">
      <c r="B22" s="215" t="n"/>
      <c r="C22" s="604" t="n"/>
      <c r="D22" s="611" t="n"/>
      <c r="E22" s="598">
        <f>C22+D22</f>
        <v>0</v>
      </c>
      <c r="F22" s="604" t="n"/>
      <c r="G22" s="611" t="n"/>
      <c r="H22" s="598">
        <f>F22+G22</f>
        <v>0</v>
      </c>
      <c r="I22" s="604" t="n"/>
      <c r="J22" s="611" t="n"/>
      <c r="K22" s="598">
        <f>I22+J22</f>
        <v>0</v>
      </c>
      <c r="L22" s="604" t="n"/>
      <c r="M22" s="611" t="n"/>
      <c r="N22" s="598">
        <f>L22+M22</f>
        <v>0</v>
      </c>
      <c r="O22" s="604" t="n"/>
      <c r="P22" s="611" t="n"/>
      <c r="Q22" s="598">
        <f>O22+P22</f>
        <v>0</v>
      </c>
    </row>
    <row r="23" ht="22.5" customHeight="1" s="594">
      <c r="B23" s="214" t="n"/>
      <c r="C23" s="606" t="n"/>
      <c r="D23" s="612" t="n"/>
      <c r="E23" s="754">
        <f>C23+D23</f>
        <v>0</v>
      </c>
      <c r="F23" s="606" t="n"/>
      <c r="G23" s="612" t="n"/>
      <c r="H23" s="754">
        <f>F23+G23</f>
        <v>0</v>
      </c>
      <c r="I23" s="606" t="n"/>
      <c r="J23" s="612" t="n"/>
      <c r="K23" s="754">
        <f>I23+J23</f>
        <v>0</v>
      </c>
      <c r="L23" s="606" t="n"/>
      <c r="M23" s="612" t="n"/>
      <c r="N23" s="754">
        <f>L23+M23</f>
        <v>0</v>
      </c>
      <c r="O23" s="606" t="n"/>
      <c r="P23" s="612" t="n"/>
      <c r="Q23" s="754">
        <f>O23+P23</f>
        <v>0</v>
      </c>
    </row>
    <row r="24" ht="22.5" customHeight="1" s="594">
      <c r="B24" s="209" t="inlineStr">
        <is>
          <t>営業外費用</t>
        </is>
      </c>
      <c r="C24" s="639">
        <f>SUM(C25:C29)</f>
        <v>2751745</v>
      </c>
      <c r="D24" s="639">
        <f>SUM(D25:D29)</f>
        <v>0</v>
      </c>
      <c r="E24" s="757">
        <f>C24+D24</f>
        <v>2751745</v>
      </c>
      <c r="F24" s="639">
        <f>SUM(F25:F29)</f>
        <v>12167614</v>
      </c>
      <c r="G24" s="639">
        <f>SUM(G25:G29)</f>
        <v>0</v>
      </c>
      <c r="H24" s="757">
        <f>F24+G24</f>
        <v>12167614</v>
      </c>
      <c r="I24" s="639">
        <f>SUM(I25:I29)</f>
        <v>3215177</v>
      </c>
      <c r="J24" s="639">
        <f>SUM(J25:J29)</f>
        <v>0</v>
      </c>
      <c r="K24" s="757">
        <f>I24+J24</f>
        <v>3215177</v>
      </c>
      <c r="L24" s="639">
        <f>SUM(L25:L29)</f>
        <v>0</v>
      </c>
      <c r="M24" s="639">
        <f>SUM(M25:M29)</f>
        <v>0</v>
      </c>
      <c r="N24" s="757">
        <f>L24+M24</f>
        <v>0</v>
      </c>
      <c r="O24" s="639">
        <f>SUM(O25:O29)</f>
        <v>0</v>
      </c>
      <c r="P24" s="639">
        <f>SUM(P25:P29)</f>
        <v>0</v>
      </c>
      <c r="Q24" s="757">
        <f>O24+P24</f>
        <v>0</v>
      </c>
    </row>
    <row r="25" ht="22.5" customHeight="1" s="594">
      <c r="B25" s="206" t="inlineStr">
        <is>
          <t>支払利息</t>
        </is>
      </c>
      <c r="C25" s="604">
        <f>PL!C29</f>
        <v>2647993</v>
      </c>
      <c r="D25" s="611" t="n"/>
      <c r="E25" s="598">
        <f>C25+D25</f>
        <v>2647993</v>
      </c>
      <c r="F25" s="604">
        <f>PL!E29</f>
        <v>3319038</v>
      </c>
      <c r="G25" s="611" t="n"/>
      <c r="H25" s="598">
        <f>F25+G25</f>
        <v>3319038</v>
      </c>
      <c r="I25" s="604">
        <f>PL!G29</f>
        <v>3189615</v>
      </c>
      <c r="J25" s="611" t="n"/>
      <c r="K25" s="598">
        <f>I25+J25</f>
        <v>3189615</v>
      </c>
      <c r="L25" s="604" t="n"/>
      <c r="M25" s="611" t="n"/>
      <c r="N25" s="598">
        <f>L25+M25</f>
        <v>0</v>
      </c>
      <c r="O25" s="604" t="n"/>
      <c r="P25" s="611" t="n"/>
      <c r="Q25" s="598">
        <f>O25+P25</f>
        <v>0</v>
      </c>
    </row>
    <row r="26" ht="22.5" customHeight="1" s="594">
      <c r="B26" s="206" t="inlineStr">
        <is>
          <t>雑損失</t>
        </is>
      </c>
      <c r="C26" s="604">
        <f>PL!C30</f>
        <v>103752</v>
      </c>
      <c r="D26" s="611" t="n"/>
      <c r="E26" s="598">
        <f>C26+D26</f>
        <v>103752</v>
      </c>
      <c r="F26" s="604">
        <f>PL!E30</f>
        <v>8848576</v>
      </c>
      <c r="G26" s="611" t="n"/>
      <c r="H26" s="598">
        <f>F26+G26</f>
        <v>8848576</v>
      </c>
      <c r="I26" s="604">
        <f>PL!G30</f>
        <v>25562</v>
      </c>
      <c r="J26" s="611" t="n"/>
      <c r="K26" s="598">
        <f>I26+J26</f>
        <v>25562</v>
      </c>
      <c r="L26" s="604" t="n"/>
      <c r="M26" s="611" t="n"/>
      <c r="N26" s="598">
        <f>L26+M26</f>
        <v>0</v>
      </c>
      <c r="O26" s="604" t="n"/>
      <c r="P26" s="611" t="n"/>
      <c r="Q26" s="598">
        <f>O26+P26</f>
        <v>0</v>
      </c>
    </row>
    <row r="27" ht="22.5" customHeight="1" s="594">
      <c r="B27" s="215" t="n"/>
      <c r="C27" s="604" t="n"/>
      <c r="D27" s="611" t="n"/>
      <c r="E27" s="598">
        <f>C27+D27</f>
        <v>0</v>
      </c>
      <c r="F27" s="604" t="n"/>
      <c r="G27" s="611" t="n"/>
      <c r="H27" s="598">
        <f>F27+G27</f>
        <v>0</v>
      </c>
      <c r="I27" s="604" t="n"/>
      <c r="J27" s="611" t="n"/>
      <c r="K27" s="598">
        <f>I27+J27</f>
        <v>0</v>
      </c>
      <c r="L27" s="604" t="n"/>
      <c r="M27" s="611" t="n"/>
      <c r="N27" s="598">
        <f>L27+M27</f>
        <v>0</v>
      </c>
      <c r="O27" s="604" t="n"/>
      <c r="P27" s="611" t="n"/>
      <c r="Q27" s="598">
        <f>O27+P27</f>
        <v>0</v>
      </c>
    </row>
    <row r="28" ht="22.5" customHeight="1" s="594">
      <c r="B28" s="215" t="n"/>
      <c r="C28" s="604" t="n"/>
      <c r="D28" s="611" t="n"/>
      <c r="E28" s="598">
        <f>C28+D28</f>
        <v>0</v>
      </c>
      <c r="F28" s="604" t="n"/>
      <c r="G28" s="611" t="n"/>
      <c r="H28" s="598">
        <f>F28+G28</f>
        <v>0</v>
      </c>
      <c r="I28" s="604" t="n"/>
      <c r="J28" s="611" t="n"/>
      <c r="K28" s="598">
        <f>I28+J28</f>
        <v>0</v>
      </c>
      <c r="L28" s="604" t="n"/>
      <c r="M28" s="611" t="n"/>
      <c r="N28" s="598">
        <f>L28+M28</f>
        <v>0</v>
      </c>
      <c r="O28" s="604" t="n"/>
      <c r="P28" s="611" t="n"/>
      <c r="Q28" s="598">
        <f>O28+P28</f>
        <v>0</v>
      </c>
    </row>
    <row r="29" ht="22.5" customHeight="1" s="594">
      <c r="B29" s="214" t="n"/>
      <c r="C29" s="606" t="n"/>
      <c r="D29" s="612" t="n"/>
      <c r="E29" s="754">
        <f>C29+D29</f>
        <v>0</v>
      </c>
      <c r="F29" s="606" t="n"/>
      <c r="G29" s="612" t="n"/>
      <c r="H29" s="754">
        <f>F29+G29</f>
        <v>0</v>
      </c>
      <c r="I29" s="606" t="n"/>
      <c r="J29" s="612" t="n"/>
      <c r="K29" s="754">
        <f>I29+J29</f>
        <v>0</v>
      </c>
      <c r="L29" s="606" t="n"/>
      <c r="M29" s="612" t="n"/>
      <c r="N29" s="754">
        <f>L29+M29</f>
        <v>0</v>
      </c>
      <c r="O29" s="606" t="n"/>
      <c r="P29" s="612" t="n"/>
      <c r="Q29" s="754">
        <f>O29+P29</f>
        <v>0</v>
      </c>
    </row>
    <row r="30" ht="22.5" customHeight="1" s="594">
      <c r="B30" s="212" t="inlineStr">
        <is>
          <t>経常利益</t>
        </is>
      </c>
      <c r="C30" s="635">
        <f>C17+C18-C24</f>
        <v>-7290352</v>
      </c>
      <c r="D30" s="635">
        <f>D17+D18-D24</f>
        <v>-12286514</v>
      </c>
      <c r="E30" s="596">
        <f>C30+D30</f>
        <v>-19576866</v>
      </c>
      <c r="F30" s="635">
        <f>F17+F18-F24</f>
        <v>211567766</v>
      </c>
      <c r="G30" s="635">
        <f>G17+G18-G24</f>
        <v>-248048130</v>
      </c>
      <c r="H30" s="596">
        <f>F30+G30</f>
        <v>-36480364</v>
      </c>
      <c r="I30" s="635">
        <f>I17+I18-I24</f>
        <v>580579</v>
      </c>
      <c r="J30" s="635">
        <f>J17+J18-J24</f>
        <v>-14948948</v>
      </c>
      <c r="K30" s="596">
        <f>I30+J30</f>
        <v>-14368369</v>
      </c>
      <c r="L30" s="635">
        <f>L17+L18-L24</f>
        <v>0</v>
      </c>
      <c r="M30" s="635">
        <f>M17+M18-M24</f>
        <v>0</v>
      </c>
      <c r="N30" s="596">
        <f>L30+M30</f>
        <v>0</v>
      </c>
      <c r="O30" s="635">
        <f>O17+O18-O24</f>
        <v>0</v>
      </c>
      <c r="P30" s="635">
        <f>P17+P18-P24</f>
        <v>0</v>
      </c>
      <c r="Q30" s="596">
        <f>O30+P30</f>
        <v>0</v>
      </c>
    </row>
    <row r="31" ht="22.5" customHeight="1" s="594">
      <c r="B31" s="209" t="inlineStr">
        <is>
          <t>特別利益</t>
        </is>
      </c>
      <c r="C31" s="637">
        <f>SUM(C32:C35)</f>
        <v>0</v>
      </c>
      <c r="D31" s="637">
        <f>SUM(D32:D35)</f>
        <v>0</v>
      </c>
      <c r="E31" s="755">
        <f>C31+D31</f>
        <v>0</v>
      </c>
      <c r="F31" s="637">
        <f>SUM(F32:F35)</f>
        <v>0</v>
      </c>
      <c r="G31" s="637">
        <f>SUM(G32:G35)</f>
        <v>0</v>
      </c>
      <c r="H31" s="755">
        <f>F31+G31</f>
        <v>0</v>
      </c>
      <c r="I31" s="637">
        <f>SUM(I32:I35)</f>
        <v>0</v>
      </c>
      <c r="J31" s="637">
        <f>SUM(J32:J35)</f>
        <v>0</v>
      </c>
      <c r="K31" s="755">
        <f>I31+J31</f>
        <v>0</v>
      </c>
      <c r="L31" s="637">
        <f>SUM(L32:L35)</f>
        <v>0</v>
      </c>
      <c r="M31" s="637">
        <f>SUM(M32:M35)</f>
        <v>0</v>
      </c>
      <c r="N31" s="755">
        <f>L31+M31</f>
        <v>0</v>
      </c>
      <c r="O31" s="637">
        <f>SUM(O32:O35)</f>
        <v>0</v>
      </c>
      <c r="P31" s="637">
        <f>SUM(P32:P35)</f>
        <v>0</v>
      </c>
      <c r="Q31" s="755">
        <f>O31+P31</f>
        <v>0</v>
      </c>
    </row>
    <row r="32" ht="22.5" customHeight="1" s="594">
      <c r="B32" s="215" t="inlineStr">
        <is>
          <t>貸倒引当金戻入額</t>
        </is>
      </c>
      <c r="C32" s="604" t="n"/>
      <c r="D32" s="611" t="n"/>
      <c r="E32" s="598">
        <f>C32+D32</f>
        <v>0</v>
      </c>
      <c r="F32" s="604" t="n"/>
      <c r="G32" s="611" t="n"/>
      <c r="H32" s="598">
        <f>F32+G32</f>
        <v>0</v>
      </c>
      <c r="I32" s="604" t="n"/>
      <c r="J32" s="611" t="n"/>
      <c r="K32" s="598">
        <f>I32+J32</f>
        <v>0</v>
      </c>
      <c r="L32" s="604" t="n"/>
      <c r="M32" s="611" t="n"/>
      <c r="N32" s="598">
        <f>L32+M32</f>
        <v>0</v>
      </c>
      <c r="O32" s="604" t="n"/>
      <c r="P32" s="611" t="n"/>
      <c r="Q32" s="598">
        <f>O32+P32</f>
        <v>0</v>
      </c>
    </row>
    <row r="33" ht="22.5" customHeight="1" s="594">
      <c r="B33" s="215" t="inlineStr">
        <is>
          <t>補助金収入</t>
        </is>
      </c>
      <c r="C33" s="604" t="n"/>
      <c r="D33" s="611" t="n"/>
      <c r="E33" s="598">
        <f>C33+D33</f>
        <v>0</v>
      </c>
      <c r="F33" s="604" t="n"/>
      <c r="G33" s="611" t="n"/>
      <c r="H33" s="598">
        <f>F33+G33</f>
        <v>0</v>
      </c>
      <c r="I33" s="604" t="n"/>
      <c r="J33" s="611" t="n"/>
      <c r="K33" s="598">
        <f>I33+J33</f>
        <v>0</v>
      </c>
      <c r="L33" s="604" t="n"/>
      <c r="M33" s="611" t="n"/>
      <c r="N33" s="598">
        <f>L33+M33</f>
        <v>0</v>
      </c>
      <c r="O33" s="604" t="n"/>
      <c r="P33" s="611" t="n"/>
      <c r="Q33" s="598">
        <f>O33+P33</f>
        <v>0</v>
      </c>
    </row>
    <row r="34" ht="22.5" customHeight="1" s="594">
      <c r="B34" s="215" t="n"/>
      <c r="C34" s="604" t="n"/>
      <c r="D34" s="611" t="n"/>
      <c r="E34" s="598">
        <f>C34+D34</f>
        <v>0</v>
      </c>
      <c r="F34" s="604" t="n"/>
      <c r="G34" s="611" t="n"/>
      <c r="H34" s="598">
        <f>F34+G34</f>
        <v>0</v>
      </c>
      <c r="I34" s="604" t="n"/>
      <c r="J34" s="611" t="n"/>
      <c r="K34" s="598">
        <f>I34+J34</f>
        <v>0</v>
      </c>
      <c r="L34" s="604" t="n"/>
      <c r="M34" s="611" t="n"/>
      <c r="N34" s="598">
        <f>L34+M34</f>
        <v>0</v>
      </c>
      <c r="O34" s="604" t="n"/>
      <c r="P34" s="611" t="n"/>
      <c r="Q34" s="598">
        <f>O34+P34</f>
        <v>0</v>
      </c>
    </row>
    <row r="35" ht="22.5" customHeight="1" s="594">
      <c r="B35" s="214" t="n"/>
      <c r="C35" s="606" t="n"/>
      <c r="D35" s="612" t="n"/>
      <c r="E35" s="754">
        <f>C35+D35</f>
        <v>0</v>
      </c>
      <c r="F35" s="606" t="n"/>
      <c r="G35" s="612" t="n"/>
      <c r="H35" s="754">
        <f>F35+G35</f>
        <v>0</v>
      </c>
      <c r="I35" s="606" t="n"/>
      <c r="J35" s="612" t="n"/>
      <c r="K35" s="754">
        <f>I35+J35</f>
        <v>0</v>
      </c>
      <c r="L35" s="606" t="n"/>
      <c r="M35" s="612" t="n"/>
      <c r="N35" s="754">
        <f>L35+M35</f>
        <v>0</v>
      </c>
      <c r="O35" s="606" t="n"/>
      <c r="P35" s="612" t="n"/>
      <c r="Q35" s="754">
        <f>O35+P35</f>
        <v>0</v>
      </c>
    </row>
    <row r="36" ht="22.5" customHeight="1" s="594">
      <c r="B36" s="209" t="inlineStr">
        <is>
          <t>特別損失</t>
        </is>
      </c>
      <c r="C36" s="637">
        <f>SUM(C37:C40)</f>
        <v>0</v>
      </c>
      <c r="D36" s="637">
        <f>SUM(D37:D40)</f>
        <v>0</v>
      </c>
      <c r="E36" s="757">
        <f>C36+D36</f>
        <v>0</v>
      </c>
      <c r="F36" s="637">
        <f>SUM(F37:F40)</f>
        <v>81258050</v>
      </c>
      <c r="G36" s="637">
        <f>SUM(G37:G40)</f>
        <v>0</v>
      </c>
      <c r="H36" s="757">
        <f>F36+G36</f>
        <v>81258050</v>
      </c>
      <c r="I36" s="637">
        <f>SUM(I37:I40)</f>
        <v>0</v>
      </c>
      <c r="J36" s="637">
        <f>SUM(J37:J40)</f>
        <v>0</v>
      </c>
      <c r="K36" s="757">
        <f>I36+J36</f>
        <v>0</v>
      </c>
      <c r="L36" s="637">
        <f>SUM(L37:L40)</f>
        <v>0</v>
      </c>
      <c r="M36" s="637">
        <f>SUM(M37:M40)</f>
        <v>0</v>
      </c>
      <c r="N36" s="757">
        <f>L36+M36</f>
        <v>0</v>
      </c>
      <c r="O36" s="637">
        <f>SUM(O37:O40)</f>
        <v>0</v>
      </c>
      <c r="P36" s="637">
        <f>SUM(P37:P40)</f>
        <v>0</v>
      </c>
      <c r="Q36" s="757">
        <f>O36+P36</f>
        <v>0</v>
      </c>
    </row>
    <row r="37" ht="22.5" customHeight="1" s="594">
      <c r="B37" s="206" t="inlineStr">
        <is>
          <t>固定資産除却損</t>
        </is>
      </c>
      <c r="C37" s="604">
        <f>PL!C45</f>
        <v>0</v>
      </c>
      <c r="D37" s="611" t="n"/>
      <c r="E37" s="598">
        <f>C37+D37</f>
        <v>0</v>
      </c>
      <c r="F37" s="604">
        <f>PL!E45</f>
        <v>81258050</v>
      </c>
      <c r="G37" s="611" t="n"/>
      <c r="H37" s="598">
        <f>F37+G37</f>
        <v>81258050</v>
      </c>
      <c r="I37" s="604">
        <f>PL!G45</f>
        <v>0</v>
      </c>
      <c r="J37" s="611" t="n"/>
      <c r="K37" s="598">
        <f>I37+J37</f>
        <v>0</v>
      </c>
      <c r="L37" s="604" t="n"/>
      <c r="M37" s="611" t="n"/>
      <c r="N37" s="598">
        <f>L37+M37</f>
        <v>0</v>
      </c>
      <c r="O37" s="604" t="n"/>
      <c r="P37" s="611" t="n"/>
      <c r="Q37" s="598">
        <f>O37+P37</f>
        <v>0</v>
      </c>
    </row>
    <row r="38" ht="22.5" customHeight="1" s="594">
      <c r="B38" s="215" t="inlineStr">
        <is>
          <t>役員死亡退職慰労金</t>
        </is>
      </c>
      <c r="C38" s="604" t="n"/>
      <c r="D38" s="611" t="n"/>
      <c r="E38" s="598">
        <f>C38+D38</f>
        <v>0</v>
      </c>
      <c r="F38" s="604" t="n"/>
      <c r="G38" s="611" t="n"/>
      <c r="H38" s="598">
        <f>F38+G38</f>
        <v>0</v>
      </c>
      <c r="I38" s="604" t="n"/>
      <c r="J38" s="611" t="n"/>
      <c r="K38" s="598">
        <f>I38+J38</f>
        <v>0</v>
      </c>
      <c r="L38" s="604" t="n"/>
      <c r="M38" s="611" t="n"/>
      <c r="N38" s="598">
        <f>L38+M38</f>
        <v>0</v>
      </c>
      <c r="O38" s="604" t="n"/>
      <c r="P38" s="611" t="n"/>
      <c r="Q38" s="598">
        <f>O38+P38</f>
        <v>0</v>
      </c>
    </row>
    <row r="39" ht="22.5" customHeight="1" s="594">
      <c r="B39" s="215" t="n"/>
      <c r="C39" s="604" t="n"/>
      <c r="D39" s="611" t="n"/>
      <c r="E39" s="598">
        <f>C39+D39</f>
        <v>0</v>
      </c>
      <c r="F39" s="604" t="n"/>
      <c r="G39" s="611" t="n"/>
      <c r="H39" s="598">
        <f>F39+G39</f>
        <v>0</v>
      </c>
      <c r="I39" s="604" t="n"/>
      <c r="J39" s="611" t="n"/>
      <c r="K39" s="598">
        <f>I39+J39</f>
        <v>0</v>
      </c>
      <c r="L39" s="604" t="n"/>
      <c r="M39" s="611" t="n"/>
      <c r="N39" s="598">
        <f>L39+M39</f>
        <v>0</v>
      </c>
      <c r="O39" s="604" t="n"/>
      <c r="P39" s="611" t="n"/>
      <c r="Q39" s="598">
        <f>O39+P39</f>
        <v>0</v>
      </c>
    </row>
    <row r="40" ht="22.5" customHeight="1" s="594">
      <c r="B40" s="214" t="n"/>
      <c r="C40" s="606" t="n"/>
      <c r="D40" s="612" t="n"/>
      <c r="E40" s="754">
        <f>C40+D40</f>
        <v>0</v>
      </c>
      <c r="F40" s="606" t="n"/>
      <c r="G40" s="612" t="n"/>
      <c r="H40" s="754">
        <f>F40+G40</f>
        <v>0</v>
      </c>
      <c r="I40" s="606" t="n"/>
      <c r="J40" s="612" t="n"/>
      <c r="K40" s="754">
        <f>I40+J40</f>
        <v>0</v>
      </c>
      <c r="L40" s="606" t="n"/>
      <c r="M40" s="612" t="n"/>
      <c r="N40" s="754">
        <f>L40+M40</f>
        <v>0</v>
      </c>
      <c r="O40" s="606" t="n"/>
      <c r="P40" s="612" t="n"/>
      <c r="Q40" s="754">
        <f>O40+P40</f>
        <v>0</v>
      </c>
    </row>
    <row r="41" ht="22.5" customHeight="1" s="594">
      <c r="B41" s="216" t="inlineStr">
        <is>
          <t>税引前当期純利益</t>
        </is>
      </c>
      <c r="C41" s="635">
        <f>C30+C31-C36</f>
        <v>-7290352</v>
      </c>
      <c r="D41" s="635">
        <f>D30+D31-D36</f>
        <v>-12286514</v>
      </c>
      <c r="E41" s="596">
        <f>C41+D41</f>
        <v>-19576866</v>
      </c>
      <c r="F41" s="635">
        <f>F30+F31-F36</f>
        <v>130309716</v>
      </c>
      <c r="G41" s="635">
        <f>G30+G31-G36</f>
        <v>-248048130</v>
      </c>
      <c r="H41" s="596">
        <f>F41+G41</f>
        <v>-117738414</v>
      </c>
      <c r="I41" s="635">
        <f>I30+I31-I36</f>
        <v>580579</v>
      </c>
      <c r="J41" s="635">
        <f>J30+J31-J36</f>
        <v>-14948948</v>
      </c>
      <c r="K41" s="596">
        <f>I41+J41</f>
        <v>-14368369</v>
      </c>
      <c r="L41" s="635">
        <f>L30+L31-L36</f>
        <v>0</v>
      </c>
      <c r="M41" s="635">
        <f>M30+M31-M36</f>
        <v>0</v>
      </c>
      <c r="N41" s="596">
        <f>L41+M41</f>
        <v>0</v>
      </c>
      <c r="O41" s="635">
        <f>O30+O31-O36</f>
        <v>0</v>
      </c>
      <c r="P41" s="635">
        <f>P30+P31-P36</f>
        <v>0</v>
      </c>
      <c r="Q41" s="596">
        <f>O41+P41</f>
        <v>0</v>
      </c>
    </row>
    <row r="42" ht="22.5" customHeight="1" s="594">
      <c r="B42" s="251" t="inlineStr">
        <is>
          <t>法人税等</t>
        </is>
      </c>
      <c r="C42" s="637">
        <f>SUM(C43:C44)</f>
        <v>194727</v>
      </c>
      <c r="D42" s="637">
        <f>SUM(D43:D44)</f>
        <v>0</v>
      </c>
      <c r="E42" s="755">
        <f>C42+D42</f>
        <v>194727</v>
      </c>
      <c r="F42" s="637">
        <f>SUM(F43:F44)</f>
        <v>21953358</v>
      </c>
      <c r="G42" s="637">
        <f>SUM(G43:G44)</f>
        <v>0</v>
      </c>
      <c r="H42" s="755">
        <f>F42+G42</f>
        <v>21953358</v>
      </c>
      <c r="I42" s="637">
        <f>SUM(I43:I44)</f>
        <v>48664083</v>
      </c>
      <c r="J42" s="637">
        <f>SUM(J43:J44)</f>
        <v>0</v>
      </c>
      <c r="K42" s="755">
        <f>I42+J42</f>
        <v>48664083</v>
      </c>
      <c r="L42" s="637">
        <f>SUM(L43:L44)</f>
        <v>0</v>
      </c>
      <c r="M42" s="637">
        <f>SUM(M43:M44)</f>
        <v>0</v>
      </c>
      <c r="N42" s="755">
        <f>L42+M42</f>
        <v>0</v>
      </c>
      <c r="O42" s="637">
        <f>SUM(O43:O44)</f>
        <v>0</v>
      </c>
      <c r="P42" s="637">
        <f>SUM(P43:P44)</f>
        <v>0</v>
      </c>
      <c r="Q42" s="755">
        <f>O42+P42</f>
        <v>0</v>
      </c>
    </row>
    <row r="43" ht="22.5" customHeight="1" s="594">
      <c r="B43" s="206" t="inlineStr">
        <is>
          <t>法人税・住民税及び事業税（当期分）</t>
        </is>
      </c>
      <c r="C43" s="604">
        <f>PL!C53</f>
        <v>194727</v>
      </c>
      <c r="D43" s="611" t="n"/>
      <c r="E43" s="598">
        <f>C43+D43</f>
        <v>194727</v>
      </c>
      <c r="F43" s="604">
        <f>PL!E53</f>
        <v>21953358</v>
      </c>
      <c r="G43" s="611" t="n"/>
      <c r="H43" s="598">
        <f>F43+G43</f>
        <v>21953358</v>
      </c>
      <c r="I43" s="604">
        <f>PL!G53</f>
        <v>289183</v>
      </c>
      <c r="J43" s="611" t="n"/>
      <c r="K43" s="598">
        <f>I43+J43</f>
        <v>289183</v>
      </c>
      <c r="L43" s="604" t="n"/>
      <c r="M43" s="611" t="n"/>
      <c r="N43" s="598">
        <f>L43+M43</f>
        <v>0</v>
      </c>
      <c r="O43" s="604" t="n"/>
      <c r="P43" s="611" t="n"/>
      <c r="Q43" s="598">
        <f>O43+P43</f>
        <v>0</v>
      </c>
    </row>
    <row r="44" ht="22.5" customHeight="1" s="594">
      <c r="B44" s="206" t="inlineStr">
        <is>
          <t>過年度法人税等</t>
        </is>
      </c>
      <c r="C44" s="606">
        <f>PL!C54</f>
        <v>0</v>
      </c>
      <c r="D44" s="612" t="n"/>
      <c r="E44" s="754">
        <f>C44+D44</f>
        <v>0</v>
      </c>
      <c r="F44" s="606">
        <f>PL!E54</f>
        <v>0</v>
      </c>
      <c r="G44" s="612" t="n"/>
      <c r="H44" s="754">
        <f>F44+G44</f>
        <v>0</v>
      </c>
      <c r="I44" s="606">
        <f>PL!G54</f>
        <v>48374900</v>
      </c>
      <c r="J44" s="612" t="n"/>
      <c r="K44" s="754">
        <f>I44+J44</f>
        <v>48374900</v>
      </c>
      <c r="L44" s="606" t="n"/>
      <c r="M44" s="612" t="n"/>
      <c r="N44" s="754">
        <f>L44+M44</f>
        <v>0</v>
      </c>
      <c r="O44" s="606" t="n"/>
      <c r="P44" s="612" t="n"/>
      <c r="Q44" s="754">
        <f>O44+P44</f>
        <v>0</v>
      </c>
    </row>
    <row r="45" ht="22.5" customHeight="1" s="594" thickBot="1">
      <c r="B45" s="216" t="inlineStr">
        <is>
          <t>税引後当期純利益</t>
        </is>
      </c>
      <c r="C45" s="635">
        <f>C41-C42</f>
        <v>-7485079</v>
      </c>
      <c r="D45" s="635">
        <f>D41-D42</f>
        <v>-12286514</v>
      </c>
      <c r="E45" s="758">
        <f>C45+D45</f>
        <v>-19771593</v>
      </c>
      <c r="F45" s="635">
        <f>F41-F42</f>
        <v>108356358</v>
      </c>
      <c r="G45" s="635">
        <f>G41-G42</f>
        <v>-248048130</v>
      </c>
      <c r="H45" s="758">
        <f>F45+G45</f>
        <v>-139691772</v>
      </c>
      <c r="I45" s="635">
        <f>I41-I42</f>
        <v>-48083504</v>
      </c>
      <c r="J45" s="635">
        <f>J41-J42</f>
        <v>-14948948</v>
      </c>
      <c r="K45" s="758">
        <f>I45+J45</f>
        <v>-63032452</v>
      </c>
      <c r="L45" s="635">
        <f>L41-L42</f>
        <v>0</v>
      </c>
      <c r="M45" s="635">
        <f>M41-M42</f>
        <v>0</v>
      </c>
      <c r="N45" s="758">
        <f>L45+M45</f>
        <v>0</v>
      </c>
      <c r="O45" s="635">
        <f>O41-O42</f>
        <v>0</v>
      </c>
      <c r="P45" s="635">
        <f>P41-P42</f>
        <v>0</v>
      </c>
      <c r="Q45" s="758">
        <f>O45+P45</f>
        <v>0</v>
      </c>
    </row>
    <row r="46">
      <c r="C46" s="663" t="n"/>
      <c r="D46" s="663" t="n"/>
      <c r="E46" s="663">
        <f>C46+D46</f>
        <v>0</v>
      </c>
      <c r="F46" s="663" t="n"/>
      <c r="G46" s="663" t="n"/>
      <c r="H46" s="663">
        <f>F46+G46</f>
        <v>0</v>
      </c>
      <c r="I46" s="663" t="n"/>
      <c r="J46" s="663" t="n"/>
      <c r="K46" s="663">
        <f>I46+J46</f>
        <v>0</v>
      </c>
      <c r="L46" s="663" t="n"/>
      <c r="M46" s="663" t="n"/>
      <c r="N46" s="663">
        <f>L46+M46</f>
        <v>0</v>
      </c>
      <c r="O46" s="663" t="n"/>
      <c r="P46" s="663" t="n"/>
      <c r="Q46" s="663">
        <f>O46+P46</f>
        <v>0</v>
      </c>
    </row>
    <row r="47">
      <c r="C47" s="663" t="n"/>
      <c r="D47" s="663" t="n"/>
      <c r="E47" s="663">
        <f>C47+D47</f>
        <v>0</v>
      </c>
      <c r="F47" s="663" t="n"/>
      <c r="G47" s="663" t="n"/>
      <c r="H47" s="663">
        <f>F47+G47</f>
        <v>0</v>
      </c>
      <c r="I47" s="663" t="n"/>
      <c r="J47" s="663" t="n"/>
      <c r="K47" s="663">
        <f>I47+J47</f>
        <v>0</v>
      </c>
      <c r="L47" s="663" t="n"/>
      <c r="M47" s="663" t="n"/>
      <c r="N47" s="663">
        <f>L47+M47</f>
        <v>0</v>
      </c>
      <c r="O47" s="663" t="n"/>
      <c r="P47" s="663" t="n"/>
      <c r="Q47" s="663">
        <f>O47+P47</f>
        <v>0</v>
      </c>
    </row>
    <row r="48">
      <c r="C48" s="663" t="n"/>
      <c r="D48" s="663" t="n"/>
      <c r="E48" s="663">
        <f>C48+D48</f>
        <v>0</v>
      </c>
      <c r="F48" s="663" t="n"/>
      <c r="G48" s="663" t="n"/>
      <c r="H48" s="663">
        <f>F48+G48</f>
        <v>0</v>
      </c>
      <c r="I48" s="663" t="n"/>
      <c r="J48" s="663" t="n"/>
      <c r="K48" s="663">
        <f>I48+J48</f>
        <v>0</v>
      </c>
      <c r="L48" s="663" t="n"/>
      <c r="M48" s="663" t="n"/>
      <c r="N48" s="663">
        <f>L48+M48</f>
        <v>0</v>
      </c>
      <c r="O48" s="663" t="n"/>
      <c r="P48" s="663" t="n"/>
      <c r="Q48" s="663">
        <f>O48+P48</f>
        <v>0</v>
      </c>
    </row>
    <row r="49">
      <c r="C49" s="663" t="n"/>
      <c r="D49" s="663" t="n"/>
      <c r="E49" s="663">
        <f>C49+D49</f>
        <v>0</v>
      </c>
      <c r="F49" s="663" t="n"/>
      <c r="G49" s="663" t="n"/>
      <c r="H49" s="663">
        <f>F49+G49</f>
        <v>0</v>
      </c>
      <c r="I49" s="663" t="n"/>
      <c r="J49" s="663" t="n"/>
      <c r="K49" s="663">
        <f>I49+J49</f>
        <v>0</v>
      </c>
      <c r="L49" s="663" t="n"/>
      <c r="M49" s="663" t="n"/>
      <c r="N49" s="663">
        <f>L49+M49</f>
        <v>0</v>
      </c>
      <c r="O49" s="663" t="n"/>
      <c r="P49" s="663" t="n"/>
      <c r="Q49" s="663">
        <f>O49+P49</f>
        <v>0</v>
      </c>
    </row>
    <row r="50">
      <c r="C50" s="663" t="n"/>
      <c r="D50" s="663" t="n"/>
      <c r="E50" s="663">
        <f>C50+D50</f>
        <v>0</v>
      </c>
      <c r="F50" s="663" t="n"/>
      <c r="G50" s="663" t="n"/>
      <c r="H50" s="663">
        <f>F50+G50</f>
        <v>0</v>
      </c>
      <c r="I50" s="663" t="n"/>
      <c r="J50" s="663" t="n"/>
      <c r="K50" s="663">
        <f>I50+J50</f>
        <v>0</v>
      </c>
      <c r="L50" s="663" t="n"/>
      <c r="M50" s="663" t="n"/>
      <c r="N50" s="663">
        <f>L50+M50</f>
        <v>0</v>
      </c>
      <c r="O50" s="663" t="n"/>
      <c r="P50" s="663" t="n"/>
      <c r="Q50" s="663">
        <f>O50+P50</f>
        <v>0</v>
      </c>
    </row>
    <row r="51">
      <c r="C51" s="663" t="n"/>
      <c r="D51" s="663" t="n"/>
      <c r="E51" s="663">
        <f>C51+D51</f>
        <v>0</v>
      </c>
      <c r="F51" s="663" t="n"/>
      <c r="G51" s="663" t="n"/>
      <c r="H51" s="663">
        <f>F51+G51</f>
        <v>0</v>
      </c>
      <c r="I51" s="663" t="n"/>
      <c r="J51" s="663" t="n"/>
      <c r="K51" s="663">
        <f>I51+J51</f>
        <v>0</v>
      </c>
      <c r="L51" s="663" t="n"/>
      <c r="M51" s="663" t="n"/>
      <c r="N51" s="663">
        <f>L51+M51</f>
        <v>0</v>
      </c>
      <c r="O51" s="663" t="n"/>
      <c r="P51" s="663" t="n"/>
      <c r="Q51" s="663">
        <f>O51+P51</f>
        <v>0</v>
      </c>
    </row>
    <row r="52">
      <c r="C52" s="663" t="n"/>
      <c r="D52" s="663" t="n"/>
      <c r="E52" s="663">
        <f>C52+D52</f>
        <v>0</v>
      </c>
      <c r="F52" s="663" t="n"/>
      <c r="G52" s="663" t="n"/>
      <c r="H52" s="663">
        <f>F52+G52</f>
        <v>0</v>
      </c>
      <c r="I52" s="663" t="n"/>
      <c r="J52" s="663" t="n"/>
      <c r="K52" s="663">
        <f>I52+J52</f>
        <v>0</v>
      </c>
      <c r="L52" s="663" t="n"/>
      <c r="M52" s="663" t="n"/>
      <c r="N52" s="663">
        <f>L52+M52</f>
        <v>0</v>
      </c>
      <c r="O52" s="663" t="n"/>
      <c r="P52" s="663" t="n"/>
      <c r="Q52" s="663">
        <f>O52+P52</f>
        <v>0</v>
      </c>
    </row>
    <row r="53">
      <c r="C53" s="663" t="n"/>
      <c r="D53" s="663" t="n"/>
      <c r="E53" s="663">
        <f>C53+D53</f>
        <v>0</v>
      </c>
      <c r="F53" s="663" t="n"/>
      <c r="G53" s="663" t="n"/>
      <c r="H53" s="663">
        <f>F53+G53</f>
        <v>0</v>
      </c>
      <c r="I53" s="663" t="n"/>
      <c r="J53" s="663" t="n"/>
      <c r="K53" s="663">
        <f>I53+J53</f>
        <v>0</v>
      </c>
      <c r="L53" s="663" t="n"/>
      <c r="M53" s="663" t="n"/>
      <c r="N53" s="663">
        <f>L53+M53</f>
        <v>0</v>
      </c>
      <c r="O53" s="663" t="n"/>
      <c r="P53" s="663" t="n"/>
      <c r="Q53" s="663">
        <f>O53+P53</f>
        <v>0</v>
      </c>
    </row>
    <row r="54">
      <c r="C54" s="663" t="n"/>
      <c r="D54" s="663" t="n"/>
      <c r="E54" s="663">
        <f>C54+D54</f>
        <v>0</v>
      </c>
      <c r="F54" s="663" t="n"/>
      <c r="G54" s="663" t="n"/>
      <c r="H54" s="663">
        <f>F54+G54</f>
        <v>0</v>
      </c>
      <c r="I54" s="663" t="n"/>
      <c r="J54" s="663" t="n"/>
      <c r="K54" s="663">
        <f>I54+J54</f>
        <v>0</v>
      </c>
      <c r="L54" s="663" t="n"/>
      <c r="M54" s="663" t="n"/>
      <c r="N54" s="663">
        <f>L54+M54</f>
        <v>0</v>
      </c>
      <c r="O54" s="663" t="n"/>
      <c r="P54" s="663" t="n"/>
      <c r="Q54" s="663">
        <f>O54+P54</f>
        <v>0</v>
      </c>
    </row>
    <row r="55">
      <c r="C55" s="663" t="n"/>
      <c r="D55" s="663" t="n"/>
      <c r="E55" s="663">
        <f>C55+D55</f>
        <v>0</v>
      </c>
      <c r="F55" s="663" t="n"/>
      <c r="G55" s="663" t="n"/>
      <c r="H55" s="663">
        <f>F55+G55</f>
        <v>0</v>
      </c>
      <c r="I55" s="663" t="n"/>
      <c r="J55" s="663" t="n"/>
      <c r="K55" s="663">
        <f>I55+J55</f>
        <v>0</v>
      </c>
      <c r="L55" s="663" t="n"/>
      <c r="M55" s="663" t="n"/>
      <c r="N55" s="663">
        <f>L55+M55</f>
        <v>0</v>
      </c>
      <c r="O55" s="663" t="n"/>
      <c r="P55" s="663" t="n"/>
      <c r="Q55" s="663">
        <f>O55+P55</f>
        <v>0</v>
      </c>
    </row>
    <row r="56">
      <c r="C56" s="663" t="n"/>
      <c r="D56" s="663" t="n"/>
      <c r="E56" s="663">
        <f>C56+D56</f>
        <v>0</v>
      </c>
      <c r="F56" s="663" t="n"/>
      <c r="G56" s="663" t="n"/>
      <c r="H56" s="663">
        <f>F56+G56</f>
        <v>0</v>
      </c>
      <c r="I56" s="663" t="n"/>
      <c r="J56" s="663" t="n"/>
      <c r="K56" s="663">
        <f>I56+J56</f>
        <v>0</v>
      </c>
      <c r="L56" s="663" t="n"/>
      <c r="M56" s="663" t="n"/>
      <c r="N56" s="663">
        <f>L56+M56</f>
        <v>0</v>
      </c>
      <c r="O56" s="663" t="n"/>
      <c r="P56" s="663" t="n"/>
      <c r="Q56" s="663">
        <f>O56+P56</f>
        <v>0</v>
      </c>
    </row>
    <row r="57">
      <c r="C57" s="663" t="n"/>
      <c r="D57" s="663" t="n"/>
      <c r="E57" s="663">
        <f>C57+D57</f>
        <v>0</v>
      </c>
      <c r="F57" s="663" t="n"/>
      <c r="G57" s="663" t="n"/>
      <c r="H57" s="663">
        <f>F57+G57</f>
        <v>0</v>
      </c>
      <c r="I57" s="663" t="n"/>
      <c r="J57" s="663" t="n"/>
      <c r="K57" s="663">
        <f>I57+J57</f>
        <v>0</v>
      </c>
      <c r="L57" s="663" t="n"/>
      <c r="M57" s="663" t="n"/>
      <c r="N57" s="663">
        <f>L57+M57</f>
        <v>0</v>
      </c>
      <c r="O57" s="663" t="n"/>
      <c r="P57" s="663" t="n"/>
      <c r="Q57" s="663">
        <f>O57+P57</f>
        <v>0</v>
      </c>
    </row>
    <row r="58">
      <c r="C58" s="663" t="n"/>
      <c r="D58" s="663" t="n"/>
      <c r="E58" s="663">
        <f>C58+D58</f>
        <v>0</v>
      </c>
      <c r="F58" s="663" t="n"/>
      <c r="G58" s="663" t="n"/>
      <c r="H58" s="663">
        <f>F58+G58</f>
        <v>0</v>
      </c>
      <c r="I58" s="663" t="n"/>
      <c r="J58" s="663" t="n"/>
      <c r="K58" s="663">
        <f>I58+J58</f>
        <v>0</v>
      </c>
      <c r="L58" s="663" t="n"/>
      <c r="M58" s="663" t="n"/>
      <c r="N58" s="663">
        <f>L58+M58</f>
        <v>0</v>
      </c>
      <c r="O58" s="663" t="n"/>
      <c r="P58" s="663" t="n"/>
      <c r="Q58" s="663">
        <f>O58+P58</f>
        <v>0</v>
      </c>
    </row>
    <row r="59">
      <c r="C59" s="663" t="n"/>
      <c r="D59" s="663" t="n"/>
      <c r="E59" s="663">
        <f>C59+D59</f>
        <v>0</v>
      </c>
      <c r="F59" s="663" t="n"/>
      <c r="G59" s="663" t="n"/>
      <c r="H59" s="663">
        <f>F59+G59</f>
        <v>0</v>
      </c>
      <c r="I59" s="663" t="n"/>
      <c r="J59" s="663" t="n"/>
      <c r="K59" s="663">
        <f>I59+J59</f>
        <v>0</v>
      </c>
      <c r="L59" s="663" t="n"/>
      <c r="M59" s="663" t="n"/>
      <c r="N59" s="663">
        <f>L59+M59</f>
        <v>0</v>
      </c>
      <c r="O59" s="663" t="n"/>
      <c r="P59" s="663" t="n"/>
      <c r="Q59" s="663">
        <f>O59+P59</f>
        <v>0</v>
      </c>
    </row>
    <row r="60">
      <c r="C60" s="663" t="n"/>
      <c r="D60" s="663" t="n"/>
      <c r="E60" s="663">
        <f>C60+D60</f>
        <v>0</v>
      </c>
      <c r="F60" s="663" t="n"/>
      <c r="G60" s="663" t="n"/>
      <c r="H60" s="663">
        <f>F60+G60</f>
        <v>0</v>
      </c>
      <c r="I60" s="663" t="n"/>
      <c r="J60" s="663" t="n"/>
      <c r="K60" s="663">
        <f>I60+J60</f>
        <v>0</v>
      </c>
      <c r="L60" s="663" t="n"/>
      <c r="M60" s="663" t="n"/>
      <c r="N60" s="663">
        <f>L60+M60</f>
        <v>0</v>
      </c>
      <c r="O60" s="663" t="n"/>
      <c r="P60" s="663" t="n"/>
      <c r="Q60" s="663">
        <f>O60+P60</f>
        <v>0</v>
      </c>
    </row>
    <row r="61">
      <c r="C61" s="663" t="n"/>
      <c r="D61" s="663" t="n"/>
      <c r="E61" s="663">
        <f>C61+D61</f>
        <v>0</v>
      </c>
      <c r="F61" s="663" t="n"/>
      <c r="G61" s="663" t="n"/>
      <c r="H61" s="663">
        <f>F61+G61</f>
        <v>0</v>
      </c>
      <c r="I61" s="663" t="n"/>
      <c r="J61" s="663" t="n"/>
      <c r="K61" s="663">
        <f>I61+J61</f>
        <v>0</v>
      </c>
      <c r="L61" s="663" t="n"/>
      <c r="M61" s="663" t="n"/>
      <c r="N61" s="663">
        <f>L61+M61</f>
        <v>0</v>
      </c>
      <c r="O61" s="663" t="n"/>
      <c r="P61" s="663" t="n"/>
      <c r="Q61" s="663">
        <f>O61+P61</f>
        <v>0</v>
      </c>
    </row>
    <row r="62">
      <c r="C62" s="663" t="n"/>
      <c r="D62" s="663" t="n"/>
      <c r="E62" s="663">
        <f>C62+D62</f>
        <v>0</v>
      </c>
      <c r="F62" s="663" t="n"/>
      <c r="G62" s="663" t="n"/>
      <c r="H62" s="663">
        <f>F62+G62</f>
        <v>0</v>
      </c>
      <c r="I62" s="663" t="n"/>
      <c r="J62" s="663" t="n"/>
      <c r="K62" s="663">
        <f>I62+J62</f>
        <v>0</v>
      </c>
      <c r="L62" s="663" t="n"/>
      <c r="M62" s="663" t="n"/>
      <c r="N62" s="663">
        <f>L62+M62</f>
        <v>0</v>
      </c>
      <c r="O62" s="663" t="n"/>
      <c r="P62" s="663" t="n"/>
      <c r="Q62" s="663">
        <f>O62+P62</f>
        <v>0</v>
      </c>
    </row>
    <row r="63">
      <c r="C63" s="663" t="n"/>
      <c r="D63" s="663" t="n"/>
      <c r="E63" s="663">
        <f>C63+D63</f>
        <v>0</v>
      </c>
      <c r="F63" s="663" t="n"/>
      <c r="G63" s="663" t="n"/>
      <c r="H63" s="663">
        <f>F63+G63</f>
        <v>0</v>
      </c>
      <c r="I63" s="663" t="n"/>
      <c r="J63" s="663" t="n"/>
      <c r="K63" s="663">
        <f>I63+J63</f>
        <v>0</v>
      </c>
      <c r="L63" s="663" t="n"/>
      <c r="M63" s="663" t="n"/>
      <c r="N63" s="663">
        <f>L63+M63</f>
        <v>0</v>
      </c>
      <c r="O63" s="663" t="n"/>
      <c r="P63" s="663" t="n"/>
      <c r="Q63" s="663">
        <f>O63+P63</f>
        <v>0</v>
      </c>
    </row>
    <row r="64">
      <c r="C64" s="663" t="n"/>
      <c r="D64" s="663" t="n"/>
      <c r="E64" s="663">
        <f>C64+D64</f>
        <v>0</v>
      </c>
      <c r="F64" s="663" t="n"/>
      <c r="G64" s="663" t="n"/>
      <c r="H64" s="663">
        <f>F64+G64</f>
        <v>0</v>
      </c>
      <c r="I64" s="663" t="n"/>
      <c r="J64" s="663" t="n"/>
      <c r="K64" s="663">
        <f>I64+J64</f>
        <v>0</v>
      </c>
      <c r="L64" s="663" t="n"/>
      <c r="M64" s="663" t="n"/>
      <c r="N64" s="663">
        <f>L64+M64</f>
        <v>0</v>
      </c>
      <c r="O64" s="663" t="n"/>
      <c r="P64" s="663" t="n"/>
      <c r="Q64" s="663">
        <f>O64+P64</f>
        <v>0</v>
      </c>
    </row>
    <row r="65">
      <c r="C65" s="663" t="n"/>
      <c r="D65" s="663" t="n"/>
      <c r="E65" s="663">
        <f>C65+D65</f>
        <v>0</v>
      </c>
      <c r="F65" s="663" t="n"/>
      <c r="G65" s="663" t="n"/>
      <c r="H65" s="663">
        <f>F65+G65</f>
        <v>0</v>
      </c>
      <c r="I65" s="663" t="n"/>
      <c r="J65" s="663" t="n"/>
      <c r="K65" s="663">
        <f>I65+J65</f>
        <v>0</v>
      </c>
      <c r="L65" s="663" t="n"/>
      <c r="M65" s="663" t="n"/>
      <c r="N65" s="663">
        <f>L65+M65</f>
        <v>0</v>
      </c>
      <c r="O65" s="663" t="n"/>
      <c r="P65" s="663" t="n"/>
      <c r="Q65" s="663">
        <f>O65+P65</f>
        <v>0</v>
      </c>
    </row>
    <row r="66">
      <c r="E66" s="663">
        <f>C66+D66</f>
        <v>0</v>
      </c>
      <c r="H66" s="663">
        <f>F66+G66</f>
        <v>0</v>
      </c>
      <c r="K66" s="663">
        <f>I66+J66</f>
        <v>0</v>
      </c>
      <c r="N66" s="663">
        <f>L66+M66</f>
        <v>0</v>
      </c>
      <c r="Q66" s="663">
        <f>O66+P66</f>
        <v>0</v>
      </c>
    </row>
    <row r="67">
      <c r="E67" s="663">
        <f>C67+D67</f>
        <v>0</v>
      </c>
      <c r="H67" s="663">
        <f>F67+G67</f>
        <v>0</v>
      </c>
      <c r="K67" s="663">
        <f>I67+J67</f>
        <v>0</v>
      </c>
      <c r="N67" s="663">
        <f>L67+M67</f>
        <v>0</v>
      </c>
      <c r="Q67" s="663">
        <f>O67+P67</f>
        <v>0</v>
      </c>
    </row>
  </sheetData>
  <mergeCells count="1">
    <mergeCell ref="B3:B4"/>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Q39"/>
  <sheetViews>
    <sheetView showGridLines="0" topLeftCell="F1" zoomScaleNormal="100" workbookViewId="0">
      <pane ySplit="4" topLeftCell="A5" activePane="bottomLeft" state="frozen"/>
      <selection pane="bottomLeft" activeCell="Q5" sqref="Q5"/>
    </sheetView>
  </sheetViews>
  <sheetFormatPr baseColWidth="8" defaultRowHeight="18"/>
  <cols>
    <col width="28" bestFit="1" customWidth="1" style="184" min="2" max="2"/>
    <col width="15" customWidth="1" style="594" min="3" max="17"/>
  </cols>
  <sheetData>
    <row r="2">
      <c r="B2" s="0" t="n"/>
      <c r="C2" s="177" t="n"/>
      <c r="F2" s="177" t="n"/>
      <c r="I2" s="177" t="n"/>
      <c r="K2" s="73" t="inlineStr">
        <is>
          <t>(単位：千円)</t>
        </is>
      </c>
      <c r="L2" s="177" t="n"/>
      <c r="O2" s="177" t="n"/>
    </row>
    <row r="3" ht="20.4" customHeight="1" s="594" thickBot="1">
      <c r="B3" s="567" t="inlineStr">
        <is>
          <t>科目</t>
        </is>
      </c>
      <c r="C3" s="195" t="str">
        <f>'BS(借方)'!C4</f>
        <v>令和6年3月期</v>
      </c>
      <c r="D3" s="176" t="n"/>
      <c r="E3" s="176" t="n"/>
      <c r="F3" s="195" t="str">
        <f>'BS(借方)'!D4</f>
        <v>令和7年3月期</v>
      </c>
      <c r="G3" s="176" t="n"/>
      <c r="H3" s="176" t="n"/>
      <c r="I3" s="195" t="str">
        <f>'BS(借方)'!E4</f>
        <v>令和8年3月期</v>
      </c>
      <c r="J3" s="176" t="n"/>
      <c r="K3" s="176" t="n"/>
      <c r="L3" s="195" t="str">
        <f>'BS(借方)'!F4</f>
        <v>－</v>
      </c>
      <c r="M3" s="176" t="n"/>
      <c r="N3" s="176" t="n"/>
      <c r="O3" s="276" t="str">
        <f>'BS(借方)'!G4</f>
        <v>進行期
（試算表未受領）</v>
      </c>
      <c r="P3" s="277" t="n"/>
      <c r="Q3" s="277" t="n"/>
    </row>
    <row r="4" ht="19.8" customHeight="1" s="594">
      <c r="B4" s="664" t="n"/>
      <c r="C4" s="224" t="inlineStr">
        <is>
          <t>帳簿価額</t>
        </is>
      </c>
      <c r="D4" s="283" t="inlineStr">
        <is>
          <t>修正額</t>
        </is>
      </c>
      <c r="E4" s="288" t="inlineStr">
        <is>
          <t>修正後</t>
        </is>
      </c>
      <c r="F4" s="224" t="inlineStr">
        <is>
          <t>帳簿価額</t>
        </is>
      </c>
      <c r="G4" s="283" t="inlineStr">
        <is>
          <t>修正額</t>
        </is>
      </c>
      <c r="H4" s="288" t="inlineStr">
        <is>
          <t>修正後</t>
        </is>
      </c>
      <c r="I4" s="224" t="inlineStr">
        <is>
          <t>帳簿価額</t>
        </is>
      </c>
      <c r="J4" s="283" t="inlineStr">
        <is>
          <t>修正額</t>
        </is>
      </c>
      <c r="K4" s="288" t="inlineStr">
        <is>
          <t>修正後</t>
        </is>
      </c>
      <c r="L4" s="224" t="inlineStr">
        <is>
          <t>帳簿価額</t>
        </is>
      </c>
      <c r="M4" s="283" t="inlineStr">
        <is>
          <t>修正額</t>
        </is>
      </c>
      <c r="N4" s="288" t="inlineStr">
        <is>
          <t>修正後</t>
        </is>
      </c>
      <c r="O4" s="225" t="inlineStr">
        <is>
          <t>帳簿価額</t>
        </is>
      </c>
      <c r="P4" s="279" t="inlineStr">
        <is>
          <t>修正額</t>
        </is>
      </c>
      <c r="Q4" s="288" t="inlineStr">
        <is>
          <t>修正後</t>
        </is>
      </c>
    </row>
    <row r="5" ht="22.5" customHeight="1" s="594">
      <c r="B5" s="218" t="inlineStr">
        <is>
          <t>役員報酬</t>
        </is>
      </c>
      <c r="C5" s="604">
        <f>SGA!C6</f>
        <v>1920000</v>
      </c>
      <c r="D5" s="597" t="n"/>
      <c r="E5" s="598">
        <f>C5+D5</f>
        <v>1920000</v>
      </c>
      <c r="F5" s="604">
        <f>SGA!E6</f>
        <v>1920000</v>
      </c>
      <c r="G5" s="597" t="n"/>
      <c r="H5" s="598">
        <f>F5+G5</f>
        <v>1920000</v>
      </c>
      <c r="I5" s="604">
        <f>SGA!G6</f>
        <v>1920000</v>
      </c>
      <c r="J5" s="597" t="n"/>
      <c r="K5" s="598">
        <f>I5+J5</f>
        <v>1920000</v>
      </c>
      <c r="L5" s="604" t="n"/>
      <c r="M5" s="597" t="n"/>
      <c r="N5" s="598">
        <f>L5+M5</f>
        <v>0</v>
      </c>
      <c r="O5" s="604" t="n"/>
      <c r="P5" s="597" t="n"/>
      <c r="Q5" s="598">
        <f>O5+P5</f>
        <v>0</v>
      </c>
    </row>
    <row r="6" ht="22.5" customHeight="1" s="594">
      <c r="B6" s="218" t="inlineStr">
        <is>
          <t>給料手当</t>
        </is>
      </c>
      <c r="C6" s="611">
        <f>SGA!C7</f>
        <v>137394789</v>
      </c>
      <c r="D6" s="597" t="n"/>
      <c r="E6" s="598">
        <f>C6+D6</f>
        <v>137394789</v>
      </c>
      <c r="F6" s="611">
        <f>SGA!E7</f>
        <v>111145074</v>
      </c>
      <c r="G6" s="597" t="n"/>
      <c r="H6" s="598">
        <f>F6+G6</f>
        <v>111145074</v>
      </c>
      <c r="I6" s="611">
        <f>SGA!G7</f>
        <v>113155654</v>
      </c>
      <c r="J6" s="597" t="n"/>
      <c r="K6" s="598">
        <f>I6+J6</f>
        <v>113155654</v>
      </c>
      <c r="L6" s="611" t="n"/>
      <c r="M6" s="597" t="n"/>
      <c r="N6" s="598">
        <f>L6+M6</f>
        <v>0</v>
      </c>
      <c r="O6" s="611" t="n"/>
      <c r="P6" s="597" t="n"/>
      <c r="Q6" s="598">
        <f>O6+P6</f>
        <v>0</v>
      </c>
    </row>
    <row r="7" ht="22.5" customHeight="1" s="594">
      <c r="B7" s="218" t="inlineStr">
        <is>
          <t>法定福利費</t>
        </is>
      </c>
      <c r="C7" s="611">
        <f>SGA!C8</f>
        <v>21065176</v>
      </c>
      <c r="D7" s="597" t="n"/>
      <c r="E7" s="598">
        <f>C7+D7</f>
        <v>21065176</v>
      </c>
      <c r="F7" s="611">
        <f>SGA!E8</f>
        <v>14045855</v>
      </c>
      <c r="G7" s="597" t="n"/>
      <c r="H7" s="598">
        <f>F7+G7</f>
        <v>14045855</v>
      </c>
      <c r="I7" s="611">
        <f>SGA!G8</f>
        <v>18258884</v>
      </c>
      <c r="J7" s="597" t="n"/>
      <c r="K7" s="598">
        <f>I7+J7</f>
        <v>18258884</v>
      </c>
      <c r="L7" s="611" t="n"/>
      <c r="M7" s="597" t="n"/>
      <c r="N7" s="598">
        <f>L7+M7</f>
        <v>0</v>
      </c>
      <c r="O7" s="611" t="n"/>
      <c r="P7" s="597" t="n"/>
      <c r="Q7" s="598">
        <f>O7+P7</f>
        <v>0</v>
      </c>
    </row>
    <row r="8" ht="22.5" customHeight="1" s="594">
      <c r="B8" s="218" t="inlineStr">
        <is>
          <t>荷造運賃</t>
        </is>
      </c>
      <c r="C8" s="611">
        <f>SGA!C9</f>
        <v>893478</v>
      </c>
      <c r="D8" s="597" t="n"/>
      <c r="E8" s="598">
        <f>C8+D8</f>
        <v>893478</v>
      </c>
      <c r="F8" s="611">
        <f>SGA!E9</f>
        <v>813145</v>
      </c>
      <c r="G8" s="597" t="n"/>
      <c r="H8" s="598">
        <f>F8+G8</f>
        <v>813145</v>
      </c>
      <c r="I8" s="611">
        <f>SGA!G9</f>
        <v>654125</v>
      </c>
      <c r="J8" s="597" t="n"/>
      <c r="K8" s="598">
        <f>I8+J8</f>
        <v>654125</v>
      </c>
      <c r="L8" s="611" t="n"/>
      <c r="M8" s="597" t="n"/>
      <c r="N8" s="598">
        <f>L8+M8</f>
        <v>0</v>
      </c>
      <c r="O8" s="611" t="n"/>
      <c r="P8" s="597" t="n"/>
      <c r="Q8" s="598">
        <f>O8+P8</f>
        <v>0</v>
      </c>
    </row>
    <row r="9" ht="22.5" customHeight="1" s="594">
      <c r="B9" s="218" t="inlineStr">
        <is>
          <t>減価償却費</t>
        </is>
      </c>
      <c r="C9" s="611">
        <f>SGA!C10</f>
        <v>4594828</v>
      </c>
      <c r="D9" s="597" t="n"/>
      <c r="E9" s="598">
        <f>C9+D9</f>
        <v>4594828</v>
      </c>
      <c r="F9" s="611">
        <f>SGA!E10</f>
        <v>14219250</v>
      </c>
      <c r="G9" s="597" t="n"/>
      <c r="H9" s="598">
        <f>F9+G9</f>
        <v>14219250</v>
      </c>
      <c r="I9" s="611">
        <f>SGA!G10</f>
        <v>11895803</v>
      </c>
      <c r="J9" s="597" t="n"/>
      <c r="K9" s="598">
        <f>I9+J9</f>
        <v>11895803</v>
      </c>
      <c r="L9" s="611" t="n"/>
      <c r="M9" s="597" t="n"/>
      <c r="N9" s="598">
        <f>L9+M9</f>
        <v>0</v>
      </c>
      <c r="O9" s="611" t="n"/>
      <c r="P9" s="597" t="n"/>
      <c r="Q9" s="598">
        <f>O9+P9</f>
        <v>0</v>
      </c>
    </row>
    <row r="10" ht="22.5" customHeight="1" s="594">
      <c r="B10" s="218" t="inlineStr">
        <is>
          <t>地代家賃</t>
        </is>
      </c>
      <c r="C10" s="611">
        <f>SGA!C11</f>
        <v>14896364</v>
      </c>
      <c r="D10" s="597" t="n"/>
      <c r="E10" s="598">
        <f>C10+D10</f>
        <v>14896364</v>
      </c>
      <c r="F10" s="611">
        <f>SGA!E11</f>
        <v>17605421</v>
      </c>
      <c r="G10" s="597" t="n"/>
      <c r="H10" s="598">
        <f>F10+G10</f>
        <v>17605421</v>
      </c>
      <c r="I10" s="611">
        <f>SGA!G11</f>
        <v>21688139</v>
      </c>
      <c r="J10" s="597" t="n"/>
      <c r="K10" s="598">
        <f>I10+J10</f>
        <v>21688139</v>
      </c>
      <c r="L10" s="611" t="n"/>
      <c r="M10" s="597" t="n"/>
      <c r="N10" s="598">
        <f>L10+M10</f>
        <v>0</v>
      </c>
      <c r="O10" s="611" t="n"/>
      <c r="P10" s="597" t="n"/>
      <c r="Q10" s="598">
        <f>O10+P10</f>
        <v>0</v>
      </c>
    </row>
    <row r="11" ht="22.5" customHeight="1" s="594">
      <c r="B11" s="218" t="inlineStr">
        <is>
          <t>修繕費</t>
        </is>
      </c>
      <c r="C11" s="611">
        <f>SGA!C12</f>
        <v>4820065</v>
      </c>
      <c r="D11" s="597" t="n"/>
      <c r="E11" s="598">
        <f>C11+D11</f>
        <v>4820065</v>
      </c>
      <c r="F11" s="611">
        <f>SGA!E12</f>
        <v>12667849</v>
      </c>
      <c r="G11" s="597" t="n"/>
      <c r="H11" s="598">
        <f>F11+G11</f>
        <v>12667849</v>
      </c>
      <c r="I11" s="611">
        <f>SGA!G12</f>
        <v>349720</v>
      </c>
      <c r="J11" s="597" t="n"/>
      <c r="K11" s="598">
        <f>I11+J11</f>
        <v>349720</v>
      </c>
      <c r="L11" s="611" t="n"/>
      <c r="M11" s="597" t="n"/>
      <c r="N11" s="598">
        <f>L11+M11</f>
        <v>0</v>
      </c>
      <c r="O11" s="611" t="n"/>
      <c r="P11" s="597" t="n"/>
      <c r="Q11" s="598">
        <f>O11+P11</f>
        <v>0</v>
      </c>
    </row>
    <row r="12" ht="22.5" customHeight="1" s="594">
      <c r="B12" s="218" t="inlineStr">
        <is>
          <t>事務用品費</t>
        </is>
      </c>
      <c r="C12" s="611">
        <f>SGA!C13</f>
        <v>0</v>
      </c>
      <c r="D12" s="597" t="n"/>
      <c r="E12" s="598">
        <f>C12+D12</f>
        <v>0</v>
      </c>
      <c r="F12" s="611">
        <f>SGA!E13</f>
        <v>0</v>
      </c>
      <c r="G12" s="597" t="n"/>
      <c r="H12" s="598">
        <f>F12+G12</f>
        <v>0</v>
      </c>
      <c r="I12" s="611">
        <f>SGA!G13</f>
        <v>0</v>
      </c>
      <c r="J12" s="597" t="n"/>
      <c r="K12" s="598">
        <f>I12+J12</f>
        <v>0</v>
      </c>
      <c r="L12" s="611" t="n"/>
      <c r="M12" s="597" t="n"/>
      <c r="N12" s="598">
        <f>L12+M12</f>
        <v>0</v>
      </c>
      <c r="O12" s="611" t="n"/>
      <c r="P12" s="597" t="n"/>
      <c r="Q12" s="598">
        <f>O12+P12</f>
        <v>0</v>
      </c>
    </row>
    <row r="13" ht="22.5" customHeight="1" s="594">
      <c r="B13" s="218" t="inlineStr">
        <is>
          <t>消耗品費</t>
        </is>
      </c>
      <c r="C13" s="611">
        <f>SGA!C14</f>
        <v>8665567</v>
      </c>
      <c r="D13" s="597" t="n"/>
      <c r="E13" s="598">
        <f>C13+D13</f>
        <v>8665567</v>
      </c>
      <c r="F13" s="611">
        <f>SGA!E14</f>
        <v>3622074</v>
      </c>
      <c r="G13" s="597" t="n"/>
      <c r="H13" s="598">
        <f>F13+G13</f>
        <v>3622074</v>
      </c>
      <c r="I13" s="611">
        <f>SGA!G14</f>
        <v>3114486</v>
      </c>
      <c r="J13" s="597" t="n"/>
      <c r="K13" s="598">
        <f>I13+J13</f>
        <v>3114486</v>
      </c>
      <c r="L13" s="611" t="n"/>
      <c r="M13" s="597" t="n"/>
      <c r="N13" s="598">
        <f>L13+M13</f>
        <v>0</v>
      </c>
      <c r="O13" s="611" t="n"/>
      <c r="P13" s="597" t="n"/>
      <c r="Q13" s="598">
        <f>O13+P13</f>
        <v>0</v>
      </c>
    </row>
    <row r="14" ht="22.5" customHeight="1" s="594">
      <c r="B14" s="218" t="inlineStr">
        <is>
          <t>水道光熱費</t>
        </is>
      </c>
      <c r="C14" s="611">
        <f>SGA!C15</f>
        <v>12094761</v>
      </c>
      <c r="D14" s="597" t="n"/>
      <c r="E14" s="598">
        <f>C14+D14</f>
        <v>12094761</v>
      </c>
      <c r="F14" s="611">
        <f>SGA!E15</f>
        <v>7886267</v>
      </c>
      <c r="G14" s="597" t="n"/>
      <c r="H14" s="598">
        <f>F14+G14</f>
        <v>7886267</v>
      </c>
      <c r="I14" s="611">
        <f>SGA!G15</f>
        <v>8256277</v>
      </c>
      <c r="J14" s="597" t="n"/>
      <c r="K14" s="598">
        <f>I14+J14</f>
        <v>8256277</v>
      </c>
      <c r="L14" s="611" t="n"/>
      <c r="M14" s="597" t="n"/>
      <c r="N14" s="598">
        <f>L14+M14</f>
        <v>0</v>
      </c>
      <c r="O14" s="611" t="n"/>
      <c r="P14" s="597" t="n"/>
      <c r="Q14" s="598">
        <f>O14+P14</f>
        <v>0</v>
      </c>
    </row>
    <row r="15" ht="22.5" customHeight="1" s="594">
      <c r="B15" s="218" t="inlineStr">
        <is>
          <t>旅費交通費</t>
        </is>
      </c>
      <c r="C15" s="611">
        <f>SGA!C16</f>
        <v>4459042</v>
      </c>
      <c r="D15" s="597" t="n"/>
      <c r="E15" s="598">
        <f>C15+D15</f>
        <v>4459042</v>
      </c>
      <c r="F15" s="611">
        <f>SGA!E16</f>
        <v>13621116</v>
      </c>
      <c r="G15" s="597" t="n"/>
      <c r="H15" s="598">
        <f>F15+G15</f>
        <v>13621116</v>
      </c>
      <c r="I15" s="611">
        <f>SGA!G16</f>
        <v>6127921</v>
      </c>
      <c r="J15" s="597" t="n"/>
      <c r="K15" s="598">
        <f>I15+J15</f>
        <v>6127921</v>
      </c>
      <c r="L15" s="611" t="n"/>
      <c r="M15" s="597" t="n"/>
      <c r="N15" s="598">
        <f>L15+M15</f>
        <v>0</v>
      </c>
      <c r="O15" s="611" t="n"/>
      <c r="P15" s="597" t="n"/>
      <c r="Q15" s="598">
        <f>O15+P15</f>
        <v>0</v>
      </c>
    </row>
    <row r="16" ht="22.5" customHeight="1" s="594">
      <c r="B16" s="218" t="inlineStr">
        <is>
          <t>支払手数料</t>
        </is>
      </c>
      <c r="C16" s="611">
        <f>SGA!C17</f>
        <v>26496901</v>
      </c>
      <c r="D16" s="597" t="n"/>
      <c r="E16" s="598">
        <f>C16+D16</f>
        <v>26496901</v>
      </c>
      <c r="F16" s="611">
        <f>SGA!E17</f>
        <v>25381508</v>
      </c>
      <c r="G16" s="597" t="n"/>
      <c r="H16" s="598">
        <f>F16+G16</f>
        <v>25381508</v>
      </c>
      <c r="I16" s="611">
        <f>SGA!G17</f>
        <v>13893115</v>
      </c>
      <c r="J16" s="597" t="n"/>
      <c r="K16" s="598">
        <f>I16+J16</f>
        <v>13893115</v>
      </c>
      <c r="L16" s="611" t="n"/>
      <c r="M16" s="597" t="n"/>
      <c r="N16" s="598">
        <f>L16+M16</f>
        <v>0</v>
      </c>
      <c r="O16" s="611" t="n"/>
      <c r="P16" s="597" t="n"/>
      <c r="Q16" s="598">
        <f>O16+P16</f>
        <v>0</v>
      </c>
    </row>
    <row r="17" ht="22.5" customHeight="1" s="594">
      <c r="B17" s="218" t="inlineStr">
        <is>
          <t>租税公課</t>
        </is>
      </c>
      <c r="C17" s="611">
        <f>SGA!C18</f>
        <v>6754902</v>
      </c>
      <c r="D17" s="597" t="n"/>
      <c r="E17" s="598">
        <f>C17+D17</f>
        <v>6754902</v>
      </c>
      <c r="F17" s="611">
        <f>SGA!E18</f>
        <v>9642116</v>
      </c>
      <c r="G17" s="597" t="n"/>
      <c r="H17" s="598">
        <f>F17+G17</f>
        <v>9642116</v>
      </c>
      <c r="I17" s="611">
        <f>SGA!G18</f>
        <v>4553800</v>
      </c>
      <c r="J17" s="597" t="n"/>
      <c r="K17" s="598">
        <f>I17+J17</f>
        <v>4553800</v>
      </c>
      <c r="L17" s="611" t="n"/>
      <c r="M17" s="597" t="n"/>
      <c r="N17" s="598">
        <f>L17+M17</f>
        <v>0</v>
      </c>
      <c r="O17" s="611" t="n"/>
      <c r="P17" s="597" t="n"/>
      <c r="Q17" s="598">
        <f>O17+P17</f>
        <v>0</v>
      </c>
    </row>
    <row r="18" ht="22.5" customHeight="1" s="594">
      <c r="B18" s="218" t="inlineStr">
        <is>
          <t>交際接待費</t>
        </is>
      </c>
      <c r="C18" s="611">
        <f>SGA!C19</f>
        <v>3417904</v>
      </c>
      <c r="D18" s="597" t="n"/>
      <c r="E18" s="598">
        <f>C18+D18</f>
        <v>3417904</v>
      </c>
      <c r="F18" s="611">
        <f>SGA!E19</f>
        <v>3153229</v>
      </c>
      <c r="G18" s="597" t="n"/>
      <c r="H18" s="598">
        <f>F18+G18</f>
        <v>3153229</v>
      </c>
      <c r="I18" s="611">
        <f>SGA!G19</f>
        <v>0</v>
      </c>
      <c r="J18" s="597" t="n"/>
      <c r="K18" s="598">
        <f>I18+J18</f>
        <v>0</v>
      </c>
      <c r="L18" s="611" t="n"/>
      <c r="M18" s="597" t="n"/>
      <c r="N18" s="598">
        <f>L18+M18</f>
        <v>0</v>
      </c>
      <c r="O18" s="611" t="n"/>
      <c r="P18" s="597" t="n"/>
      <c r="Q18" s="598">
        <f>O18+P18</f>
        <v>0</v>
      </c>
    </row>
    <row r="19" ht="22.5" customHeight="1" s="594">
      <c r="B19" s="218" t="inlineStr">
        <is>
          <t>保険料</t>
        </is>
      </c>
      <c r="C19" s="611">
        <f>SGA!C20</f>
        <v>94180</v>
      </c>
      <c r="D19" s="597" t="n"/>
      <c r="E19" s="598">
        <f>C19+D19</f>
        <v>94180</v>
      </c>
      <c r="F19" s="611">
        <f>SGA!E20</f>
        <v>219320</v>
      </c>
      <c r="G19" s="597" t="n"/>
      <c r="H19" s="598">
        <f>F19+G19</f>
        <v>219320</v>
      </c>
      <c r="I19" s="611">
        <f>SGA!G20</f>
        <v>664014</v>
      </c>
      <c r="J19" s="597" t="n"/>
      <c r="K19" s="598">
        <f>I19+J19</f>
        <v>664014</v>
      </c>
      <c r="L19" s="611" t="n"/>
      <c r="M19" s="597" t="n"/>
      <c r="N19" s="598">
        <f>L19+M19</f>
        <v>0</v>
      </c>
      <c r="O19" s="611" t="n"/>
      <c r="P19" s="597" t="n"/>
      <c r="Q19" s="598">
        <f>O19+P19</f>
        <v>0</v>
      </c>
    </row>
    <row r="20" ht="22.5" customHeight="1" s="594">
      <c r="B20" s="218" t="inlineStr">
        <is>
          <t>通信費</t>
        </is>
      </c>
      <c r="C20" s="611">
        <f>SGA!C21</f>
        <v>1009720</v>
      </c>
      <c r="D20" s="597" t="n"/>
      <c r="E20" s="598">
        <f>C20+D20</f>
        <v>1009720</v>
      </c>
      <c r="F20" s="611">
        <f>SGA!E21</f>
        <v>953882</v>
      </c>
      <c r="G20" s="597" t="n"/>
      <c r="H20" s="598">
        <f>F20+G20</f>
        <v>953882</v>
      </c>
      <c r="I20" s="611">
        <f>SGA!G21</f>
        <v>836193</v>
      </c>
      <c r="J20" s="597" t="n"/>
      <c r="K20" s="598">
        <f>I20+J20</f>
        <v>836193</v>
      </c>
      <c r="L20" s="611" t="n"/>
      <c r="M20" s="597" t="n"/>
      <c r="N20" s="598">
        <f>L20+M20</f>
        <v>0</v>
      </c>
      <c r="O20" s="611" t="n"/>
      <c r="P20" s="597" t="n"/>
      <c r="Q20" s="598">
        <f>O20+P20</f>
        <v>0</v>
      </c>
    </row>
    <row r="21" ht="22.5" customHeight="1" s="594">
      <c r="B21" s="218" t="inlineStr">
        <is>
          <t>諸会費</t>
        </is>
      </c>
      <c r="C21" s="611">
        <f>SGA!C22</f>
        <v>28000</v>
      </c>
      <c r="D21" s="597" t="n"/>
      <c r="E21" s="598">
        <f>C21+D21</f>
        <v>28000</v>
      </c>
      <c r="F21" s="611">
        <f>SGA!E22</f>
        <v>60000</v>
      </c>
      <c r="G21" s="597" t="n"/>
      <c r="H21" s="598">
        <f>F21+G21</f>
        <v>60000</v>
      </c>
      <c r="I21" s="611">
        <f>SGA!G22</f>
        <v>60000</v>
      </c>
      <c r="J21" s="597" t="n"/>
      <c r="K21" s="598">
        <f>I21+J21</f>
        <v>60000</v>
      </c>
      <c r="L21" s="611" t="n"/>
      <c r="M21" s="597" t="n"/>
      <c r="N21" s="598">
        <f>L21+M21</f>
        <v>0</v>
      </c>
      <c r="O21" s="611" t="n"/>
      <c r="P21" s="597" t="n"/>
      <c r="Q21" s="598">
        <f>O21+P21</f>
        <v>0</v>
      </c>
    </row>
    <row r="22" ht="22.5" customHeight="1" s="594">
      <c r="B22" s="218" t="inlineStr">
        <is>
          <t>車輛費</t>
        </is>
      </c>
      <c r="C22" s="611">
        <f>SGA!C23</f>
        <v>966665</v>
      </c>
      <c r="D22" s="597" t="n"/>
      <c r="E22" s="598">
        <f>C22+D22</f>
        <v>966665</v>
      </c>
      <c r="F22" s="611">
        <f>SGA!E23</f>
        <v>159400</v>
      </c>
      <c r="G22" s="597" t="n"/>
      <c r="H22" s="598">
        <f>F22+G22</f>
        <v>159400</v>
      </c>
      <c r="I22" s="611">
        <f>SGA!G23</f>
        <v>653731</v>
      </c>
      <c r="J22" s="597" t="n"/>
      <c r="K22" s="598">
        <f>I22+J22</f>
        <v>653731</v>
      </c>
      <c r="L22" s="611" t="n"/>
      <c r="M22" s="597" t="n"/>
      <c r="N22" s="598">
        <f>L22+M22</f>
        <v>0</v>
      </c>
      <c r="O22" s="611" t="n"/>
      <c r="P22" s="597" t="n"/>
      <c r="Q22" s="598">
        <f>O22+P22</f>
        <v>0</v>
      </c>
    </row>
    <row r="23" ht="22.5" customHeight="1" s="594">
      <c r="B23" s="218" t="inlineStr">
        <is>
          <t>貸倒引当金繰入額</t>
        </is>
      </c>
      <c r="C23" s="611">
        <f>SGA!C24</f>
        <v>0</v>
      </c>
      <c r="D23" s="597" t="n"/>
      <c r="E23" s="598">
        <f>C23+D23</f>
        <v>0</v>
      </c>
      <c r="F23" s="611">
        <f>SGA!E24</f>
        <v>0</v>
      </c>
      <c r="G23" s="597" t="n"/>
      <c r="H23" s="598">
        <f>F23+G23</f>
        <v>0</v>
      </c>
      <c r="I23" s="611">
        <f>SGA!G24</f>
        <v>0</v>
      </c>
      <c r="J23" s="597" t="n"/>
      <c r="K23" s="598">
        <f>I23+J23</f>
        <v>0</v>
      </c>
      <c r="L23" s="611" t="n"/>
      <c r="M23" s="597" t="n"/>
      <c r="N23" s="598">
        <f>L23+M23</f>
        <v>0</v>
      </c>
      <c r="O23" s="611" t="n"/>
      <c r="P23" s="597" t="n"/>
      <c r="Q23" s="598">
        <f>O23+P23</f>
        <v>0</v>
      </c>
    </row>
    <row r="24" ht="22.5" customHeight="1" s="594">
      <c r="B24" s="218" t="inlineStr">
        <is>
          <t>研修費</t>
        </is>
      </c>
      <c r="C24" s="611">
        <f>SGA!C25</f>
        <v>3456</v>
      </c>
      <c r="D24" s="597" t="n"/>
      <c r="E24" s="598">
        <f>C24+D24</f>
        <v>3456</v>
      </c>
      <c r="F24" s="611">
        <f>SGA!E25</f>
        <v>0</v>
      </c>
      <c r="G24" s="597" t="n"/>
      <c r="H24" s="598">
        <f>F24+G24</f>
        <v>0</v>
      </c>
      <c r="I24" s="611">
        <f>SGA!G25</f>
        <v>0</v>
      </c>
      <c r="J24" s="597" t="n"/>
      <c r="K24" s="598">
        <f>I24+J24</f>
        <v>0</v>
      </c>
      <c r="L24" s="611" t="n"/>
      <c r="M24" s="597" t="n"/>
      <c r="N24" s="598">
        <f>L24+M24</f>
        <v>0</v>
      </c>
      <c r="O24" s="611" t="n"/>
      <c r="P24" s="597" t="n"/>
      <c r="Q24" s="598">
        <f>O24+P24</f>
        <v>0</v>
      </c>
    </row>
    <row r="25" ht="22.5" customHeight="1" s="594">
      <c r="B25" s="218" t="inlineStr">
        <is>
          <t>雑費</t>
        </is>
      </c>
      <c r="C25" s="611">
        <f>SGA!C26</f>
        <v>1181195</v>
      </c>
      <c r="D25" s="597" t="n"/>
      <c r="E25" s="598">
        <f>C25+D25</f>
        <v>1181195</v>
      </c>
      <c r="F25" s="611">
        <f>SGA!E26</f>
        <v>7140452</v>
      </c>
      <c r="G25" s="597" t="n"/>
      <c r="H25" s="598">
        <f>F25+G25</f>
        <v>7140452</v>
      </c>
      <c r="I25" s="611">
        <f>SGA!G26</f>
        <v>1368052</v>
      </c>
      <c r="J25" s="597" t="n"/>
      <c r="K25" s="598">
        <f>I25+J25</f>
        <v>1368052</v>
      </c>
      <c r="L25" s="611" t="n"/>
      <c r="M25" s="597" t="n"/>
      <c r="N25" s="598">
        <f>L25+M25</f>
        <v>0</v>
      </c>
      <c r="O25" s="611" t="n"/>
      <c r="P25" s="597" t="n"/>
      <c r="Q25" s="598">
        <f>O25+P25</f>
        <v>0</v>
      </c>
    </row>
    <row r="26" ht="22.5" customHeight="1" s="594">
      <c r="B26" s="218" t="inlineStr">
        <is>
          <t>福利厚生費</t>
        </is>
      </c>
      <c r="C26" s="611">
        <f>SGA!C27</f>
        <v>291880</v>
      </c>
      <c r="D26" s="597" t="n"/>
      <c r="E26" s="598">
        <f>C26+D26</f>
        <v>291880</v>
      </c>
      <c r="F26" s="611">
        <f>SGA!E27</f>
        <v>380301</v>
      </c>
      <c r="G26" s="597" t="n"/>
      <c r="H26" s="598">
        <f>F26+G26</f>
        <v>380301</v>
      </c>
      <c r="I26" s="611">
        <f>SGA!G27</f>
        <v>235205</v>
      </c>
      <c r="J26" s="597" t="n"/>
      <c r="K26" s="598">
        <f>I26+J26</f>
        <v>235205</v>
      </c>
      <c r="L26" s="611" t="n"/>
      <c r="M26" s="597" t="n"/>
      <c r="N26" s="598">
        <f>L26+M26</f>
        <v>0</v>
      </c>
      <c r="O26" s="611" t="n"/>
      <c r="P26" s="597" t="n"/>
      <c r="Q26" s="598">
        <f>O26+P26</f>
        <v>0</v>
      </c>
    </row>
    <row r="27" ht="22.5" customHeight="1" s="594">
      <c r="B27" s="218" t="inlineStr">
        <is>
          <t>外注費</t>
        </is>
      </c>
      <c r="C27" s="611">
        <f>SGA!C28</f>
        <v>6144296</v>
      </c>
      <c r="D27" s="597" t="n"/>
      <c r="E27" s="598">
        <f>C27+D27</f>
        <v>6144296</v>
      </c>
      <c r="F27" s="611">
        <f>SGA!E28</f>
        <v>3207403</v>
      </c>
      <c r="G27" s="597" t="n"/>
      <c r="H27" s="598">
        <f>F27+G27</f>
        <v>3207403</v>
      </c>
      <c r="I27" s="611">
        <f>SGA!G28</f>
        <v>2296521</v>
      </c>
      <c r="J27" s="597" t="n"/>
      <c r="K27" s="598">
        <f>I27+J27</f>
        <v>2296521</v>
      </c>
      <c r="L27" s="611" t="n"/>
      <c r="M27" s="597" t="n"/>
      <c r="N27" s="598">
        <f>L27+M27</f>
        <v>0</v>
      </c>
      <c r="O27" s="611" t="n"/>
      <c r="P27" s="597" t="n"/>
      <c r="Q27" s="598">
        <f>O27+P27</f>
        <v>0</v>
      </c>
    </row>
    <row r="28" ht="22.5" customHeight="1" s="594">
      <c r="B28" s="218" t="inlineStr">
        <is>
          <t>広告宣伝費</t>
        </is>
      </c>
      <c r="C28" s="611">
        <f>SGA!C29</f>
        <v>649000</v>
      </c>
      <c r="D28" s="597" t="n"/>
      <c r="E28" s="598">
        <f>C28+D28</f>
        <v>649000</v>
      </c>
      <c r="F28" s="611">
        <f>SGA!E29</f>
        <v>292026</v>
      </c>
      <c r="G28" s="597" t="n"/>
      <c r="H28" s="598">
        <f>F28+G28</f>
        <v>292026</v>
      </c>
      <c r="I28" s="611">
        <f>SGA!G29</f>
        <v>58411</v>
      </c>
      <c r="J28" s="597" t="n"/>
      <c r="K28" s="598">
        <f>I28+J28</f>
        <v>58411</v>
      </c>
      <c r="L28" s="611" t="n"/>
      <c r="M28" s="597" t="n"/>
      <c r="N28" s="598">
        <f>L28+M28</f>
        <v>0</v>
      </c>
      <c r="O28" s="611" t="n"/>
      <c r="P28" s="597" t="n"/>
      <c r="Q28" s="598">
        <f>O28+P28</f>
        <v>0</v>
      </c>
    </row>
    <row r="29" ht="22.5" customHeight="1" s="594">
      <c r="B29" s="218" t="inlineStr">
        <is>
          <t>会議費</t>
        </is>
      </c>
      <c r="C29" s="611">
        <f>SGA!C30</f>
        <v>3050293</v>
      </c>
      <c r="D29" s="597" t="n"/>
      <c r="E29" s="598">
        <f>C29+D29</f>
        <v>3050293</v>
      </c>
      <c r="F29" s="611">
        <f>SGA!E30</f>
        <v>5275153</v>
      </c>
      <c r="G29" s="597" t="n"/>
      <c r="H29" s="598">
        <f>F29+G29</f>
        <v>5275153</v>
      </c>
      <c r="I29" s="611">
        <f>SGA!G30</f>
        <v>27249</v>
      </c>
      <c r="J29" s="597" t="n"/>
      <c r="K29" s="598">
        <f>I29+J29</f>
        <v>27249</v>
      </c>
      <c r="L29" s="611" t="n"/>
      <c r="M29" s="597" t="n"/>
      <c r="N29" s="598">
        <f>L29+M29</f>
        <v>0</v>
      </c>
      <c r="O29" s="611" t="n"/>
      <c r="P29" s="597" t="n"/>
      <c r="Q29" s="598">
        <f>O29+P29</f>
        <v>0</v>
      </c>
    </row>
    <row r="30" ht="22.5" customHeight="1" s="594">
      <c r="B30" s="218" t="inlineStr">
        <is>
          <t>支払報酬料</t>
        </is>
      </c>
      <c r="C30" s="611">
        <f>SGA!C31</f>
        <v>4469601</v>
      </c>
      <c r="D30" s="597" t="n"/>
      <c r="E30" s="598">
        <f>C30+D30</f>
        <v>4469601</v>
      </c>
      <c r="F30" s="611">
        <f>SGA!E31</f>
        <v>6976250</v>
      </c>
      <c r="G30" s="597" t="n"/>
      <c r="H30" s="598">
        <f>F30+G30</f>
        <v>6976250</v>
      </c>
      <c r="I30" s="611">
        <f>SGA!G31</f>
        <v>1295640</v>
      </c>
      <c r="J30" s="597" t="n"/>
      <c r="K30" s="598">
        <f>I30+J30</f>
        <v>1295640</v>
      </c>
      <c r="L30" s="611" t="n"/>
      <c r="M30" s="597" t="n"/>
      <c r="N30" s="598">
        <f>L30+M30</f>
        <v>0</v>
      </c>
      <c r="O30" s="611" t="n"/>
      <c r="P30" s="597" t="n"/>
      <c r="Q30" s="598">
        <f>O30+P30</f>
        <v>0</v>
      </c>
    </row>
    <row r="31" ht="22.5" customHeight="1" s="594">
      <c r="B31" s="218" t="inlineStr">
        <is>
          <t>採用教育費</t>
        </is>
      </c>
      <c r="C31" s="611">
        <f>SGA!C32</f>
        <v>45273</v>
      </c>
      <c r="D31" s="597" t="n"/>
      <c r="E31" s="598">
        <f>C31+D31</f>
        <v>45273</v>
      </c>
      <c r="F31" s="611">
        <f>SGA!E32</f>
        <v>0</v>
      </c>
      <c r="G31" s="597" t="n"/>
      <c r="H31" s="598">
        <f>F31+G31</f>
        <v>0</v>
      </c>
      <c r="I31" s="611">
        <f>SGA!G32</f>
        <v>0</v>
      </c>
      <c r="J31" s="597" t="n"/>
      <c r="K31" s="598">
        <f>I31+J31</f>
        <v>0</v>
      </c>
      <c r="L31" s="611" t="n"/>
      <c r="M31" s="597" t="n"/>
      <c r="N31" s="598">
        <f>L31+M31</f>
        <v>0</v>
      </c>
      <c r="O31" s="611" t="n"/>
      <c r="P31" s="597" t="n"/>
      <c r="Q31" s="598">
        <f>O31+P31</f>
        <v>0</v>
      </c>
    </row>
    <row r="32" ht="22.5" customHeight="1" s="594">
      <c r="B32" s="218" t="inlineStr">
        <is>
          <t>不動産管理費</t>
        </is>
      </c>
      <c r="C32" s="611">
        <f>SGA!C33</f>
        <v>4347132</v>
      </c>
      <c r="D32" s="597" t="n">
        <v>-4347132</v>
      </c>
      <c r="E32" s="598">
        <f>C32+D32</f>
        <v>0</v>
      </c>
      <c r="F32" s="611">
        <f>SGA!E33</f>
        <v>1928280</v>
      </c>
      <c r="G32" s="597" t="n">
        <v>-1928280</v>
      </c>
      <c r="H32" s="598">
        <f>F32+G32</f>
        <v>0</v>
      </c>
      <c r="I32" s="611">
        <f>SGA!G33</f>
        <v>686448</v>
      </c>
      <c r="J32" s="597" t="n">
        <v>-686448</v>
      </c>
      <c r="K32" s="598">
        <f>I32+J32</f>
        <v>0</v>
      </c>
      <c r="L32" s="611" t="n"/>
      <c r="M32" s="597" t="n"/>
      <c r="N32" s="598">
        <f>L32+M32</f>
        <v>0</v>
      </c>
      <c r="O32" s="611" t="n"/>
      <c r="P32" s="597" t="n"/>
      <c r="Q32" s="598">
        <f>O32+P32</f>
        <v>0</v>
      </c>
    </row>
    <row r="33" ht="22.5" customHeight="1" s="594">
      <c r="B33" s="218" t="inlineStr">
        <is>
          <t>リース料</t>
        </is>
      </c>
      <c r="C33" s="611">
        <f>SGA!C34</f>
        <v>13797260</v>
      </c>
      <c r="D33" s="597" t="n"/>
      <c r="E33" s="598">
        <f>C33+D33</f>
        <v>13797260</v>
      </c>
      <c r="F33" s="611">
        <f>SGA!E34</f>
        <v>10744470</v>
      </c>
      <c r="G33" s="597" t="n"/>
      <c r="H33" s="598">
        <f>F33+G33</f>
        <v>10744470</v>
      </c>
      <c r="I33" s="611">
        <f>SGA!G34</f>
        <v>10212056</v>
      </c>
      <c r="J33" s="597" t="n"/>
      <c r="K33" s="598">
        <f>I33+J33</f>
        <v>10212056</v>
      </c>
      <c r="L33" s="611" t="n"/>
      <c r="M33" s="597" t="n"/>
      <c r="N33" s="598">
        <f>L33+M33</f>
        <v>0</v>
      </c>
      <c r="O33" s="611" t="n"/>
      <c r="P33" s="597" t="n"/>
      <c r="Q33" s="598">
        <f>O33+P33</f>
        <v>0</v>
      </c>
    </row>
    <row r="34" ht="22.5" customHeight="1" s="594">
      <c r="B34" s="218" t="inlineStr">
        <is>
          <t>寄付金</t>
        </is>
      </c>
      <c r="C34" s="611">
        <f>SGA!C35</f>
        <v>0</v>
      </c>
      <c r="D34" s="597" t="n"/>
      <c r="E34" s="598">
        <f>C34+D34</f>
        <v>0</v>
      </c>
      <c r="F34" s="611">
        <f>SGA!E35</f>
        <v>500</v>
      </c>
      <c r="G34" s="597" t="n"/>
      <c r="H34" s="598">
        <f>F34+G34</f>
        <v>500</v>
      </c>
      <c r="I34" s="611">
        <f>SGA!G35</f>
        <v>0</v>
      </c>
      <c r="J34" s="597" t="n"/>
      <c r="K34" s="598">
        <f>I34+J34</f>
        <v>0</v>
      </c>
      <c r="L34" s="611" t="n"/>
      <c r="M34" s="597" t="n"/>
      <c r="N34" s="598">
        <f>L34+M34</f>
        <v>0</v>
      </c>
      <c r="O34" s="611" t="n"/>
      <c r="P34" s="597" t="n"/>
      <c r="Q34" s="598">
        <f>O34+P34</f>
        <v>0</v>
      </c>
    </row>
    <row r="35" ht="22.5" customHeight="1" s="594">
      <c r="B35" s="207" t="n"/>
      <c r="C35" s="611" t="n"/>
      <c r="D35" s="597" t="n"/>
      <c r="E35" s="598">
        <f>C35+D35</f>
        <v>0</v>
      </c>
      <c r="F35" s="611" t="n"/>
      <c r="G35" s="597" t="n"/>
      <c r="H35" s="598">
        <f>F35+G35</f>
        <v>0</v>
      </c>
      <c r="I35" s="611" t="n"/>
      <c r="J35" s="597" t="n"/>
      <c r="K35" s="598">
        <f>I35+J35</f>
        <v>0</v>
      </c>
      <c r="L35" s="611" t="n"/>
      <c r="M35" s="597" t="n"/>
      <c r="N35" s="598">
        <f>L35+M35</f>
        <v>0</v>
      </c>
      <c r="O35" s="611" t="n"/>
      <c r="P35" s="597" t="n"/>
      <c r="Q35" s="598">
        <f>O35+P35</f>
        <v>0</v>
      </c>
    </row>
    <row r="36" ht="22.5" customHeight="1" s="594">
      <c r="B36" s="207" t="n"/>
      <c r="C36" s="611" t="n"/>
      <c r="D36" s="597" t="n"/>
      <c r="E36" s="598">
        <f>C36+D36</f>
        <v>0</v>
      </c>
      <c r="F36" s="611" t="n"/>
      <c r="G36" s="597" t="n"/>
      <c r="H36" s="598">
        <f>F36+G36</f>
        <v>0</v>
      </c>
      <c r="I36" s="611" t="n"/>
      <c r="J36" s="597" t="n"/>
      <c r="K36" s="598">
        <f>I36+J36</f>
        <v>0</v>
      </c>
      <c r="L36" s="611" t="n"/>
      <c r="M36" s="597" t="n"/>
      <c r="N36" s="598">
        <f>L36+M36</f>
        <v>0</v>
      </c>
      <c r="O36" s="611" t="n"/>
      <c r="P36" s="597" t="n"/>
      <c r="Q36" s="598">
        <f>O36+P36</f>
        <v>0</v>
      </c>
    </row>
    <row r="37" ht="22.5" customHeight="1" s="594">
      <c r="B37" s="207" t="n"/>
      <c r="C37" s="611" t="n"/>
      <c r="D37" s="597" t="n"/>
      <c r="E37" s="598">
        <f>C37+D37</f>
        <v>0</v>
      </c>
      <c r="F37" s="611" t="n"/>
      <c r="G37" s="597" t="n"/>
      <c r="H37" s="598">
        <f>F37+G37</f>
        <v>0</v>
      </c>
      <c r="I37" s="611" t="n"/>
      <c r="J37" s="597" t="n"/>
      <c r="K37" s="598">
        <f>I37+J37</f>
        <v>0</v>
      </c>
      <c r="L37" s="611" t="n"/>
      <c r="M37" s="597" t="n"/>
      <c r="N37" s="598">
        <f>L37+M37</f>
        <v>0</v>
      </c>
      <c r="O37" s="611" t="n"/>
      <c r="P37" s="597" t="n"/>
      <c r="Q37" s="598">
        <f>O37+P37</f>
        <v>0</v>
      </c>
    </row>
    <row r="38" ht="22.5" customHeight="1" s="594">
      <c r="B38" s="207" t="n"/>
      <c r="C38" s="606" t="n"/>
      <c r="D38" s="613" t="n"/>
      <c r="E38" s="598">
        <f>C38+D38</f>
        <v>0</v>
      </c>
      <c r="F38" s="606" t="n"/>
      <c r="G38" s="613" t="n"/>
      <c r="H38" s="598">
        <f>F38+G38</f>
        <v>0</v>
      </c>
      <c r="I38" s="606" t="n"/>
      <c r="J38" s="613" t="n"/>
      <c r="K38" s="598">
        <f>I38+J38</f>
        <v>0</v>
      </c>
      <c r="L38" s="606" t="n"/>
      <c r="M38" s="613" t="n"/>
      <c r="N38" s="598">
        <f>L38+M38</f>
        <v>0</v>
      </c>
      <c r="O38" s="606" t="n"/>
      <c r="P38" s="613" t="n"/>
      <c r="Q38" s="598">
        <f>O38+P38</f>
        <v>0</v>
      </c>
    </row>
    <row r="39" ht="22.5" customHeight="1" s="594" thickBot="1">
      <c r="B39" s="219" t="inlineStr">
        <is>
          <t>販売費および一般管理費合計</t>
        </is>
      </c>
      <c r="C39" s="635">
        <f>SUM(C5:C38)</f>
        <v>283551728</v>
      </c>
      <c r="D39" s="635">
        <f>SUM(D5:D38)</f>
        <v>-4347132</v>
      </c>
      <c r="E39" s="759">
        <f>C39+D39</f>
        <v>279204596</v>
      </c>
      <c r="F39" s="635">
        <f>SUM(F5:F38)</f>
        <v>273060341</v>
      </c>
      <c r="G39" s="635">
        <f>SUM(G5:G38)</f>
        <v>-1928280</v>
      </c>
      <c r="H39" s="759">
        <f>F39+G39</f>
        <v>271132061</v>
      </c>
      <c r="I39" s="635">
        <f>SUM(I5:I38)</f>
        <v>222261444</v>
      </c>
      <c r="J39" s="635">
        <f>SUM(J5:J38)</f>
        <v>-686448</v>
      </c>
      <c r="K39" s="759">
        <f>I39+J39</f>
        <v>221574996</v>
      </c>
      <c r="L39" s="635">
        <f>SUM(L5:L38)</f>
        <v>0</v>
      </c>
      <c r="M39" s="635">
        <f>SUM(M5:M38)</f>
        <v>0</v>
      </c>
      <c r="N39" s="759">
        <f>L39+M39</f>
        <v>0</v>
      </c>
      <c r="O39" s="635">
        <f>SUM(O5:O38)</f>
        <v>0</v>
      </c>
      <c r="P39" s="635">
        <f>SUM(P5:P38)</f>
        <v>0</v>
      </c>
      <c r="Q39" s="759">
        <f>O39+P39</f>
        <v>0</v>
      </c>
    </row>
  </sheetData>
  <mergeCells count="1">
    <mergeCell ref="B3:B4"/>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B2:Q44"/>
  <sheetViews>
    <sheetView showGridLines="0" topLeftCell="A2" zoomScale="63" zoomScaleNormal="100" workbookViewId="0">
      <pane ySplit="3" topLeftCell="A5" activePane="bottomLeft" state="frozen"/>
      <selection activeCell="B11" sqref="B11"/>
      <selection pane="bottomLeft" activeCell="O17" sqref="O17"/>
    </sheetView>
  </sheetViews>
  <sheetFormatPr baseColWidth="8" defaultRowHeight="18"/>
  <cols>
    <col width="28" bestFit="1" customWidth="1" style="184" min="2" max="2"/>
    <col width="15" customWidth="1" style="594" min="3" max="17"/>
  </cols>
  <sheetData>
    <row r="2">
      <c r="B2" s="0" t="n"/>
      <c r="C2" s="177" t="n"/>
      <c r="F2" s="177" t="n"/>
      <c r="I2" s="177" t="n"/>
      <c r="K2" s="73" t="inlineStr">
        <is>
          <t>(単位：千円)</t>
        </is>
      </c>
      <c r="L2" s="177" t="n"/>
      <c r="O2" s="177" t="n"/>
    </row>
    <row r="3" ht="20.4" customHeight="1" s="594" thickBot="1">
      <c r="B3" s="569" t="inlineStr">
        <is>
          <t>科目</t>
        </is>
      </c>
      <c r="C3" s="195" t="str">
        <f>'BS(借方)'!C4</f>
        <v>令和6年3月期</v>
      </c>
      <c r="D3" s="176" t="n"/>
      <c r="E3" s="176" t="n"/>
      <c r="F3" s="195" t="str">
        <f>'BS(借方)'!D4</f>
        <v>令和7年3月期</v>
      </c>
      <c r="G3" s="176" t="n"/>
      <c r="H3" s="176" t="n"/>
      <c r="I3" s="195" t="str">
        <f>'BS(借方)'!E4</f>
        <v>令和8年3月期</v>
      </c>
      <c r="J3" s="176" t="n"/>
      <c r="K3" s="176" t="n"/>
      <c r="L3" s="195" t="str">
        <f>'BS(借方)'!F4</f>
        <v>－</v>
      </c>
      <c r="M3" s="176" t="n"/>
      <c r="N3" s="176" t="n"/>
      <c r="O3" s="276" t="str">
        <f>'BS(借方)'!G4</f>
        <v>進行期
（試算表未受領）</v>
      </c>
      <c r="P3" s="277" t="n"/>
      <c r="Q3" s="277" t="n"/>
    </row>
    <row r="4" ht="19.8" customHeight="1" s="594">
      <c r="B4" s="649" t="n"/>
      <c r="C4" s="224" t="inlineStr">
        <is>
          <t>帳簿価額</t>
        </is>
      </c>
      <c r="D4" s="283" t="inlineStr">
        <is>
          <t>修正額</t>
        </is>
      </c>
      <c r="E4" s="288" t="inlineStr">
        <is>
          <t>修正後</t>
        </is>
      </c>
      <c r="F4" s="224" t="inlineStr">
        <is>
          <t>帳簿価額</t>
        </is>
      </c>
      <c r="G4" s="283" t="inlineStr">
        <is>
          <t>修正額</t>
        </is>
      </c>
      <c r="H4" s="288" t="inlineStr">
        <is>
          <t>修正後</t>
        </is>
      </c>
      <c r="I4" s="224" t="inlineStr">
        <is>
          <t>帳簿価額</t>
        </is>
      </c>
      <c r="J4" s="283" t="inlineStr">
        <is>
          <t>修正額</t>
        </is>
      </c>
      <c r="K4" s="288" t="inlineStr">
        <is>
          <t>修正後</t>
        </is>
      </c>
      <c r="L4" s="224" t="inlineStr">
        <is>
          <t>帳簿価額</t>
        </is>
      </c>
      <c r="M4" s="283" t="inlineStr">
        <is>
          <t>修正額</t>
        </is>
      </c>
      <c r="N4" s="288" t="inlineStr">
        <is>
          <t>修正後</t>
        </is>
      </c>
      <c r="O4" s="225" t="inlineStr">
        <is>
          <t>帳簿価額</t>
        </is>
      </c>
      <c r="P4" s="279" t="inlineStr">
        <is>
          <t>修正額</t>
        </is>
      </c>
      <c r="Q4" s="288" t="inlineStr">
        <is>
          <t>修正後</t>
        </is>
      </c>
    </row>
    <row r="5" ht="22.5" customHeight="1" s="594">
      <c r="B5" s="223" t="inlineStr">
        <is>
          <t>期首原材料棚卸高</t>
        </is>
      </c>
      <c r="C5" s="604" t="n"/>
      <c r="D5" s="597" t="n"/>
      <c r="E5" s="598">
        <f>C5+D5</f>
        <v>0</v>
      </c>
      <c r="F5" s="604" t="n"/>
      <c r="G5" s="597" t="n"/>
      <c r="H5" s="598">
        <f>F5+G5</f>
        <v>0</v>
      </c>
      <c r="I5" s="604" t="n"/>
      <c r="J5" s="597" t="n"/>
      <c r="K5" s="598">
        <f>I5+J5</f>
        <v>0</v>
      </c>
      <c r="L5" s="604" t="n"/>
      <c r="M5" s="597" t="n"/>
      <c r="N5" s="598">
        <f>L5+M5</f>
        <v>0</v>
      </c>
      <c r="O5" s="604" t="n"/>
      <c r="P5" s="597" t="n"/>
      <c r="Q5" s="598">
        <f>O5+P5</f>
        <v>0</v>
      </c>
    </row>
    <row r="6" ht="22.5" customHeight="1" s="594">
      <c r="B6" s="207" t="inlineStr">
        <is>
          <t>原材料仕入高</t>
        </is>
      </c>
      <c r="C6" s="611" t="n"/>
      <c r="D6" s="597" t="n"/>
      <c r="E6" s="598">
        <f>C6+D6</f>
        <v>0</v>
      </c>
      <c r="F6" s="611" t="n"/>
      <c r="G6" s="597" t="n"/>
      <c r="H6" s="598">
        <f>F6+G6</f>
        <v>0</v>
      </c>
      <c r="I6" s="611" t="n"/>
      <c r="J6" s="597" t="n"/>
      <c r="K6" s="598">
        <f>I6+J6</f>
        <v>0</v>
      </c>
      <c r="L6" s="611" t="n"/>
      <c r="M6" s="597" t="n"/>
      <c r="N6" s="598">
        <f>L6+M6</f>
        <v>0</v>
      </c>
      <c r="O6" s="611" t="n"/>
      <c r="P6" s="597" t="n"/>
      <c r="Q6" s="598">
        <f>O6+P6</f>
        <v>0</v>
      </c>
    </row>
    <row r="7" ht="22.5" customHeight="1" s="594">
      <c r="B7" s="207" t="inlineStr">
        <is>
          <t>小計</t>
        </is>
      </c>
      <c r="C7" s="611" t="n"/>
      <c r="D7" s="597" t="n"/>
      <c r="E7" s="598">
        <f>C7+D7</f>
        <v>0</v>
      </c>
      <c r="F7" s="611" t="n"/>
      <c r="G7" s="597" t="n"/>
      <c r="H7" s="598">
        <f>F7+G7</f>
        <v>0</v>
      </c>
      <c r="I7" s="611" t="n"/>
      <c r="J7" s="597" t="n"/>
      <c r="K7" s="598">
        <f>I7+J7</f>
        <v>0</v>
      </c>
      <c r="L7" s="611" t="n"/>
      <c r="M7" s="597" t="n"/>
      <c r="N7" s="598">
        <f>L7+M7</f>
        <v>0</v>
      </c>
      <c r="O7" s="611" t="n"/>
      <c r="P7" s="597" t="n"/>
      <c r="Q7" s="598">
        <f>O7+P7</f>
        <v>0</v>
      </c>
    </row>
    <row r="8" ht="22.5" customHeight="1" s="594">
      <c r="B8" s="207" t="inlineStr">
        <is>
          <t>期末原材料棚卸高</t>
        </is>
      </c>
      <c r="C8" s="611" t="n"/>
      <c r="D8" s="597" t="n"/>
      <c r="E8" s="598">
        <f>C8+D8</f>
        <v>0</v>
      </c>
      <c r="F8" s="611" t="n"/>
      <c r="G8" s="597" t="n"/>
      <c r="H8" s="598">
        <f>F8+G8</f>
        <v>0</v>
      </c>
      <c r="I8" s="611" t="n"/>
      <c r="J8" s="597" t="n"/>
      <c r="K8" s="598">
        <f>I8+J8</f>
        <v>0</v>
      </c>
      <c r="L8" s="611" t="n"/>
      <c r="M8" s="597" t="n"/>
      <c r="N8" s="598">
        <f>L8+M8</f>
        <v>0</v>
      </c>
      <c r="O8" s="611" t="n"/>
      <c r="P8" s="597" t="n"/>
      <c r="Q8" s="598">
        <f>O8+P8</f>
        <v>0</v>
      </c>
    </row>
    <row r="9" ht="22.5" customHeight="1" s="594">
      <c r="B9" s="207" t="n"/>
      <c r="C9" s="611" t="n"/>
      <c r="D9" s="597" t="n"/>
      <c r="E9" s="598">
        <f>C9+D9</f>
        <v>0</v>
      </c>
      <c r="F9" s="611" t="n"/>
      <c r="G9" s="597" t="n"/>
      <c r="H9" s="598">
        <f>F9+G9</f>
        <v>0</v>
      </c>
      <c r="I9" s="611" t="n"/>
      <c r="J9" s="597" t="n"/>
      <c r="K9" s="598">
        <f>I9+J9</f>
        <v>0</v>
      </c>
      <c r="L9" s="611" t="n"/>
      <c r="M9" s="597" t="n"/>
      <c r="N9" s="598">
        <f>L9+M9</f>
        <v>0</v>
      </c>
      <c r="O9" s="611" t="n"/>
      <c r="P9" s="597" t="n"/>
      <c r="Q9" s="598">
        <f>O9+P9</f>
        <v>0</v>
      </c>
    </row>
    <row r="10" ht="22.5" customHeight="1" s="594">
      <c r="B10" s="208" t="n"/>
      <c r="C10" s="606" t="n"/>
      <c r="D10" s="613" t="n"/>
      <c r="E10" s="598">
        <f>C10+D10</f>
        <v>0</v>
      </c>
      <c r="F10" s="606" t="n"/>
      <c r="G10" s="613" t="n"/>
      <c r="H10" s="598">
        <f>F10+G10</f>
        <v>0</v>
      </c>
      <c r="I10" s="606" t="n"/>
      <c r="J10" s="613" t="n"/>
      <c r="K10" s="598">
        <f>I10+J10</f>
        <v>0</v>
      </c>
      <c r="L10" s="606" t="n"/>
      <c r="M10" s="613" t="n"/>
      <c r="N10" s="598">
        <f>L10+M10</f>
        <v>0</v>
      </c>
      <c r="O10" s="606" t="n"/>
      <c r="P10" s="613" t="n"/>
      <c r="Q10" s="598">
        <f>O10+P10</f>
        <v>0</v>
      </c>
    </row>
    <row r="11" ht="22.5" customHeight="1" s="594">
      <c r="B11" s="227" t="inlineStr">
        <is>
          <t>材料費</t>
        </is>
      </c>
      <c r="C11" s="635">
        <f>SUM(C5:C10)</f>
        <v>0</v>
      </c>
      <c r="D11" s="635">
        <f>SUM(D5:D10)</f>
        <v>0</v>
      </c>
      <c r="E11" s="760">
        <f>C11+D11</f>
        <v>0</v>
      </c>
      <c r="F11" s="635">
        <f>SUM(F5:F10)</f>
        <v>0</v>
      </c>
      <c r="G11" s="635">
        <f>SUM(G5:G10)</f>
        <v>0</v>
      </c>
      <c r="H11" s="760">
        <f>F11+G11</f>
        <v>0</v>
      </c>
      <c r="I11" s="635">
        <f>SUM(I5:I10)</f>
        <v>0</v>
      </c>
      <c r="J11" s="635">
        <f>SUM(J5:J10)</f>
        <v>0</v>
      </c>
      <c r="K11" s="760">
        <f>I11+J11</f>
        <v>0</v>
      </c>
      <c r="L11" s="635">
        <f>SUM(L5:L10)</f>
        <v>0</v>
      </c>
      <c r="M11" s="635">
        <f>SUM(M5:M10)</f>
        <v>0</v>
      </c>
      <c r="N11" s="760">
        <f>L11+M11</f>
        <v>0</v>
      </c>
      <c r="O11" s="635">
        <f>SUM(O5:O10)</f>
        <v>0</v>
      </c>
      <c r="P11" s="635">
        <f>SUM(P5:P10)</f>
        <v>0</v>
      </c>
      <c r="Q11" s="760">
        <f>O11+P11</f>
        <v>0</v>
      </c>
    </row>
    <row r="12" ht="22.5" customHeight="1" s="594">
      <c r="B12" s="223" t="n"/>
      <c r="C12" s="604" t="n"/>
      <c r="D12" s="597" t="n"/>
      <c r="E12" s="598">
        <f>C12+D12</f>
        <v>0</v>
      </c>
      <c r="F12" s="604" t="n"/>
      <c r="G12" s="597" t="n"/>
      <c r="H12" s="598">
        <f>F12+G12</f>
        <v>0</v>
      </c>
      <c r="I12" s="604" t="n"/>
      <c r="J12" s="597" t="n"/>
      <c r="K12" s="598">
        <f>I12+J12</f>
        <v>0</v>
      </c>
      <c r="L12" s="604" t="n"/>
      <c r="M12" s="597" t="n"/>
      <c r="N12" s="598">
        <f>L12+M12</f>
        <v>0</v>
      </c>
      <c r="O12" s="604" t="n"/>
      <c r="P12" s="597" t="n"/>
      <c r="Q12" s="598">
        <f>O12+P12</f>
        <v>0</v>
      </c>
    </row>
    <row r="13" ht="22.5" customHeight="1" s="594">
      <c r="B13" s="207" t="n"/>
      <c r="C13" s="611" t="n"/>
      <c r="D13" s="597" t="n"/>
      <c r="E13" s="598">
        <f>C13+D13</f>
        <v>0</v>
      </c>
      <c r="F13" s="611" t="n"/>
      <c r="G13" s="597" t="n"/>
      <c r="H13" s="598">
        <f>F13+G13</f>
        <v>0</v>
      </c>
      <c r="I13" s="611" t="n"/>
      <c r="J13" s="597" t="n"/>
      <c r="K13" s="598">
        <f>I13+J13</f>
        <v>0</v>
      </c>
      <c r="L13" s="611" t="n"/>
      <c r="M13" s="597" t="n"/>
      <c r="N13" s="598">
        <f>L13+M13</f>
        <v>0</v>
      </c>
      <c r="O13" s="611" t="n"/>
      <c r="P13" s="597" t="n"/>
      <c r="Q13" s="598">
        <f>O13+P13</f>
        <v>0</v>
      </c>
    </row>
    <row r="14" ht="22.5" customHeight="1" s="594">
      <c r="B14" s="207" t="n"/>
      <c r="C14" s="611" t="n"/>
      <c r="D14" s="597" t="n"/>
      <c r="E14" s="598">
        <f>C14+D14</f>
        <v>0</v>
      </c>
      <c r="F14" s="611" t="n"/>
      <c r="G14" s="597" t="n"/>
      <c r="H14" s="598">
        <f>F14+G14</f>
        <v>0</v>
      </c>
      <c r="I14" s="611" t="n"/>
      <c r="J14" s="597" t="n"/>
      <c r="K14" s="598">
        <f>I14+J14</f>
        <v>0</v>
      </c>
      <c r="L14" s="611" t="n"/>
      <c r="M14" s="597" t="n"/>
      <c r="N14" s="598">
        <f>L14+M14</f>
        <v>0</v>
      </c>
      <c r="O14" s="611" t="n"/>
      <c r="P14" s="597" t="n"/>
      <c r="Q14" s="598">
        <f>O14+P14</f>
        <v>0</v>
      </c>
    </row>
    <row r="15" ht="22.5" customHeight="1" s="594">
      <c r="B15" s="207" t="n"/>
      <c r="C15" s="611" t="n"/>
      <c r="D15" s="597" t="n"/>
      <c r="E15" s="598">
        <f>C15+D15</f>
        <v>0</v>
      </c>
      <c r="F15" s="611" t="n"/>
      <c r="G15" s="597" t="n"/>
      <c r="H15" s="598">
        <f>F15+G15</f>
        <v>0</v>
      </c>
      <c r="I15" s="611" t="n"/>
      <c r="J15" s="597" t="n"/>
      <c r="K15" s="598">
        <f>I15+J15</f>
        <v>0</v>
      </c>
      <c r="L15" s="611" t="n"/>
      <c r="M15" s="597" t="n"/>
      <c r="N15" s="598">
        <f>L15+M15</f>
        <v>0</v>
      </c>
      <c r="O15" s="611" t="n"/>
      <c r="P15" s="597" t="n"/>
      <c r="Q15" s="598">
        <f>O15+P15</f>
        <v>0</v>
      </c>
    </row>
    <row r="16" ht="22.5" customHeight="1" s="594">
      <c r="B16" s="207" t="n"/>
      <c r="C16" s="611" t="n"/>
      <c r="D16" s="597" t="n"/>
      <c r="E16" s="598">
        <f>C16+D16</f>
        <v>0</v>
      </c>
      <c r="F16" s="611" t="n"/>
      <c r="G16" s="597" t="n"/>
      <c r="H16" s="598">
        <f>F16+G16</f>
        <v>0</v>
      </c>
      <c r="I16" s="611" t="n"/>
      <c r="J16" s="597" t="n"/>
      <c r="K16" s="598">
        <f>I16+J16</f>
        <v>0</v>
      </c>
      <c r="L16" s="611" t="n"/>
      <c r="M16" s="597" t="n"/>
      <c r="N16" s="598">
        <f>L16+M16</f>
        <v>0</v>
      </c>
      <c r="O16" s="611" t="n"/>
      <c r="P16" s="597" t="n"/>
      <c r="Q16" s="598">
        <f>O16+P16</f>
        <v>0</v>
      </c>
    </row>
    <row r="17" ht="22.5" customHeight="1" s="594">
      <c r="B17" s="208" t="n"/>
      <c r="C17" s="606" t="n"/>
      <c r="D17" s="613" t="n"/>
      <c r="E17" s="598">
        <f>C17+D17</f>
        <v>0</v>
      </c>
      <c r="F17" s="606" t="n"/>
      <c r="G17" s="613" t="n"/>
      <c r="H17" s="598">
        <f>F17+G17</f>
        <v>0</v>
      </c>
      <c r="I17" s="606" t="n"/>
      <c r="J17" s="613" t="n"/>
      <c r="K17" s="598">
        <f>I17+J17</f>
        <v>0</v>
      </c>
      <c r="L17" s="606" t="n"/>
      <c r="M17" s="613" t="n"/>
      <c r="N17" s="598">
        <f>L17+M17</f>
        <v>0</v>
      </c>
      <c r="O17" s="606" t="n"/>
      <c r="P17" s="613" t="n"/>
      <c r="Q17" s="598">
        <f>O17+P17</f>
        <v>0</v>
      </c>
    </row>
    <row r="18" ht="22.5" customHeight="1" s="594">
      <c r="B18" s="227" t="inlineStr">
        <is>
          <t>労務費</t>
        </is>
      </c>
      <c r="C18" s="635">
        <f>SUM(C12:C17)</f>
        <v>0</v>
      </c>
      <c r="D18" s="635">
        <f>SUM(D12:D17)</f>
        <v>0</v>
      </c>
      <c r="E18" s="760">
        <f>C18+D18</f>
        <v>0</v>
      </c>
      <c r="F18" s="635">
        <f>SUM(F12:F17)</f>
        <v>0</v>
      </c>
      <c r="G18" s="635">
        <f>SUM(G12:G17)</f>
        <v>0</v>
      </c>
      <c r="H18" s="760">
        <f>F18+G18</f>
        <v>0</v>
      </c>
      <c r="I18" s="635">
        <f>SUM(I12:I17)</f>
        <v>0</v>
      </c>
      <c r="J18" s="635">
        <f>SUM(J12:J17)</f>
        <v>0</v>
      </c>
      <c r="K18" s="760">
        <f>I18+J18</f>
        <v>0</v>
      </c>
      <c r="L18" s="635">
        <f>SUM(L12:L17)</f>
        <v>0</v>
      </c>
      <c r="M18" s="635">
        <f>SUM(M12:M17)</f>
        <v>0</v>
      </c>
      <c r="N18" s="760">
        <f>L18+M18</f>
        <v>0</v>
      </c>
      <c r="O18" s="635">
        <f>SUM(O12:O17)</f>
        <v>0</v>
      </c>
      <c r="P18" s="635">
        <f>SUM(P12:P17)</f>
        <v>0</v>
      </c>
      <c r="Q18" s="760">
        <f>O18+P18</f>
        <v>0</v>
      </c>
    </row>
    <row r="19" ht="22.5" customHeight="1" s="594">
      <c r="B19" s="223" t="n"/>
      <c r="C19" s="604" t="n"/>
      <c r="D19" s="597" t="n"/>
      <c r="E19" s="598">
        <f>C19+D19</f>
        <v>0</v>
      </c>
      <c r="F19" s="604" t="n"/>
      <c r="G19" s="597" t="n"/>
      <c r="H19" s="598">
        <f>F19+G19</f>
        <v>0</v>
      </c>
      <c r="I19" s="604" t="n"/>
      <c r="J19" s="597" t="n"/>
      <c r="K19" s="598">
        <f>I19+J19</f>
        <v>0</v>
      </c>
      <c r="L19" s="604" t="n"/>
      <c r="M19" s="597" t="n"/>
      <c r="N19" s="598">
        <f>L19+M19</f>
        <v>0</v>
      </c>
      <c r="O19" s="604" t="n"/>
      <c r="P19" s="597" t="n"/>
      <c r="Q19" s="598">
        <f>O19+P19</f>
        <v>0</v>
      </c>
    </row>
    <row r="20" ht="22.5" customHeight="1" s="594">
      <c r="B20" s="207" t="n"/>
      <c r="C20" s="611" t="n"/>
      <c r="D20" s="597" t="n"/>
      <c r="E20" s="598">
        <f>C20+D20</f>
        <v>0</v>
      </c>
      <c r="F20" s="611" t="n"/>
      <c r="G20" s="597" t="n"/>
      <c r="H20" s="598">
        <f>F20+G20</f>
        <v>0</v>
      </c>
      <c r="I20" s="611" t="n"/>
      <c r="J20" s="597" t="n"/>
      <c r="K20" s="598">
        <f>I20+J20</f>
        <v>0</v>
      </c>
      <c r="L20" s="611" t="n"/>
      <c r="M20" s="597" t="n"/>
      <c r="N20" s="598">
        <f>L20+M20</f>
        <v>0</v>
      </c>
      <c r="O20" s="611" t="n"/>
      <c r="P20" s="597" t="n"/>
      <c r="Q20" s="598">
        <f>O20+P20</f>
        <v>0</v>
      </c>
    </row>
    <row r="21" ht="22.5" customHeight="1" s="594">
      <c r="B21" s="207" t="n"/>
      <c r="C21" s="611" t="n"/>
      <c r="D21" s="597" t="n"/>
      <c r="E21" s="598">
        <f>C21+D21</f>
        <v>0</v>
      </c>
      <c r="F21" s="611" t="n"/>
      <c r="G21" s="597" t="n"/>
      <c r="H21" s="598">
        <f>F21+G21</f>
        <v>0</v>
      </c>
      <c r="I21" s="611" t="n"/>
      <c r="J21" s="597" t="n"/>
      <c r="K21" s="598">
        <f>I21+J21</f>
        <v>0</v>
      </c>
      <c r="L21" s="611" t="n"/>
      <c r="M21" s="597" t="n"/>
      <c r="N21" s="598">
        <f>L21+M21</f>
        <v>0</v>
      </c>
      <c r="O21" s="611" t="n"/>
      <c r="P21" s="597" t="n"/>
      <c r="Q21" s="598">
        <f>O21+P21</f>
        <v>0</v>
      </c>
    </row>
    <row r="22" ht="22.5" customHeight="1" s="594">
      <c r="B22" s="207" t="n"/>
      <c r="C22" s="611" t="n"/>
      <c r="D22" s="597" t="n"/>
      <c r="E22" s="598">
        <f>C22+D22</f>
        <v>0</v>
      </c>
      <c r="F22" s="611" t="n"/>
      <c r="G22" s="597" t="n"/>
      <c r="H22" s="598">
        <f>F22+G22</f>
        <v>0</v>
      </c>
      <c r="I22" s="611" t="n"/>
      <c r="J22" s="597" t="n"/>
      <c r="K22" s="598">
        <f>I22+J22</f>
        <v>0</v>
      </c>
      <c r="L22" s="611" t="n"/>
      <c r="M22" s="597" t="n"/>
      <c r="N22" s="598">
        <f>L22+M22</f>
        <v>0</v>
      </c>
      <c r="O22" s="611" t="n"/>
      <c r="P22" s="597" t="n"/>
      <c r="Q22" s="598">
        <f>O22+P22</f>
        <v>0</v>
      </c>
    </row>
    <row r="23" ht="22.5" customHeight="1" s="594">
      <c r="B23" s="207" t="n"/>
      <c r="C23" s="611" t="n"/>
      <c r="D23" s="597" t="n"/>
      <c r="E23" s="598">
        <f>C23+D23</f>
        <v>0</v>
      </c>
      <c r="F23" s="611" t="n"/>
      <c r="G23" s="597" t="n"/>
      <c r="H23" s="598">
        <f>F23+G23</f>
        <v>0</v>
      </c>
      <c r="I23" s="611" t="n"/>
      <c r="J23" s="597" t="n"/>
      <c r="K23" s="598">
        <f>I23+J23</f>
        <v>0</v>
      </c>
      <c r="L23" s="611" t="n"/>
      <c r="M23" s="597" t="n"/>
      <c r="N23" s="598">
        <f>L23+M23</f>
        <v>0</v>
      </c>
      <c r="O23" s="611" t="n"/>
      <c r="P23" s="597" t="n"/>
      <c r="Q23" s="598">
        <f>O23+P23</f>
        <v>0</v>
      </c>
    </row>
    <row r="24" ht="22.5" customHeight="1" s="594">
      <c r="B24" s="208" t="n"/>
      <c r="C24" s="606" t="n"/>
      <c r="D24" s="613" t="n"/>
      <c r="E24" s="598">
        <f>C24+D24</f>
        <v>0</v>
      </c>
      <c r="F24" s="606" t="n"/>
      <c r="G24" s="613" t="n"/>
      <c r="H24" s="598">
        <f>F24+G24</f>
        <v>0</v>
      </c>
      <c r="I24" s="606" t="n"/>
      <c r="J24" s="613" t="n"/>
      <c r="K24" s="598">
        <f>I24+J24</f>
        <v>0</v>
      </c>
      <c r="L24" s="606" t="n"/>
      <c r="M24" s="613" t="n"/>
      <c r="N24" s="598">
        <f>L24+M24</f>
        <v>0</v>
      </c>
      <c r="O24" s="606" t="n"/>
      <c r="P24" s="613" t="n"/>
      <c r="Q24" s="598">
        <f>O24+P24</f>
        <v>0</v>
      </c>
    </row>
    <row r="25" ht="22.5" customHeight="1" s="594">
      <c r="B25" s="227" t="inlineStr">
        <is>
          <t>外注加工費</t>
        </is>
      </c>
      <c r="C25" s="635">
        <f>SUM(C19:C24)</f>
        <v>0</v>
      </c>
      <c r="D25" s="635">
        <f>SUM(D19:D24)</f>
        <v>0</v>
      </c>
      <c r="E25" s="760">
        <f>C25+D25</f>
        <v>0</v>
      </c>
      <c r="F25" s="635">
        <f>SUM(F19:F24)</f>
        <v>0</v>
      </c>
      <c r="G25" s="635">
        <f>SUM(G19:G24)</f>
        <v>0</v>
      </c>
      <c r="H25" s="760">
        <f>F25+G25</f>
        <v>0</v>
      </c>
      <c r="I25" s="635">
        <f>SUM(I19:I24)</f>
        <v>0</v>
      </c>
      <c r="J25" s="635">
        <f>SUM(J19:J24)</f>
        <v>0</v>
      </c>
      <c r="K25" s="760">
        <f>I25+J25</f>
        <v>0</v>
      </c>
      <c r="L25" s="635">
        <f>SUM(L19:L24)</f>
        <v>0</v>
      </c>
      <c r="M25" s="635">
        <f>SUM(M19:M24)</f>
        <v>0</v>
      </c>
      <c r="N25" s="760">
        <f>L25+M25</f>
        <v>0</v>
      </c>
      <c r="O25" s="635">
        <f>SUM(O19:O24)</f>
        <v>0</v>
      </c>
      <c r="P25" s="635">
        <f>SUM(P19:P24)</f>
        <v>0</v>
      </c>
      <c r="Q25" s="760">
        <f>O25+P25</f>
        <v>0</v>
      </c>
    </row>
    <row r="26" ht="22.5" customHeight="1" s="594">
      <c r="B26" s="223" t="n"/>
      <c r="C26" s="604" t="n"/>
      <c r="D26" s="597" t="n"/>
      <c r="E26" s="598">
        <f>C26+D26</f>
        <v>0</v>
      </c>
      <c r="F26" s="604" t="n"/>
      <c r="G26" s="597" t="n"/>
      <c r="H26" s="598">
        <f>F26+G26</f>
        <v>0</v>
      </c>
      <c r="I26" s="604" t="n"/>
      <c r="J26" s="597" t="n"/>
      <c r="K26" s="598">
        <f>I26+J26</f>
        <v>0</v>
      </c>
      <c r="L26" s="604" t="n"/>
      <c r="M26" s="597" t="n"/>
      <c r="N26" s="598">
        <f>L26+M26</f>
        <v>0</v>
      </c>
      <c r="O26" s="604" t="n"/>
      <c r="P26" s="597" t="n"/>
      <c r="Q26" s="598">
        <f>O26+P26</f>
        <v>0</v>
      </c>
    </row>
    <row r="27" ht="22.5" customHeight="1" s="594">
      <c r="B27" s="207" t="n"/>
      <c r="C27" s="611" t="n"/>
      <c r="D27" s="597" t="n"/>
      <c r="E27" s="598">
        <f>C27+D27</f>
        <v>0</v>
      </c>
      <c r="F27" s="611" t="n"/>
      <c r="G27" s="597" t="n"/>
      <c r="H27" s="598">
        <f>F27+G27</f>
        <v>0</v>
      </c>
      <c r="I27" s="611" t="n"/>
      <c r="J27" s="597" t="n"/>
      <c r="K27" s="598">
        <f>I27+J27</f>
        <v>0</v>
      </c>
      <c r="L27" s="611" t="n"/>
      <c r="M27" s="597" t="n"/>
      <c r="N27" s="598">
        <f>L27+M27</f>
        <v>0</v>
      </c>
      <c r="O27" s="611" t="n"/>
      <c r="P27" s="597" t="n"/>
      <c r="Q27" s="598">
        <f>O27+P27</f>
        <v>0</v>
      </c>
    </row>
    <row r="28" ht="22.5" customHeight="1" s="594">
      <c r="B28" s="207" t="n"/>
      <c r="C28" s="611" t="n"/>
      <c r="D28" s="597" t="n"/>
      <c r="E28" s="598">
        <f>C28+D28</f>
        <v>0</v>
      </c>
      <c r="F28" s="611" t="n"/>
      <c r="G28" s="597" t="n"/>
      <c r="H28" s="598">
        <f>F28+G28</f>
        <v>0</v>
      </c>
      <c r="I28" s="611" t="n"/>
      <c r="J28" s="597" t="n"/>
      <c r="K28" s="598">
        <f>I28+J28</f>
        <v>0</v>
      </c>
      <c r="L28" s="611" t="n"/>
      <c r="M28" s="597" t="n"/>
      <c r="N28" s="598">
        <f>L28+M28</f>
        <v>0</v>
      </c>
      <c r="O28" s="611" t="n"/>
      <c r="P28" s="597" t="n"/>
      <c r="Q28" s="598">
        <f>O28+P28</f>
        <v>0</v>
      </c>
    </row>
    <row r="29" ht="22.5" customHeight="1" s="594">
      <c r="B29" s="207" t="n"/>
      <c r="C29" s="611" t="n"/>
      <c r="D29" s="597" t="n"/>
      <c r="E29" s="598">
        <f>C29+D29</f>
        <v>0</v>
      </c>
      <c r="F29" s="611" t="n"/>
      <c r="G29" s="597" t="n"/>
      <c r="H29" s="598">
        <f>F29+G29</f>
        <v>0</v>
      </c>
      <c r="I29" s="611" t="n"/>
      <c r="J29" s="597" t="n"/>
      <c r="K29" s="598">
        <f>I29+J29</f>
        <v>0</v>
      </c>
      <c r="L29" s="611" t="n"/>
      <c r="M29" s="597" t="n"/>
      <c r="N29" s="598">
        <f>L29+M29</f>
        <v>0</v>
      </c>
      <c r="O29" s="611" t="n"/>
      <c r="P29" s="597" t="n"/>
      <c r="Q29" s="598">
        <f>O29+P29</f>
        <v>0</v>
      </c>
    </row>
    <row r="30" ht="22.5" customHeight="1" s="594">
      <c r="B30" s="207" t="n"/>
      <c r="C30" s="611" t="n"/>
      <c r="D30" s="597" t="n"/>
      <c r="E30" s="598">
        <f>C30+D30</f>
        <v>0</v>
      </c>
      <c r="F30" s="611" t="n"/>
      <c r="G30" s="597" t="n"/>
      <c r="H30" s="598">
        <f>F30+G30</f>
        <v>0</v>
      </c>
      <c r="I30" s="611" t="n"/>
      <c r="J30" s="597" t="n"/>
      <c r="K30" s="598">
        <f>I30+J30</f>
        <v>0</v>
      </c>
      <c r="L30" s="611" t="n"/>
      <c r="M30" s="597" t="n"/>
      <c r="N30" s="598">
        <f>L30+M30</f>
        <v>0</v>
      </c>
      <c r="O30" s="611" t="n"/>
      <c r="P30" s="597" t="n"/>
      <c r="Q30" s="598">
        <f>O30+P30</f>
        <v>0</v>
      </c>
    </row>
    <row r="31" ht="22.5" customHeight="1" s="594">
      <c r="B31" s="207" t="n"/>
      <c r="C31" s="611" t="n"/>
      <c r="D31" s="597" t="n"/>
      <c r="E31" s="598">
        <f>C31+D31</f>
        <v>0</v>
      </c>
      <c r="F31" s="611" t="n"/>
      <c r="G31" s="597" t="n"/>
      <c r="H31" s="598">
        <f>F31+G31</f>
        <v>0</v>
      </c>
      <c r="I31" s="611" t="n"/>
      <c r="J31" s="597" t="n"/>
      <c r="K31" s="598">
        <f>I31+J31</f>
        <v>0</v>
      </c>
      <c r="L31" s="611" t="n"/>
      <c r="M31" s="597" t="n"/>
      <c r="N31" s="598">
        <f>L31+M31</f>
        <v>0</v>
      </c>
      <c r="O31" s="611" t="n"/>
      <c r="P31" s="597" t="n"/>
      <c r="Q31" s="598">
        <f>O31+P31</f>
        <v>0</v>
      </c>
    </row>
    <row r="32" ht="22.5" customHeight="1" s="594">
      <c r="B32" s="207" t="n"/>
      <c r="C32" s="611" t="n"/>
      <c r="D32" s="597" t="n"/>
      <c r="E32" s="598">
        <f>C32+D32</f>
        <v>0</v>
      </c>
      <c r="F32" s="611" t="n"/>
      <c r="G32" s="597" t="n"/>
      <c r="H32" s="598">
        <f>F32+G32</f>
        <v>0</v>
      </c>
      <c r="I32" s="611" t="n"/>
      <c r="J32" s="597" t="n"/>
      <c r="K32" s="598">
        <f>I32+J32</f>
        <v>0</v>
      </c>
      <c r="L32" s="611" t="n"/>
      <c r="M32" s="597" t="n"/>
      <c r="N32" s="598">
        <f>L32+M32</f>
        <v>0</v>
      </c>
      <c r="O32" s="611" t="n"/>
      <c r="P32" s="597" t="n"/>
      <c r="Q32" s="598">
        <f>O32+P32</f>
        <v>0</v>
      </c>
    </row>
    <row r="33" ht="22.5" customHeight="1" s="594">
      <c r="B33" s="207" t="n"/>
      <c r="C33" s="611" t="n"/>
      <c r="D33" s="597" t="n"/>
      <c r="E33" s="598">
        <f>C33+D33</f>
        <v>0</v>
      </c>
      <c r="F33" s="611" t="n"/>
      <c r="G33" s="597" t="n"/>
      <c r="H33" s="598">
        <f>F33+G33</f>
        <v>0</v>
      </c>
      <c r="I33" s="611" t="n"/>
      <c r="J33" s="597" t="n"/>
      <c r="K33" s="598">
        <f>I33+J33</f>
        <v>0</v>
      </c>
      <c r="L33" s="611" t="n"/>
      <c r="M33" s="597" t="n"/>
      <c r="N33" s="598">
        <f>L33+M33</f>
        <v>0</v>
      </c>
      <c r="O33" s="611" t="n"/>
      <c r="P33" s="597" t="n"/>
      <c r="Q33" s="598">
        <f>O33+P33</f>
        <v>0</v>
      </c>
    </row>
    <row r="34" ht="22.5" customHeight="1" s="594">
      <c r="B34" s="207" t="n"/>
      <c r="C34" s="611" t="n"/>
      <c r="D34" s="597" t="n"/>
      <c r="E34" s="598">
        <f>C34+D34</f>
        <v>0</v>
      </c>
      <c r="F34" s="611" t="n"/>
      <c r="G34" s="597" t="n"/>
      <c r="H34" s="598">
        <f>F34+G34</f>
        <v>0</v>
      </c>
      <c r="I34" s="611" t="n"/>
      <c r="J34" s="597" t="n"/>
      <c r="K34" s="598">
        <f>I34+J34</f>
        <v>0</v>
      </c>
      <c r="L34" s="611" t="n"/>
      <c r="M34" s="597" t="n"/>
      <c r="N34" s="598">
        <f>L34+M34</f>
        <v>0</v>
      </c>
      <c r="O34" s="611" t="n"/>
      <c r="P34" s="597" t="n"/>
      <c r="Q34" s="598">
        <f>O34+P34</f>
        <v>0</v>
      </c>
    </row>
    <row r="35" ht="22.5" customHeight="1" s="594">
      <c r="B35" s="208" t="n"/>
      <c r="C35" s="606" t="n"/>
      <c r="D35" s="613" t="n"/>
      <c r="E35" s="598">
        <f>C35+D35</f>
        <v>0</v>
      </c>
      <c r="F35" s="606" t="n"/>
      <c r="G35" s="613" t="n"/>
      <c r="H35" s="598">
        <f>F35+G35</f>
        <v>0</v>
      </c>
      <c r="I35" s="606" t="n"/>
      <c r="J35" s="613" t="n"/>
      <c r="K35" s="598">
        <f>I35+J35</f>
        <v>0</v>
      </c>
      <c r="L35" s="606" t="n"/>
      <c r="M35" s="613" t="n"/>
      <c r="N35" s="598">
        <f>L35+M35</f>
        <v>0</v>
      </c>
      <c r="O35" s="606" t="n"/>
      <c r="P35" s="613" t="n"/>
      <c r="Q35" s="598">
        <f>O35+P35</f>
        <v>0</v>
      </c>
    </row>
    <row r="36" ht="22.5" customHeight="1" s="594">
      <c r="B36" s="227" t="inlineStr">
        <is>
          <t>経費</t>
        </is>
      </c>
      <c r="C36" s="635">
        <f>SUM(C26:C35)</f>
        <v>0</v>
      </c>
      <c r="D36" s="635">
        <f>SUM(D26:D35)</f>
        <v>0</v>
      </c>
      <c r="E36" s="761">
        <f>C36+D36</f>
        <v>0</v>
      </c>
      <c r="F36" s="635">
        <f>SUM(F26:F35)</f>
        <v>0</v>
      </c>
      <c r="G36" s="635">
        <f>SUM(G26:G35)</f>
        <v>0</v>
      </c>
      <c r="H36" s="761">
        <f>F36+G36</f>
        <v>0</v>
      </c>
      <c r="I36" s="635">
        <f>SUM(I26:I35)</f>
        <v>0</v>
      </c>
      <c r="J36" s="635">
        <f>SUM(J26:J35)</f>
        <v>0</v>
      </c>
      <c r="K36" s="761">
        <f>I36+J36</f>
        <v>0</v>
      </c>
      <c r="L36" s="635">
        <f>SUM(L26:L35)</f>
        <v>0</v>
      </c>
      <c r="M36" s="635">
        <f>SUM(M26:M35)</f>
        <v>0</v>
      </c>
      <c r="N36" s="761">
        <f>L36+M36</f>
        <v>0</v>
      </c>
      <c r="O36" s="635">
        <f>SUM(O26:O35)</f>
        <v>0</v>
      </c>
      <c r="P36" s="635">
        <f>SUM(P26:P35)</f>
        <v>0</v>
      </c>
      <c r="Q36" s="761">
        <f>O36+P36</f>
        <v>0</v>
      </c>
    </row>
    <row r="37" ht="22.5" customHeight="1" s="594">
      <c r="B37" s="226" t="inlineStr">
        <is>
          <t>当期製造費用</t>
        </is>
      </c>
      <c r="C37" s="635">
        <f>C11+C18+C25+C36</f>
        <v>0</v>
      </c>
      <c r="D37" s="635">
        <f>D11+D18+D25+D36</f>
        <v>0</v>
      </c>
      <c r="E37" s="760">
        <f>C37+D37</f>
        <v>0</v>
      </c>
      <c r="F37" s="635">
        <f>F11+F18+F25+F36</f>
        <v>0</v>
      </c>
      <c r="G37" s="635">
        <f>G11+G18+G25+G36</f>
        <v>0</v>
      </c>
      <c r="H37" s="760">
        <f>F37+G37</f>
        <v>0</v>
      </c>
      <c r="I37" s="635">
        <f>I11+I18+I25+I36</f>
        <v>0</v>
      </c>
      <c r="J37" s="635">
        <f>J11+J18+J25+J36</f>
        <v>0</v>
      </c>
      <c r="K37" s="760">
        <f>I37+J37</f>
        <v>0</v>
      </c>
      <c r="L37" s="635">
        <f>L11+L18+L25+L36</f>
        <v>0</v>
      </c>
      <c r="M37" s="635">
        <f>M11+M18+M25+M36</f>
        <v>0</v>
      </c>
      <c r="N37" s="760">
        <f>L37+M37</f>
        <v>0</v>
      </c>
      <c r="O37" s="635">
        <f>O11+O18+O25+O36</f>
        <v>0</v>
      </c>
      <c r="P37" s="635">
        <f>P11+P18+P25+P36</f>
        <v>0</v>
      </c>
      <c r="Q37" s="760">
        <f>O37+P37</f>
        <v>0</v>
      </c>
    </row>
    <row r="38" ht="22.5" customHeight="1" s="594">
      <c r="B38" s="228" t="inlineStr">
        <is>
          <t>期首仕掛品棚卸高</t>
        </is>
      </c>
      <c r="C38" s="606" t="n"/>
      <c r="D38" s="613" t="n"/>
      <c r="E38" s="598">
        <f>C38+D38</f>
        <v>0</v>
      </c>
      <c r="F38" s="606" t="n"/>
      <c r="G38" s="613" t="n"/>
      <c r="H38" s="598">
        <f>F38+G38</f>
        <v>0</v>
      </c>
      <c r="I38" s="606" t="n"/>
      <c r="J38" s="613" t="n"/>
      <c r="K38" s="598">
        <f>I38+J38</f>
        <v>0</v>
      </c>
      <c r="L38" s="606" t="n"/>
      <c r="M38" s="613" t="n"/>
      <c r="N38" s="598">
        <f>L38+M38</f>
        <v>0</v>
      </c>
      <c r="O38" s="606" t="n"/>
      <c r="P38" s="613" t="n"/>
      <c r="Q38" s="598">
        <f>O38+P38</f>
        <v>0</v>
      </c>
    </row>
    <row r="39" ht="22.5" customHeight="1" s="594">
      <c r="B39" s="212" t="inlineStr">
        <is>
          <t>合計</t>
        </is>
      </c>
      <c r="C39" s="635">
        <f>SUM(C37:C38)</f>
        <v>0</v>
      </c>
      <c r="D39" s="635">
        <f>SUM(D37:D38)</f>
        <v>0</v>
      </c>
      <c r="E39" s="760">
        <f>C39+D39</f>
        <v>0</v>
      </c>
      <c r="F39" s="635">
        <f>SUM(F37:F38)</f>
        <v>0</v>
      </c>
      <c r="G39" s="635">
        <f>SUM(G37:G38)</f>
        <v>0</v>
      </c>
      <c r="H39" s="760">
        <f>F39+G39</f>
        <v>0</v>
      </c>
      <c r="I39" s="635">
        <f>SUM(I37:I38)</f>
        <v>0</v>
      </c>
      <c r="J39" s="635">
        <f>SUM(J37:J38)</f>
        <v>0</v>
      </c>
      <c r="K39" s="760">
        <f>I39+J39</f>
        <v>0</v>
      </c>
      <c r="L39" s="635">
        <f>SUM(L37:L38)</f>
        <v>0</v>
      </c>
      <c r="M39" s="635">
        <f>SUM(M37:M38)</f>
        <v>0</v>
      </c>
      <c r="N39" s="760">
        <f>L39+M39</f>
        <v>0</v>
      </c>
      <c r="O39" s="635">
        <f>SUM(O37:O38)</f>
        <v>0</v>
      </c>
      <c r="P39" s="635">
        <f>SUM(P37:P38)</f>
        <v>0</v>
      </c>
      <c r="Q39" s="760">
        <f>O39+P39</f>
        <v>0</v>
      </c>
    </row>
    <row r="40" ht="22.5" customHeight="1" s="594">
      <c r="B40" s="229" t="inlineStr">
        <is>
          <t>期末仕掛品棚卸高</t>
        </is>
      </c>
      <c r="C40" s="660" t="n"/>
      <c r="D40" s="762" t="n"/>
      <c r="E40" s="763">
        <f>C40+D40</f>
        <v>0</v>
      </c>
      <c r="F40" s="660" t="n"/>
      <c r="G40" s="762" t="n"/>
      <c r="H40" s="763">
        <f>F40+G40</f>
        <v>0</v>
      </c>
      <c r="I40" s="660" t="n"/>
      <c r="J40" s="762" t="n"/>
      <c r="K40" s="763">
        <f>I40+J40</f>
        <v>0</v>
      </c>
      <c r="L40" s="660" t="n"/>
      <c r="M40" s="762" t="n"/>
      <c r="N40" s="763">
        <f>L40+M40</f>
        <v>0</v>
      </c>
      <c r="O40" s="660" t="n"/>
      <c r="P40" s="762" t="n"/>
      <c r="Q40" s="763">
        <f>O40+P40</f>
        <v>0</v>
      </c>
    </row>
    <row r="41" ht="22.5" customHeight="1" s="594" thickBot="1">
      <c r="B41" s="212" t="inlineStr">
        <is>
          <t>当期製造原価</t>
        </is>
      </c>
      <c r="C41" s="635">
        <f>C39-C40</f>
        <v>0</v>
      </c>
      <c r="D41" s="635">
        <f>D39-D40</f>
        <v>0</v>
      </c>
      <c r="E41" s="759">
        <f>C41+D41</f>
        <v>0</v>
      </c>
      <c r="F41" s="635">
        <f>F39-F40</f>
        <v>0</v>
      </c>
      <c r="G41" s="635">
        <f>G39-G40</f>
        <v>0</v>
      </c>
      <c r="H41" s="759">
        <f>F41+G41</f>
        <v>0</v>
      </c>
      <c r="I41" s="635">
        <f>I39-I40</f>
        <v>0</v>
      </c>
      <c r="J41" s="635">
        <f>J39-J40</f>
        <v>0</v>
      </c>
      <c r="K41" s="759">
        <f>I41+J41</f>
        <v>0</v>
      </c>
      <c r="L41" s="635">
        <f>L39-L40</f>
        <v>0</v>
      </c>
      <c r="M41" s="635">
        <f>M39-M40</f>
        <v>0</v>
      </c>
      <c r="N41" s="759">
        <f>L41+M41</f>
        <v>0</v>
      </c>
      <c r="O41" s="635">
        <f>O39-O40</f>
        <v>0</v>
      </c>
      <c r="P41" s="635">
        <f>P39-P40</f>
        <v>0</v>
      </c>
      <c r="Q41" s="759">
        <f>O41+P41</f>
        <v>0</v>
      </c>
    </row>
    <row r="42">
      <c r="C42" s="609" t="n"/>
      <c r="D42" s="609" t="n"/>
      <c r="E42" s="609" t="n"/>
      <c r="F42" s="609" t="n"/>
      <c r="G42" s="609" t="n"/>
      <c r="H42" s="609" t="n"/>
      <c r="I42" s="609" t="n"/>
      <c r="J42" s="609" t="n"/>
      <c r="K42" s="609" t="n"/>
      <c r="L42" s="609" t="n"/>
      <c r="M42" s="609" t="n"/>
      <c r="N42" s="609" t="n"/>
      <c r="O42" s="609" t="n"/>
      <c r="P42" s="609" t="n"/>
      <c r="Q42" s="609" t="n"/>
    </row>
    <row r="43">
      <c r="C43" s="609" t="n"/>
      <c r="D43" s="609" t="n"/>
      <c r="E43" s="609" t="n"/>
      <c r="F43" s="609" t="n"/>
      <c r="G43" s="609" t="n"/>
      <c r="H43" s="609" t="n"/>
      <c r="I43" s="609" t="n"/>
      <c r="J43" s="609" t="n"/>
      <c r="K43" s="609" t="n"/>
      <c r="L43" s="609" t="n"/>
      <c r="M43" s="609" t="n"/>
      <c r="N43" s="609" t="n"/>
      <c r="O43" s="609" t="n"/>
      <c r="P43" s="609" t="n"/>
      <c r="Q43" s="609" t="n"/>
    </row>
    <row r="44">
      <c r="C44" s="609" t="n"/>
      <c r="D44" s="609" t="n"/>
      <c r="E44" s="609" t="n"/>
      <c r="F44" s="609" t="n"/>
      <c r="G44" s="609" t="n"/>
      <c r="H44" s="609" t="n"/>
      <c r="I44" s="609" t="n"/>
      <c r="J44" s="609" t="n"/>
      <c r="K44" s="609" t="n"/>
      <c r="L44" s="609" t="n"/>
      <c r="M44" s="609" t="n"/>
      <c r="N44" s="609" t="n"/>
      <c r="O44" s="609" t="n"/>
      <c r="P44" s="609" t="n"/>
      <c r="Q44" s="609" t="n"/>
    </row>
  </sheetData>
  <mergeCells count="1">
    <mergeCell ref="B3:B4"/>
  </mergeCells>
  <pageMargins left="0.7" right="0.7" top="0.75" bottom="0.75" header="0.3" footer="0.3"/>
</worksheet>
</file>

<file path=xl/worksheets/sheet25.xml><?xml version="1.0" encoding="utf-8"?>
<worksheet xmlns="http://schemas.openxmlformats.org/spreadsheetml/2006/main">
  <sheetPr>
    <tabColor rgb="FF00B0F0"/>
    <outlinePr summaryBelow="1" summaryRight="1"/>
    <pageSetUpPr/>
  </sheetPr>
  <dimension ref="B2:M13"/>
  <sheetViews>
    <sheetView showGridLines="0" topLeftCell="C1" zoomScaleNormal="100" workbookViewId="0">
      <selection activeCell="B6" sqref="B6"/>
    </sheetView>
  </sheetViews>
  <sheetFormatPr baseColWidth="8" defaultRowHeight="18"/>
  <cols>
    <col width="18.59765625" customWidth="1" style="594" min="2" max="3"/>
    <col width="29" bestFit="1" customWidth="1" style="594" min="5" max="5"/>
    <col width="18.59765625" customWidth="1" style="594" min="6" max="8"/>
    <col width="20.19921875" customWidth="1" style="594" min="10" max="13"/>
  </cols>
  <sheetData>
    <row r="2">
      <c r="C2" s="73" t="inlineStr">
        <is>
          <t>(単位：千円)</t>
        </is>
      </c>
      <c r="H2" s="73" t="inlineStr">
        <is>
          <t>(単位：千円)</t>
        </is>
      </c>
      <c r="M2" s="73" t="inlineStr">
        <is>
          <t>(単位：千円)</t>
        </is>
      </c>
    </row>
    <row r="3" ht="22.05" customHeight="1" s="594">
      <c r="B3" s="2" t="str">
        <f>'BS(借方)'!E4</f>
        <v>令和8年3月期</v>
      </c>
      <c r="C3" s="3" t="inlineStr">
        <is>
          <t>金額</t>
        </is>
      </c>
      <c r="E3" s="2" t="n"/>
      <c r="F3" s="2" t="str">
        <f>'BS(借方)'!C4</f>
        <v>令和6年3月期</v>
      </c>
      <c r="G3" s="2" t="str">
        <f>'BS(借方)'!D4</f>
        <v>令和7年3月期</v>
      </c>
      <c r="H3" s="2" t="str">
        <f>'BS(借方)'!E4</f>
        <v>令和8年3月期</v>
      </c>
      <c r="J3" s="2" t="inlineStr">
        <is>
          <t>営業権倍率</t>
        </is>
      </c>
      <c r="K3" s="2" t="inlineStr">
        <is>
          <t>x1</t>
        </is>
      </c>
      <c r="L3" s="2" t="inlineStr">
        <is>
          <t>x2</t>
        </is>
      </c>
      <c r="M3" s="2" t="inlineStr">
        <is>
          <t>x3</t>
        </is>
      </c>
    </row>
    <row r="4" ht="31.95" customFormat="1" customHeight="1" s="541">
      <c r="B4" s="75" t="inlineStr">
        <is>
          <t>簿価純資産額</t>
        </is>
      </c>
      <c r="C4" s="632">
        <f>'修正BS(貸方) '!C52</f>
        <v>326908762</v>
      </c>
      <c r="E4" s="75" t="inlineStr">
        <is>
          <t>簿価営業利益</t>
        </is>
      </c>
      <c r="F4" s="632">
        <f>'修正PL'!C17</f>
        <v>-4954944</v>
      </c>
      <c r="G4" s="632">
        <f>'修正PL'!F17</f>
        <v>220847494</v>
      </c>
      <c r="H4" s="632">
        <f>'修正PL'!I17</f>
        <v>870806</v>
      </c>
      <c r="J4" s="436" t="inlineStr">
        <is>
          <t>時価純資産</t>
        </is>
      </c>
      <c r="K4" s="764">
        <f>C7</f>
        <v>320002051</v>
      </c>
      <c r="L4" s="765" t="n"/>
      <c r="M4" s="765" t="n"/>
    </row>
    <row r="5" ht="31.95" customFormat="1" customHeight="1" s="541" thickBot="1">
      <c r="B5" s="435" t="inlineStr">
        <is>
          <t>修正額</t>
        </is>
      </c>
      <c r="C5" s="696">
        <f>'修正BS(貸方) '!D50</f>
        <v>-10464714</v>
      </c>
      <c r="E5" s="435" t="inlineStr">
        <is>
          <t>修正額</t>
        </is>
      </c>
      <c r="F5" s="696">
        <f>'修正PL'!D17</f>
        <v>-12286514</v>
      </c>
      <c r="G5" s="696">
        <f>'修正PL'!G17</f>
        <v>-248048130</v>
      </c>
      <c r="H5" s="696">
        <f>'修正PL'!J17</f>
        <v>-14948948</v>
      </c>
      <c r="J5" s="426" t="inlineStr">
        <is>
          <t>営業権</t>
        </is>
      </c>
      <c r="K5" s="604">
        <f>MAX(0,H10*1)</f>
        <v>0</v>
      </c>
      <c r="L5" s="766">
        <f>MAX(0,H10*2)</f>
        <v>0</v>
      </c>
      <c r="M5" s="766">
        <f>MAX(0,H10*3)</f>
        <v>0</v>
      </c>
    </row>
    <row r="6" ht="31.95" customFormat="1" customHeight="1" s="541" thickBot="1">
      <c r="B6" s="435" t="inlineStr">
        <is>
          <t>税効果</t>
        </is>
      </c>
      <c r="C6" s="696">
        <f>'修正BS(貸方) '!D51</f>
        <v>3558003</v>
      </c>
      <c r="E6" s="373" t="inlineStr">
        <is>
          <t>修正後営業利益</t>
        </is>
      </c>
      <c r="F6" s="667">
        <f>SUM(F4:F5)</f>
        <v>-17241458</v>
      </c>
      <c r="G6" s="667">
        <f>SUM(G4:G5)</f>
        <v>-27200636</v>
      </c>
      <c r="H6" s="667">
        <f>SUM(H4:H5)</f>
        <v>-14078142</v>
      </c>
      <c r="J6" s="377" t="inlineStr">
        <is>
          <t>想定株式価値</t>
        </is>
      </c>
      <c r="K6" s="767">
        <f>K4+K5</f>
        <v>320002051</v>
      </c>
      <c r="L6" s="767">
        <f>K4+L5</f>
        <v>320002051</v>
      </c>
      <c r="M6" s="768">
        <f>K4+M5</f>
        <v>320002051</v>
      </c>
    </row>
    <row r="7" ht="31.95" customFormat="1" customHeight="1" s="541" thickBot="1">
      <c r="B7" s="351" t="inlineStr">
        <is>
          <t>時価純資産</t>
        </is>
      </c>
      <c r="C7" s="701">
        <f>SUM(C4:C6)</f>
        <v>320002051</v>
      </c>
      <c r="E7" s="435" t="inlineStr">
        <is>
          <t>税考慮額</t>
        </is>
      </c>
      <c r="F7" s="696">
        <f>-F6*0.34</f>
        <v>5862095.72</v>
      </c>
      <c r="G7" s="696">
        <f>-G6*0.34</f>
        <v>9248216.24</v>
      </c>
      <c r="H7" s="696">
        <f>-H6*0.34</f>
        <v>4786568.28</v>
      </c>
    </row>
    <row r="8" ht="31.95" customFormat="1" customHeight="1" s="541">
      <c r="E8" s="375" t="inlineStr">
        <is>
          <t>修正後税考慮後営業利益</t>
        </is>
      </c>
      <c r="F8" s="701">
        <f>SUM(F6:F7)</f>
        <v>-11379362.28</v>
      </c>
      <c r="G8" s="701">
        <f>SUM(G6:G7)</f>
        <v>-17952419.76</v>
      </c>
      <c r="H8" s="701">
        <f>SUM(H6:H7)</f>
        <v>-9291573.72</v>
      </c>
    </row>
    <row r="9" ht="15.6" customFormat="1" customHeight="1" s="541" thickBot="1"/>
    <row r="10" ht="31.95" customFormat="1" customHeight="1" s="541">
      <c r="G10" s="769" t="inlineStr">
        <is>
          <t>基準営業利益</t>
        </is>
      </c>
      <c r="H10" s="701">
        <f>(H8*0.5+G8*0.3+F8*0.2)</f>
        <v>-12307385.244</v>
      </c>
    </row>
    <row r="12">
      <c r="B12" s="753" t="inlineStr">
        <is>
          <t>※基準営業利益がマイナスの場合、営業権は0（マイナスの営業権は計上しない）。</t>
        </is>
      </c>
    </row>
    <row r="13">
      <c r="B13" s="753" t="inlineStr">
        <is>
          <t>※修正後営業利益は修正PL（不動産売却・賃貸等の非継続損益、コンサル収入を除外）。新体制の役員報酬は未確認のため置換していない。</t>
        </is>
      </c>
    </row>
  </sheetData>
  <pageMargins left="0.7" right="0.7" top="0.75" bottom="0.75" header="0.3" footer="0.3"/>
</worksheet>
</file>

<file path=xl/worksheets/sheet26.xml><?xml version="1.0" encoding="utf-8"?>
<worksheet xmlns="http://schemas.openxmlformats.org/spreadsheetml/2006/main">
  <sheetPr>
    <tabColor rgb="FF00B0F0"/>
    <outlinePr summaryBelow="1" summaryRight="1"/>
    <pageSetUpPr/>
  </sheetPr>
  <dimension ref="B2:M12"/>
  <sheetViews>
    <sheetView showGridLines="0" zoomScaleNormal="100" workbookViewId="0">
      <selection activeCell="E9" sqref="E9"/>
    </sheetView>
  </sheetViews>
  <sheetFormatPr baseColWidth="8" defaultRowHeight="18"/>
  <cols>
    <col width="18.59765625" customWidth="1" style="594" min="2" max="3"/>
    <col width="26" bestFit="1" customWidth="1" style="594" min="5" max="5"/>
    <col width="18.59765625" customWidth="1" style="594" min="6" max="8"/>
    <col width="26" bestFit="1" customWidth="1" style="594" min="10" max="10"/>
    <col width="20.19921875" customWidth="1" style="594" min="11" max="13"/>
  </cols>
  <sheetData>
    <row r="2">
      <c r="C2" s="73" t="inlineStr">
        <is>
          <t>(単位：千円)</t>
        </is>
      </c>
      <c r="H2" s="73" t="inlineStr">
        <is>
          <t>(単位：千円)</t>
        </is>
      </c>
      <c r="M2" s="73" t="inlineStr">
        <is>
          <t>(単位：千円)</t>
        </is>
      </c>
    </row>
    <row r="3" ht="22.05" customHeight="1" s="594">
      <c r="B3" s="2" t="str">
        <f>'BS(借方)'!E4</f>
        <v>令和8年3月期</v>
      </c>
      <c r="C3" s="3" t="inlineStr">
        <is>
          <t>金額</t>
        </is>
      </c>
      <c r="E3" s="2" t="n"/>
      <c r="F3" s="2" t="str">
        <f>'BS(借方)'!C4</f>
        <v>令和6年3月期</v>
      </c>
      <c r="G3" s="2" t="str">
        <f>'BS(借方)'!D4</f>
        <v>令和7年3月期</v>
      </c>
      <c r="H3" s="2" t="str">
        <f>'BS(借方)'!E4</f>
        <v>令和8年3月期</v>
      </c>
      <c r="J3" s="2" t="inlineStr">
        <is>
          <t>マルチプル倍率</t>
        </is>
      </c>
      <c r="K3" s="2" t="inlineStr">
        <is>
          <t>x3</t>
        </is>
      </c>
      <c r="L3" s="2" t="inlineStr">
        <is>
          <t>x4</t>
        </is>
      </c>
      <c r="M3" s="2" t="inlineStr">
        <is>
          <t>x5</t>
        </is>
      </c>
    </row>
    <row r="4" ht="31.95" customFormat="1" customHeight="1" s="541">
      <c r="B4" s="346" t="inlineStr">
        <is>
          <t>キャッシュライク</t>
        </is>
      </c>
      <c r="C4" s="632">
        <f>'ネットキャッシュ'!C13</f>
        <v>236935709</v>
      </c>
      <c r="E4" s="75" t="inlineStr">
        <is>
          <t>簿価営業利益</t>
        </is>
      </c>
      <c r="F4" s="632">
        <f>'修正PL'!C17</f>
        <v>-4954944</v>
      </c>
      <c r="G4" s="632">
        <f>'修正PL'!F17</f>
        <v>220847494</v>
      </c>
      <c r="H4" s="632">
        <f>'修正PL'!I17</f>
        <v>870806</v>
      </c>
      <c r="J4" s="436" t="inlineStr">
        <is>
          <t>EV（EBITDA×倍率）</t>
        </is>
      </c>
      <c r="K4" s="770" t="str">
        <f>IF($H$10&lt;=0,"算定不能",$H$10*3)</f>
        <v>算定不能</v>
      </c>
      <c r="L4" s="771" t="str">
        <f>IF($H$10&lt;=0,"算定不能",$H$10*4)</f>
        <v>算定不能</v>
      </c>
      <c r="M4" s="771" t="str">
        <f>IF($H$10&lt;=0,"算定不能",$H$10*5)</f>
        <v>算定不能</v>
      </c>
    </row>
    <row r="5" ht="31.95" customFormat="1" customHeight="1" s="541" thickBot="1">
      <c r="B5" s="372" t="inlineStr">
        <is>
          <t>デットライク</t>
        </is>
      </c>
      <c r="C5" s="696">
        <f>'ネットキャッシュ'!F13</f>
        <v>445919806</v>
      </c>
      <c r="E5" s="435" t="inlineStr">
        <is>
          <t>修正額</t>
        </is>
      </c>
      <c r="F5" s="696">
        <f>'修正PL'!D17</f>
        <v>-12286514</v>
      </c>
      <c r="G5" s="696">
        <f>'修正PL'!G17</f>
        <v>-248048130</v>
      </c>
      <c r="H5" s="696">
        <f>'修正PL'!J17</f>
        <v>-14948948</v>
      </c>
      <c r="J5" s="425" t="inlineStr">
        <is>
          <t>非流動性ディスカウント</t>
        </is>
      </c>
      <c r="K5" s="770" t="str">
        <f>IF(ISNUMBER(K4),-K4*0.3,"－")</f>
        <v>－</v>
      </c>
      <c r="L5" s="770" t="str">
        <f>IF(ISNUMBER(L4),-L4*0.3,"－")</f>
        <v>－</v>
      </c>
      <c r="M5" s="770" t="str">
        <f>IF(ISNUMBER(M4),-M4*0.3,"－")</f>
        <v>－</v>
      </c>
    </row>
    <row r="6" ht="31.95" customFormat="1" customHeight="1" s="541" thickBot="1">
      <c r="B6" s="351" t="inlineStr">
        <is>
          <t>ネットキャッシュ</t>
        </is>
      </c>
      <c r="C6" s="701">
        <f>C4-C5</f>
        <v>-208984097</v>
      </c>
      <c r="E6" s="373" t="inlineStr">
        <is>
          <t>修正後営業利益</t>
        </is>
      </c>
      <c r="F6" s="667">
        <f>SUM(F4:F5)</f>
        <v>-17241458</v>
      </c>
      <c r="G6" s="667">
        <f>SUM(G4:G5)</f>
        <v>-27200636</v>
      </c>
      <c r="H6" s="667">
        <f>SUM(H4:H5)</f>
        <v>-14078142</v>
      </c>
      <c r="J6" s="426" t="str">
        <f>B6</f>
        <v>ネットキャッシュ</v>
      </c>
      <c r="K6" s="772">
        <f>C6</f>
        <v>-208984097</v>
      </c>
      <c r="L6" s="773" t="n"/>
      <c r="M6" s="773" t="n"/>
    </row>
    <row r="7" ht="31.95" customFormat="1" customHeight="1" s="541" thickBot="1">
      <c r="E7" s="435" t="inlineStr">
        <is>
          <t>減価償却費</t>
        </is>
      </c>
      <c r="F7" s="696">
        <f>SGA!C10</f>
        <v>4594828</v>
      </c>
      <c r="G7" s="696">
        <f>SGA!E10</f>
        <v>14219250</v>
      </c>
      <c r="H7" s="696">
        <f>SGA!G10</f>
        <v>11895803</v>
      </c>
      <c r="J7" s="377" t="inlineStr">
        <is>
          <t>想定株式価値</t>
        </is>
      </c>
      <c r="K7" s="774" t="str">
        <f>IF(ISNUMBER(K4),K4+K5+$K$6,"算定不能")</f>
        <v>算定不能</v>
      </c>
      <c r="L7" s="774" t="str">
        <f>IF(ISNUMBER(L4),L4+L5+$K$6,"算定不能")</f>
        <v>算定不能</v>
      </c>
      <c r="M7" s="775" t="str">
        <f>IF(ISNUMBER(M4),M4+M5+$K$6,"算定不能")</f>
        <v>算定不能</v>
      </c>
    </row>
    <row r="8" ht="31.95" customFormat="1" customHeight="1" s="541">
      <c r="E8" s="374" t="inlineStr">
        <is>
          <t>修正後EBITDA</t>
        </is>
      </c>
      <c r="F8" s="701">
        <f>SUM(F6:F7)</f>
        <v>-12646630</v>
      </c>
      <c r="G8" s="701">
        <f>SUM(G6:G7)</f>
        <v>-12981386</v>
      </c>
      <c r="H8" s="701">
        <f>SUM(H6:H7)</f>
        <v>-2182339</v>
      </c>
    </row>
    <row r="9" ht="15.6" customFormat="1" customHeight="1" s="541" thickBot="1"/>
    <row r="10" ht="31.95" customFormat="1" customHeight="1" s="541">
      <c r="G10" s="769" t="inlineStr">
        <is>
          <t>基準EBITDA</t>
        </is>
      </c>
      <c r="H10" s="701">
        <f>(H8*0.5+G8*0.3+F8*0.2)</f>
        <v>-7514911.3</v>
      </c>
    </row>
    <row r="12">
      <c r="B12" s="753" t="inlineStr">
        <is>
          <t>※基準EBITDAがマイナスのためEVは算定不能。ネットキャッシュのみの価値（参考）は評価結果に採用しない。</t>
        </is>
      </c>
    </row>
  </sheetData>
  <pageMargins left="0.7" right="0.7" top="0.75" bottom="0.75" header="0.3" footer="0.3"/>
</worksheet>
</file>

<file path=xl/worksheets/sheet27.xml><?xml version="1.0" encoding="utf-8"?>
<worksheet xmlns="http://schemas.openxmlformats.org/spreadsheetml/2006/main">
  <sheetPr>
    <tabColor rgb="FF00B0F0"/>
    <outlinePr summaryBelow="1" summaryRight="1"/>
    <pageSetUpPr/>
  </sheetPr>
  <dimension ref="B2:E15"/>
  <sheetViews>
    <sheetView showGridLines="0" zoomScaleNormal="100" workbookViewId="0">
      <selection activeCell="E12" sqref="E12"/>
    </sheetView>
  </sheetViews>
  <sheetFormatPr baseColWidth="8" defaultRowHeight="18"/>
  <cols>
    <col width="36.59765625" customWidth="1" style="594" min="2" max="2"/>
    <col width="18.59765625" customWidth="1" style="594" min="3" max="3"/>
    <col width="55.09765625" customWidth="1" style="594" min="4" max="4"/>
    <col width="18.59765625" customWidth="1" style="594" min="5" max="5"/>
  </cols>
  <sheetData>
    <row r="2">
      <c r="E2" s="73" t="inlineStr">
        <is>
          <t>(単位：千円)</t>
        </is>
      </c>
    </row>
    <row r="3" ht="22.05" customHeight="1" s="594">
      <c r="B3" s="2" t="inlineStr">
        <is>
          <t>企業名</t>
        </is>
      </c>
      <c r="C3" s="116" t="inlineStr">
        <is>
          <t>所在地</t>
        </is>
      </c>
      <c r="D3" s="116" t="inlineStr">
        <is>
          <t>事業内容</t>
        </is>
      </c>
      <c r="E3" s="3" t="inlineStr">
        <is>
          <t>EV/EVIDA倍率</t>
        </is>
      </c>
    </row>
    <row r="4" ht="31.95" customHeight="1" s="594">
      <c r="B4" s="75" t="inlineStr">
        <is>
          <t>（適用なし）正常EBITDAがマイナスのため、類似上場会社の倍率は適用していない。</t>
        </is>
      </c>
      <c r="C4" s="386" t="n"/>
      <c r="D4" s="386" t="n"/>
      <c r="E4" s="776" t="n"/>
    </row>
    <row r="5" ht="31.95" customHeight="1" s="594">
      <c r="B5" s="425" t="n"/>
      <c r="C5" s="387" t="n"/>
      <c r="D5" s="387" t="n"/>
      <c r="E5" s="777" t="n"/>
    </row>
    <row r="6" ht="31.95" customHeight="1" s="594">
      <c r="B6" s="425" t="n"/>
      <c r="C6" s="387" t="n"/>
      <c r="D6" s="387" t="n"/>
      <c r="E6" s="777" t="n"/>
    </row>
    <row r="7" ht="31.95" customHeight="1" s="594">
      <c r="B7" s="425" t="n"/>
      <c r="C7" s="387" t="n"/>
      <c r="D7" s="387" t="n"/>
      <c r="E7" s="777" t="n"/>
    </row>
    <row r="8" ht="31.95" customHeight="1" s="594">
      <c r="B8" s="425" t="n"/>
      <c r="C8" s="387" t="n"/>
      <c r="D8" s="387" t="n"/>
      <c r="E8" s="777" t="n"/>
    </row>
    <row r="9" ht="31.95" customHeight="1" s="594">
      <c r="B9" s="425" t="n"/>
      <c r="C9" s="387" t="n"/>
      <c r="D9" s="387" t="n"/>
      <c r="E9" s="777" t="n"/>
    </row>
    <row r="10" ht="31.95" customHeight="1" s="594">
      <c r="B10" s="425" t="n"/>
      <c r="C10" s="387" t="n"/>
      <c r="D10" s="387" t="n"/>
      <c r="E10" s="777" t="n"/>
    </row>
    <row r="11" ht="31.95" customHeight="1" s="594">
      <c r="B11" s="425" t="n"/>
      <c r="C11" s="387" t="n"/>
      <c r="D11" s="387" t="n"/>
      <c r="E11" s="777" t="n"/>
    </row>
    <row r="12" ht="31.95" customHeight="1" s="594">
      <c r="B12" s="425" t="n"/>
      <c r="C12" s="387" t="n"/>
      <c r="D12" s="387" t="n"/>
      <c r="E12" s="777" t="n"/>
    </row>
    <row r="13" ht="31.95" customHeight="1" s="594" thickBot="1">
      <c r="B13" s="426" t="n"/>
      <c r="C13" s="388" t="n"/>
      <c r="D13" s="388" t="n"/>
      <c r="E13" s="778" t="n"/>
    </row>
    <row r="14" ht="31.95" customHeight="1" s="594">
      <c r="B14" s="384" t="n"/>
      <c r="C14" s="384" t="n"/>
      <c r="D14" s="389" t="inlineStr">
        <is>
          <t>平均値</t>
        </is>
      </c>
      <c r="E14" s="779" t="str">
        <f>IFERROR(AVERAGE(E4:E13),"－")</f>
        <v>－</v>
      </c>
    </row>
    <row r="15" ht="31.95" customHeight="1" s="594">
      <c r="B15" s="385" t="n"/>
      <c r="C15" s="385" t="n"/>
      <c r="D15" s="390" t="inlineStr">
        <is>
          <t>中央値</t>
        </is>
      </c>
      <c r="E15" s="780" t="str">
        <f>IFERROR(MEDIAN(E4:E13),"－")</f>
        <v>－</v>
      </c>
    </row>
    <row r="16" ht="31.95" customHeight="1" s="594"/>
    <row r="17" ht="31.95" customHeight="1" s="594"/>
    <row r="18" ht="15.6" customHeight="1" s="594"/>
    <row r="19" ht="31.95" customHeight="1" s="594"/>
  </sheetData>
  <pageMargins left="0.7" right="0.7" top="0.75" bottom="0.75" header="0.3" footer="0.3"/>
</worksheet>
</file>

<file path=xl/worksheets/sheet28.xml><?xml version="1.0" encoding="utf-8"?>
<worksheet xmlns="http://schemas.openxmlformats.org/spreadsheetml/2006/main">
  <sheetPr>
    <tabColor theme="7" tint="-0.499984740745262"/>
    <outlinePr summaryBelow="1" summaryRight="1"/>
    <pageSetUpPr/>
  </sheetPr>
  <dimension ref="A1:A1"/>
  <sheetViews>
    <sheetView showGridLines="0" topLeftCell="M1" workbookViewId="0">
      <selection activeCell="C22" sqref="C22"/>
    </sheetView>
  </sheetViews>
  <sheetFormatPr baseColWidth="8" defaultRowHeight="18"/>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B2:C15"/>
  <sheetViews>
    <sheetView showGridLines="0" zoomScaleNormal="100" workbookViewId="0">
      <selection activeCell="C15" sqref="C15"/>
    </sheetView>
  </sheetViews>
  <sheetFormatPr baseColWidth="8" defaultRowHeight="18"/>
  <cols>
    <col width="8.796875" customWidth="1" style="65" min="1" max="1"/>
    <col width="15" customWidth="1" style="65" min="2" max="2"/>
    <col width="74" customWidth="1" style="65" min="3" max="3"/>
    <col width="8.796875" customWidth="1" style="65" min="4" max="16384"/>
  </cols>
  <sheetData>
    <row r="2" ht="19.8" customHeight="1" s="594">
      <c r="B2" s="63" t="inlineStr">
        <is>
          <t>項目</t>
        </is>
      </c>
      <c r="C2" s="64" t="inlineStr">
        <is>
          <t>内容</t>
        </is>
      </c>
    </row>
    <row r="3" ht="21" customHeight="1" s="594">
      <c r="B3" s="781" t="inlineStr">
        <is>
          <t>会社名</t>
        </is>
      </c>
      <c r="C3" s="782" t="inlineStr">
        <is>
          <t>ウエスト・シークル株式会社</t>
        </is>
      </c>
    </row>
    <row r="4" ht="21" customHeight="1" s="594">
      <c r="B4" s="783" t="inlineStr">
        <is>
          <t>本社所在地</t>
        </is>
      </c>
      <c r="C4" s="784" t="inlineStr">
        <is>
          <t>神奈川県鎌倉市鎌倉山三丁目2番31号</t>
        </is>
      </c>
    </row>
    <row r="5" ht="63" customHeight="1" s="594">
      <c r="B5" s="783" t="inlineStr">
        <is>
          <t>その他拠点</t>
        </is>
      </c>
      <c r="C5" s="784" t="inlineStr">
        <is>
          <t>紀尾井町店（東京都千代田区／賃借）
大船店（神奈川県鎌倉市／賃借）
※所在地の詳細は要確認。四谷店は令和6年3月期を最後に売上計上なし（閉店と推察・要確認）</t>
        </is>
      </c>
    </row>
    <row r="6" ht="35" customHeight="1" s="594">
      <c r="B6" s="783" t="inlineStr">
        <is>
          <t>設立/創業</t>
        </is>
      </c>
      <c r="C6" s="784" t="inlineStr">
        <is>
          <t>要確認（登記事項証明書未受領）
※鎌倉山店「ル・ミリュウ」は2010年開業（Web情報・要確認）</t>
        </is>
      </c>
    </row>
    <row r="7" ht="21" customHeight="1" s="594">
      <c r="B7" s="783" t="inlineStr">
        <is>
          <t>資本金</t>
        </is>
      </c>
      <c r="C7" s="784" t="inlineStr">
        <is>
          <t>500千円</t>
        </is>
      </c>
    </row>
    <row r="8" ht="21" customHeight="1" s="594">
      <c r="B8" s="783" t="inlineStr">
        <is>
          <t>代表者</t>
        </is>
      </c>
      <c r="C8" s="784" t="inlineStr">
        <is>
          <t>西丸 修（代表取締役）</t>
        </is>
      </c>
    </row>
    <row r="9" ht="35" customHeight="1" s="594">
      <c r="B9" s="783" t="inlineStr">
        <is>
          <t>株主</t>
        </is>
      </c>
      <c r="C9" s="784" t="inlineStr">
        <is>
          <t>西丸 修（100株/100％）
※法人税申告書 別表二（令和8年3月期）より。株主名簿は未受領・要確認</t>
        </is>
      </c>
    </row>
    <row r="10" ht="49" customHeight="1" s="594">
      <c r="B10" s="783" t="inlineStr">
        <is>
          <t>事業内容</t>
        </is>
      </c>
      <c r="C10" s="784" t="inlineStr">
        <is>
          <t>フランス菓子・焼菓子・パン等の製造販売、併設カフェの運営（鎌倉山・紀尾井町・大船の3店舗）。Web情報では「ル・ミリュウ」「ラ・プレシューズ」を展開（要確認）</t>
        </is>
      </c>
    </row>
    <row r="11" ht="35" customHeight="1" s="594">
      <c r="B11" s="783" t="inlineStr">
        <is>
          <t>従業員数</t>
        </is>
      </c>
      <c r="C11" s="784" t="inlineStr">
        <is>
          <t>月給者6名・時給者約30名（2026年2月分給与台帳より推計）／役員1名（他の役員の有無は要確認）</t>
        </is>
      </c>
    </row>
    <row r="12" ht="21" customHeight="1" s="594">
      <c r="B12" s="783" t="inlineStr">
        <is>
          <t>許認可等</t>
        </is>
      </c>
      <c r="C12" s="784" t="inlineStr">
        <is>
          <t>要確認（営業許可証・菓子製造業許可等は未受領）</t>
        </is>
      </c>
    </row>
    <row r="13" ht="21" customHeight="1" s="594">
      <c r="B13" s="783" t="inlineStr">
        <is>
          <t>売上高</t>
        </is>
      </c>
      <c r="C13" s="784" t="str">
        <f>TEXT(PL!G11/1000,"#,##0")&amp;"千円（"&amp;'BS(借方)'!E4&amp;"）"</f>
        <v>319,338千円（令和8年3月期）</v>
      </c>
    </row>
    <row r="14" ht="21" customHeight="1" s="594">
      <c r="B14" s="783" t="inlineStr">
        <is>
          <t>調整後EBITDA</t>
        </is>
      </c>
      <c r="C14" s="784" t="str">
        <f>TEXT('PLハイライト'!E37/1000,"#,##0;△#,##0")&amp;"千円（"&amp;'BS(借方)'!E4&amp;"）"</f>
        <v>△2,182千円（令和8年3月期）</v>
      </c>
    </row>
    <row r="15" ht="21" customHeight="1" s="594">
      <c r="B15" s="783" t="inlineStr">
        <is>
          <t>譲渡理由</t>
        </is>
      </c>
      <c r="C15" s="784" t="inlineStr">
        <is>
          <t>要確認（オーナーヒアリング予定）</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B2:I48"/>
  <sheetViews>
    <sheetView showGridLines="0" zoomScale="107" zoomScaleNormal="100" workbookViewId="0">
      <selection activeCell="B18" sqref="B18"/>
    </sheetView>
  </sheetViews>
  <sheetFormatPr baseColWidth="8" defaultRowHeight="18"/>
  <cols>
    <col width="8.796875" customWidth="1" style="65" min="1" max="1"/>
    <col width="29" customWidth="1" style="65" min="2" max="2"/>
    <col width="19.796875" customWidth="1" style="65" min="3" max="7"/>
    <col width="8.796875" customWidth="1" style="65" min="8" max="16384"/>
  </cols>
  <sheetData>
    <row r="2">
      <c r="E2" s="73" t="inlineStr">
        <is>
          <t>(単位：千円)</t>
        </is>
      </c>
    </row>
    <row r="3" ht="19.8" customHeight="1" s="594">
      <c r="B3" s="79" t="n"/>
      <c r="C3" s="80" t="str">
        <f>'BS(借方)'!C4</f>
        <v>令和6年3月期</v>
      </c>
      <c r="D3" s="80" t="str">
        <f>'BS(借方)'!D4</f>
        <v>令和7年3月期</v>
      </c>
      <c r="E3" s="80" t="str">
        <f>'BS(借方)'!E4</f>
        <v>令和8年3月期</v>
      </c>
      <c r="F3" s="80" t="str">
        <f>'BS(借方)'!F4</f>
        <v>－</v>
      </c>
      <c r="G3" s="230" t="str">
        <f>'BS(借方)'!G4</f>
        <v>進行期
（試算表未受領）</v>
      </c>
    </row>
    <row r="4" ht="22.5" customHeight="1" s="594">
      <c r="B4" s="75" t="inlineStr">
        <is>
          <t>売上高</t>
        </is>
      </c>
      <c r="C4" s="632">
        <f>PL!C11</f>
        <v>383439251</v>
      </c>
      <c r="D4" s="632">
        <f>PL!E11</f>
        <v>1230829971</v>
      </c>
      <c r="E4" s="632">
        <f>PL!G11</f>
        <v>319338374</v>
      </c>
      <c r="F4" s="632">
        <f>PL!I11</f>
        <v>0</v>
      </c>
      <c r="G4" s="632">
        <f>PL!K11</f>
        <v>0</v>
      </c>
      <c r="I4" s="67" t="n"/>
    </row>
    <row r="5" ht="22.5" customFormat="1" customHeight="1" s="233">
      <c r="B5" s="231" t="inlineStr">
        <is>
          <t>前期比</t>
        </is>
      </c>
      <c r="C5" s="785" t="inlineStr">
        <is>
          <t>-</t>
        </is>
      </c>
      <c r="D5" s="785">
        <f>IFERROR(D4/C4,"－")</f>
        <v>3.20997385580643</v>
      </c>
      <c r="E5" s="785">
        <f>IFERROR(E4/D4,"－")</f>
        <v>0.259449624663064</v>
      </c>
      <c r="F5" s="785">
        <f>IFERROR(F4/E4,"－")</f>
        <v>0</v>
      </c>
      <c r="G5" s="785" t="inlineStr">
        <is>
          <t>-</t>
        </is>
      </c>
    </row>
    <row r="6" ht="22.5" customHeight="1" s="594">
      <c r="B6" s="76" t="inlineStr">
        <is>
          <t>売上総利益</t>
        </is>
      </c>
      <c r="C6" s="604">
        <f>PL!C17</f>
        <v>278596784</v>
      </c>
      <c r="D6" s="604">
        <f>PL!E17</f>
        <v>493907835</v>
      </c>
      <c r="E6" s="604">
        <f>PL!G17</f>
        <v>223132250</v>
      </c>
      <c r="F6" s="604">
        <f>PL!I17</f>
        <v>0</v>
      </c>
      <c r="G6" s="604">
        <f>PL!K17</f>
        <v>0</v>
      </c>
    </row>
    <row r="7" ht="22.5" customFormat="1" customHeight="1" s="233">
      <c r="B7" s="231" t="inlineStr">
        <is>
          <t>利益率</t>
        </is>
      </c>
      <c r="C7" s="785">
        <f>IFERROR(C6/C4,"－")</f>
        <v>0.726573461828508</v>
      </c>
      <c r="D7" s="785">
        <f>IFERROR(D6/D4,"－")</f>
        <v>0.401280312177254</v>
      </c>
      <c r="E7" s="785">
        <f>IFERROR(E6/E4,"－")</f>
        <v>0.698732968434292</v>
      </c>
      <c r="F7" s="785" t="str">
        <f>IFERROR(F6/F4,"－")</f>
        <v>－</v>
      </c>
      <c r="G7" s="785" t="str">
        <f>IFERROR(G6/G4,"－")</f>
        <v>－</v>
      </c>
    </row>
    <row r="8" ht="22.5" customHeight="1" s="594">
      <c r="B8" s="76" t="inlineStr">
        <is>
          <t>営業利益</t>
        </is>
      </c>
      <c r="C8" s="604">
        <f>PL!C19</f>
        <v>-4954944</v>
      </c>
      <c r="D8" s="604">
        <f>PL!E19</f>
        <v>220847494</v>
      </c>
      <c r="E8" s="604">
        <f>PL!G19</f>
        <v>870806</v>
      </c>
      <c r="F8" s="604">
        <f>PL!I19</f>
        <v>0</v>
      </c>
      <c r="G8" s="720">
        <f>PL!K19</f>
        <v>0</v>
      </c>
    </row>
    <row r="9" ht="22.5" customFormat="1" customHeight="1" s="233">
      <c r="B9" s="231" t="inlineStr">
        <is>
          <t>利益率</t>
        </is>
      </c>
      <c r="C9" s="785">
        <f>IFERROR(C8/C4,"－")</f>
        <v>-0.0129223703287486</v>
      </c>
      <c r="D9" s="785">
        <f>IFERROR(D8/D4,"－")</f>
        <v>0.179429733759709</v>
      </c>
      <c r="E9" s="785">
        <f>IFERROR(E8/E4,"－")</f>
        <v>0.00272690685147661</v>
      </c>
      <c r="F9" s="785" t="str">
        <f>IFERROR(F8/F4,"－")</f>
        <v>－</v>
      </c>
      <c r="G9" s="785" t="str">
        <f>IFERROR(G8/G4,"－")</f>
        <v>－</v>
      </c>
    </row>
    <row r="10" ht="22.5" customHeight="1" s="594">
      <c r="B10" s="76" t="inlineStr">
        <is>
          <t>経常利益</t>
        </is>
      </c>
      <c r="C10" s="604">
        <f>PL!C36</f>
        <v>-7290352</v>
      </c>
      <c r="D10" s="604">
        <f>PL!E36</f>
        <v>211567766</v>
      </c>
      <c r="E10" s="604">
        <f>PL!G36</f>
        <v>580579</v>
      </c>
      <c r="F10" s="604">
        <f>PL!I36</f>
        <v>0</v>
      </c>
      <c r="G10" s="720">
        <f>PL!K36</f>
        <v>0</v>
      </c>
    </row>
    <row r="11" ht="22.5" customFormat="1" customHeight="1" s="233">
      <c r="B11" s="231" t="inlineStr">
        <is>
          <t>利益率</t>
        </is>
      </c>
      <c r="C11" s="785">
        <f>IFERROR(C10/C4,"－")</f>
        <v>-0.0190130561255452</v>
      </c>
      <c r="D11" s="785">
        <f>IFERROR(D10/D4,"－")</f>
        <v>0.171890326840278</v>
      </c>
      <c r="E11" s="785">
        <f>IFERROR(E10/E4,"－")</f>
        <v>0.00181806837909183</v>
      </c>
      <c r="F11" s="785" t="str">
        <f>IFERROR(F10/F4,"－")</f>
        <v>－</v>
      </c>
      <c r="G11" s="785" t="str">
        <f>IFERROR(G10/G4,"－")</f>
        <v>－</v>
      </c>
    </row>
    <row r="12" ht="22.5" customHeight="1" s="594">
      <c r="B12" s="76" t="inlineStr">
        <is>
          <t>税引後当期純利益</t>
        </is>
      </c>
      <c r="C12" s="604">
        <f>PL!C56</f>
        <v>-7485079</v>
      </c>
      <c r="D12" s="604">
        <f>PL!E56</f>
        <v>108356358</v>
      </c>
      <c r="E12" s="604">
        <f>PL!G56</f>
        <v>-48083504</v>
      </c>
      <c r="F12" s="604">
        <f>PL!I56</f>
        <v>0</v>
      </c>
      <c r="G12" s="720">
        <f>PL!K56</f>
        <v>0</v>
      </c>
    </row>
    <row r="13" ht="22.5" customFormat="1" customHeight="1" s="233">
      <c r="B13" s="231" t="inlineStr">
        <is>
          <t>利益率</t>
        </is>
      </c>
      <c r="C13" s="785">
        <f>IFERROR(C12/C4,"－")</f>
        <v>-0.0195208992832088</v>
      </c>
      <c r="D13" s="785">
        <f>IFERROR(D12/D4,"－")</f>
        <v>0.0880351962115164</v>
      </c>
      <c r="E13" s="785">
        <f>IFERROR(E12/E4,"－")</f>
        <v>-0.150572270403055</v>
      </c>
      <c r="F13" s="785" t="str">
        <f>IFERROR(F12/F4,"－")</f>
        <v>－</v>
      </c>
      <c r="G13" s="785" t="str">
        <f>IFERROR(G12/G4,"－")</f>
        <v>－</v>
      </c>
    </row>
    <row r="14" ht="14.4" customHeight="1" s="594">
      <c r="C14" s="692" t="n"/>
      <c r="D14" s="692" t="n"/>
      <c r="E14" s="692" t="n"/>
      <c r="F14" s="692" t="n"/>
      <c r="G14" s="692" t="n"/>
    </row>
    <row r="15" ht="22.5" customHeight="1" s="594">
      <c r="B15" s="77" t="inlineStr">
        <is>
          <t>減価償却費</t>
        </is>
      </c>
      <c r="C15" s="786">
        <f>SGA!C10</f>
        <v>4594828</v>
      </c>
      <c r="D15" s="786">
        <f>SGA!E10</f>
        <v>14219250</v>
      </c>
      <c r="E15" s="786">
        <f>SGA!G10</f>
        <v>11895803</v>
      </c>
      <c r="F15" s="786" t="n">
        <v>0</v>
      </c>
      <c r="G15" s="786" t="n">
        <v>0</v>
      </c>
    </row>
    <row r="16" ht="15" customHeight="1" s="594">
      <c r="C16" s="597" t="n"/>
      <c r="D16" s="597" t="n"/>
      <c r="E16" s="597" t="n"/>
      <c r="F16" s="597" t="n"/>
      <c r="G16" s="597" t="n"/>
    </row>
    <row r="17" ht="19.8" customHeight="1" s="594">
      <c r="B17" s="461" t="inlineStr">
        <is>
          <t>調整項目 合計</t>
        </is>
      </c>
      <c r="C17" s="787">
        <f>SUM(C18:C27)</f>
        <v>-12286514</v>
      </c>
      <c r="D17" s="787">
        <f>SUM(D18:D27)</f>
        <v>-248048130</v>
      </c>
      <c r="E17" s="787">
        <f>SUM(E18:E27)</f>
        <v>-14948948</v>
      </c>
      <c r="F17" s="787">
        <f>SUM(F18:F27)</f>
        <v>0</v>
      </c>
      <c r="G17" s="787">
        <f>SUM(G18:G27)</f>
        <v>0</v>
      </c>
    </row>
    <row r="18" ht="22.5" customHeight="1" s="594">
      <c r="B18" s="467" t="inlineStr">
        <is>
          <t>不動産売却損益（非継続）</t>
        </is>
      </c>
      <c r="C18" s="788">
        <f>'修正PL'!D7-'修正PL'!D12</f>
        <v>0</v>
      </c>
      <c r="D18" s="788">
        <f>'修正PL'!G7-'修正PL'!G12</f>
        <v>-233144000</v>
      </c>
      <c r="E18" s="788">
        <f>'修正PL'!J7-'修正PL'!J12</f>
        <v>0</v>
      </c>
      <c r="F18" s="788" t="n"/>
      <c r="G18" s="788" t="n"/>
    </row>
    <row r="19" ht="22.5" customHeight="1" s="594">
      <c r="B19" s="468" t="inlineStr">
        <is>
          <t>不動産賃貸収入（非継続）</t>
        </is>
      </c>
      <c r="C19" s="789">
        <f>'修正PL'!D6</f>
        <v>-16633646</v>
      </c>
      <c r="D19" s="790">
        <f>'修正PL'!G6</f>
        <v>-16832410</v>
      </c>
      <c r="E19" s="790">
        <f>'修正PL'!J6</f>
        <v>-1635396</v>
      </c>
      <c r="F19" s="790" t="n"/>
      <c r="G19" s="790" t="n"/>
    </row>
    <row r="20" ht="22.5" customHeight="1" s="594">
      <c r="B20" s="468" t="inlineStr">
        <is>
          <t>不動産管理費（売却物件分）</t>
        </is>
      </c>
      <c r="C20" s="790">
        <f>-'修正SGA'!D32</f>
        <v>4347132</v>
      </c>
      <c r="D20" s="790">
        <f>-'修正SGA'!G32</f>
        <v>1928280</v>
      </c>
      <c r="E20" s="790">
        <f>-'修正SGA'!J32</f>
        <v>686448</v>
      </c>
      <c r="F20" s="790" t="n"/>
      <c r="G20" s="790" t="n"/>
    </row>
    <row r="21" ht="22.5" customHeight="1" s="594">
      <c r="B21" s="468" t="inlineStr">
        <is>
          <t>コンサル収入（単発）</t>
        </is>
      </c>
      <c r="C21" s="790">
        <f>'修正PL'!D8</f>
        <v>0</v>
      </c>
      <c r="D21" s="790">
        <f>'修正PL'!G8</f>
        <v>0</v>
      </c>
      <c r="E21" s="790">
        <f>'修正PL'!J8</f>
        <v>-14000000</v>
      </c>
      <c r="F21" s="790" t="n"/>
      <c r="G21" s="790" t="n"/>
    </row>
    <row r="22" ht="22.5" customHeight="1" s="594">
      <c r="B22" s="468" t="n"/>
      <c r="C22" s="790" t="n"/>
      <c r="D22" s="790" t="n"/>
      <c r="E22" s="790" t="n"/>
      <c r="F22" s="790" t="n"/>
      <c r="G22" s="790" t="n"/>
    </row>
    <row r="23" ht="22.5" customHeight="1" s="594">
      <c r="B23" s="468" t="n"/>
      <c r="C23" s="790" t="n"/>
      <c r="D23" s="790" t="n"/>
      <c r="E23" s="790" t="n"/>
      <c r="F23" s="790" t="n"/>
      <c r="G23" s="790" t="n"/>
    </row>
    <row r="24" ht="22.5" customHeight="1" s="594">
      <c r="B24" s="468" t="n"/>
      <c r="C24" s="790" t="n"/>
      <c r="D24" s="790" t="n"/>
      <c r="E24" s="790" t="n"/>
      <c r="F24" s="790" t="n"/>
      <c r="G24" s="790" t="n"/>
    </row>
    <row r="25" ht="22.5" customHeight="1" s="594">
      <c r="B25" s="468" t="n"/>
      <c r="C25" s="790" t="n"/>
      <c r="D25" s="790" t="n"/>
      <c r="E25" s="790" t="n"/>
      <c r="F25" s="790" t="n"/>
      <c r="G25" s="790" t="n"/>
    </row>
    <row r="26" ht="22.5" customHeight="1" s="594">
      <c r="B26" s="468" t="n"/>
      <c r="C26" s="790" t="n"/>
      <c r="D26" s="790" t="n"/>
      <c r="E26" s="790" t="n"/>
      <c r="F26" s="790" t="n"/>
      <c r="G26" s="790" t="n"/>
    </row>
    <row r="27" ht="22.5" customHeight="1" s="594">
      <c r="B27" s="469" t="n"/>
      <c r="C27" s="791" t="n"/>
      <c r="D27" s="791" t="n"/>
      <c r="E27" s="791" t="n"/>
      <c r="F27" s="791" t="n"/>
      <c r="G27" s="791" t="n"/>
    </row>
    <row r="28" hidden="1" ht="22.5" customHeight="1" s="594">
      <c r="B28" s="78" t="n"/>
      <c r="C28" s="604" t="n"/>
      <c r="D28" s="604" t="n"/>
      <c r="E28" s="604" t="n"/>
      <c r="F28" s="604" t="n"/>
      <c r="G28" s="604" t="n"/>
    </row>
    <row r="29" hidden="1" ht="22.5" customHeight="1" s="594">
      <c r="B29" s="78" t="n"/>
      <c r="C29" s="604" t="n"/>
      <c r="D29" s="604" t="n"/>
      <c r="E29" s="604" t="n"/>
      <c r="F29" s="604" t="n"/>
      <c r="G29" s="604" t="n"/>
    </row>
    <row r="30" hidden="1" ht="22.5" customHeight="1" s="594">
      <c r="B30" s="78" t="n"/>
      <c r="C30" s="604" t="n"/>
      <c r="D30" s="604" t="n"/>
      <c r="E30" s="604" t="n"/>
      <c r="F30" s="604" t="n"/>
      <c r="G30" s="604" t="n"/>
    </row>
    <row r="31" hidden="1" ht="22.5" customHeight="1" s="594">
      <c r="B31" s="78" t="n"/>
      <c r="C31" s="604" t="n"/>
      <c r="D31" s="604" t="n"/>
      <c r="E31" s="611" t="n"/>
      <c r="F31" s="611" t="n"/>
      <c r="G31" s="611" t="n"/>
    </row>
    <row r="32" hidden="1" ht="22.5" customHeight="1" s="594">
      <c r="B32" s="78" t="n"/>
      <c r="C32" s="604" t="n"/>
      <c r="D32" s="604" t="n"/>
      <c r="E32" s="611" t="n"/>
      <c r="F32" s="611" t="n"/>
      <c r="G32" s="611" t="n"/>
    </row>
    <row r="33" hidden="1" ht="22.5" customHeight="1" s="594">
      <c r="B33" s="78" t="n"/>
      <c r="C33" s="604" t="n"/>
      <c r="D33" s="604" t="n"/>
      <c r="E33" s="611" t="n"/>
      <c r="F33" s="611" t="n"/>
      <c r="G33" s="611" t="n"/>
    </row>
    <row r="34" hidden="1" ht="22.5" customHeight="1" s="594">
      <c r="B34" s="78" t="n"/>
      <c r="C34" s="604" t="n"/>
      <c r="D34" s="604" t="n"/>
      <c r="E34" s="611" t="n"/>
      <c r="F34" s="611" t="n"/>
      <c r="G34" s="611" t="n"/>
    </row>
    <row r="35" hidden="1" ht="22.5" customHeight="1" s="594" thickBot="1">
      <c r="B35" s="78" t="n"/>
      <c r="C35" s="604" t="n"/>
      <c r="D35" s="604" t="n"/>
      <c r="E35" s="611" t="n"/>
      <c r="F35" s="611" t="n"/>
      <c r="G35" s="611" t="n"/>
    </row>
    <row r="36" ht="15" customHeight="1" s="594" thickBot="1">
      <c r="C36" s="692" t="n"/>
      <c r="D36" s="692" t="n"/>
      <c r="E36" s="692" t="n"/>
      <c r="F36" s="692" t="n"/>
      <c r="G36" s="692" t="n"/>
    </row>
    <row r="37" ht="21" customFormat="1" customHeight="1" s="74" thickBot="1" thickTop="1">
      <c r="B37" s="72" t="inlineStr">
        <is>
          <t>調整後EBITDA</t>
        </is>
      </c>
      <c r="C37" s="792">
        <f>C8+C15+C17</f>
        <v>-12646630</v>
      </c>
      <c r="D37" s="792">
        <f>D8+D15+D17</f>
        <v>-12981386</v>
      </c>
      <c r="E37" s="792">
        <f>E8+E15+E17</f>
        <v>-2182339</v>
      </c>
      <c r="F37" s="792">
        <f>F8+F15+F17</f>
        <v>0</v>
      </c>
      <c r="G37" s="792">
        <f>G8+G15+G17</f>
        <v>0</v>
      </c>
    </row>
    <row r="38" ht="18.6" customHeight="1" s="594" thickTop="1">
      <c r="B38" s="72" t="inlineStr">
        <is>
          <t>（検算）修正PLの営業利益＋減価償却費</t>
        </is>
      </c>
      <c r="C38" s="792">
        <f>'修正PL'!E17+C15</f>
        <v>-12646630</v>
      </c>
      <c r="D38" s="792">
        <f>'修正PL'!H17+D15</f>
        <v>-12981386</v>
      </c>
      <c r="E38" s="792">
        <f>'修正PL'!K17+E15</f>
        <v>-2182339</v>
      </c>
      <c r="F38" s="793" t="n"/>
      <c r="G38" s="793" t="n"/>
    </row>
    <row r="39">
      <c r="B39" s="72" t="inlineStr">
        <is>
          <t>（検算）調整後EBITDA一致</t>
        </is>
      </c>
      <c r="C39" s="792">
        <f>EXACT(C37,C38)</f>
        <v>1</v>
      </c>
      <c r="D39" s="792">
        <f>EXACT(D37,D38)</f>
        <v>1</v>
      </c>
      <c r="E39" s="792">
        <f>EXACT(E37,E38)</f>
        <v>1</v>
      </c>
      <c r="F39" s="692" t="n"/>
      <c r="G39" s="692" t="n"/>
    </row>
    <row r="40">
      <c r="B40" s="70" t="n"/>
      <c r="C40" s="794" t="n"/>
      <c r="D40" s="795" t="n"/>
      <c r="E40" s="795" t="n"/>
      <c r="F40" s="795" t="n"/>
      <c r="G40" s="795" t="n"/>
    </row>
    <row r="41">
      <c r="B41" s="70" t="n"/>
      <c r="C41" s="794" t="n"/>
      <c r="D41" s="795" t="n"/>
      <c r="E41" s="795" t="n"/>
      <c r="F41" s="795" t="n"/>
      <c r="G41" s="795" t="n"/>
    </row>
    <row r="42">
      <c r="B42" s="70" t="n"/>
      <c r="C42" s="794" t="n"/>
      <c r="D42" s="795" t="n"/>
      <c r="E42" s="795" t="n"/>
      <c r="F42" s="795" t="n"/>
      <c r="G42" s="795" t="n"/>
    </row>
    <row r="43">
      <c r="B43" s="70" t="n"/>
      <c r="C43" s="794" t="n"/>
      <c r="D43" s="795" t="n"/>
      <c r="E43" s="795" t="n"/>
      <c r="F43" s="795" t="n"/>
      <c r="G43" s="795" t="n"/>
    </row>
    <row r="44">
      <c r="B44" s="70" t="n"/>
      <c r="C44" s="794" t="n"/>
      <c r="D44" s="795" t="n"/>
      <c r="E44" s="795" t="n"/>
      <c r="F44" s="795" t="n"/>
      <c r="G44" s="795" t="n"/>
    </row>
    <row r="45">
      <c r="B45" s="70" t="n"/>
      <c r="C45" s="796" t="n"/>
      <c r="D45" s="797" t="n"/>
      <c r="E45" s="797" t="n"/>
      <c r="F45" s="797" t="n"/>
      <c r="G45" s="797" t="n"/>
    </row>
    <row r="46">
      <c r="B46" s="70" t="n"/>
      <c r="C46" s="796" t="n"/>
      <c r="D46" s="797" t="n"/>
      <c r="E46" s="797" t="n"/>
      <c r="F46" s="797" t="n"/>
      <c r="G46" s="797" t="n"/>
    </row>
    <row r="47">
      <c r="B47" s="70" t="n"/>
      <c r="C47" s="81" t="n"/>
      <c r="D47" s="70" t="n"/>
      <c r="E47" s="70" t="n"/>
      <c r="F47" s="70" t="n"/>
      <c r="G47" s="70" t="n"/>
    </row>
    <row r="48">
      <c r="B48" s="70" t="n"/>
      <c r="C48" s="81" t="n"/>
      <c r="D48" s="70" t="n"/>
      <c r="E48" s="70" t="n"/>
      <c r="F48" s="70" t="n"/>
      <c r="G48" s="70" t="n"/>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B2:F45"/>
  <sheetViews>
    <sheetView showGridLines="0" zoomScaleNormal="100" workbookViewId="0">
      <selection activeCell="H13" sqref="H13"/>
    </sheetView>
  </sheetViews>
  <sheetFormatPr baseColWidth="8" defaultRowHeight="18"/>
  <cols>
    <col width="8.796875" customWidth="1" style="65" min="1" max="1"/>
    <col width="23" customWidth="1" style="594" min="2" max="2"/>
    <col width="16.09765625" customWidth="1" style="594" min="3" max="3"/>
    <col width="1.09765625" customWidth="1" style="65" min="4" max="4"/>
    <col width="20" customWidth="1" style="594" min="5" max="5"/>
    <col width="16.09765625" customWidth="1" style="594" min="6" max="6"/>
    <col width="8.796875" customWidth="1" style="65" min="7" max="16384"/>
  </cols>
  <sheetData>
    <row r="2">
      <c r="F2" s="73" t="inlineStr">
        <is>
          <t>(単位：千円)</t>
        </is>
      </c>
    </row>
    <row r="3" ht="19.8" customHeight="1" s="594">
      <c r="B3" s="82" t="str">
        <f>'BS(借方)'!E4</f>
        <v>令和8年3月期</v>
      </c>
      <c r="C3" s="83" t="n"/>
      <c r="D3" s="83" t="n"/>
      <c r="E3" s="84" t="n"/>
      <c r="F3" s="84" t="n"/>
    </row>
    <row r="4" ht="22.5" customHeight="1" s="594">
      <c r="B4" s="85" t="inlineStr">
        <is>
          <t>流動資産</t>
        </is>
      </c>
      <c r="C4" s="798">
        <f>SUM(C5:C10)</f>
        <v>293198020</v>
      </c>
      <c r="D4" s="799" t="n"/>
      <c r="E4" s="87" t="inlineStr">
        <is>
          <t>流動負債</t>
        </is>
      </c>
      <c r="F4" s="800">
        <f>SUM(F5:F10)</f>
        <v>196854699</v>
      </c>
    </row>
    <row r="5" ht="22.5" customHeight="1" s="594">
      <c r="B5" s="88" t="inlineStr">
        <is>
          <t>現預金</t>
        </is>
      </c>
      <c r="C5" s="600">
        <f>'BS(借方)'!E6</f>
        <v>226057309</v>
      </c>
      <c r="D5" s="801" t="n"/>
      <c r="E5" s="802" t="inlineStr">
        <is>
          <t>買掛金</t>
        </is>
      </c>
      <c r="F5" s="803">
        <f>'BS (貸方)'!E6</f>
        <v>10296760</v>
      </c>
    </row>
    <row r="6" ht="22.5" customHeight="1" s="594">
      <c r="B6" s="90" t="inlineStr">
        <is>
          <t>売掛金</t>
        </is>
      </c>
      <c r="C6" s="719">
        <f>'BS(借方)'!E7+'BS(借方)'!E8+'BS(借方)'!E14</f>
        <v>28512083</v>
      </c>
      <c r="D6" s="804" t="n"/>
      <c r="E6" s="805" t="inlineStr">
        <is>
          <t>短期借入金 ※</t>
        </is>
      </c>
      <c r="F6" s="806">
        <f>'BS (貸方)'!E12</f>
        <v>173076977</v>
      </c>
    </row>
    <row r="7" ht="22.5" customHeight="1" s="594">
      <c r="B7" s="90" t="inlineStr">
        <is>
          <t>商品</t>
        </is>
      </c>
      <c r="C7" s="719">
        <f>'BS(借方)'!E9+'BS(借方)'!E10+'BS(借方)'!E11+'BS(借方)'!E15</f>
        <v>8532000</v>
      </c>
      <c r="D7" s="804" t="n"/>
      <c r="E7" s="805" t="inlineStr">
        <is>
          <t>未払金</t>
        </is>
      </c>
      <c r="F7" s="806">
        <f>'BS (貸方)'!E7+'BS (貸方)'!E8</f>
        <v>7639437</v>
      </c>
    </row>
    <row r="8" ht="22.5" customHeight="1" s="594">
      <c r="B8" s="90" t="inlineStr">
        <is>
          <t>前渡金</t>
        </is>
      </c>
      <c r="C8" s="719">
        <f>'BS(借方)'!E12</f>
        <v>18507883</v>
      </c>
      <c r="D8" s="804" t="n"/>
      <c r="E8" s="805" t="inlineStr">
        <is>
          <t>未払法人税等</t>
        </is>
      </c>
      <c r="F8" s="806">
        <f>'BS (貸方)'!E11</f>
        <v>97300</v>
      </c>
    </row>
    <row r="9" ht="22.5" customHeight="1" s="594">
      <c r="B9" s="90" t="inlineStr">
        <is>
          <t>未収還付法人税等</t>
        </is>
      </c>
      <c r="C9" s="719">
        <f>'BS(借方)'!E18</f>
        <v>10878400</v>
      </c>
      <c r="D9" s="804" t="n"/>
      <c r="E9" s="805" t="inlineStr">
        <is>
          <t>預り金</t>
        </is>
      </c>
      <c r="F9" s="806">
        <f>'BS (貸方)'!E10</f>
        <v>794225</v>
      </c>
    </row>
    <row r="10" ht="22.5" customHeight="1" s="594">
      <c r="B10" s="88" t="inlineStr">
        <is>
          <t>その他</t>
        </is>
      </c>
      <c r="C10" s="600">
        <f>'BS(借方)'!E13+'BS(借方)'!E16+'BS(借方)'!E17+'BS(借方)'!E19</f>
        <v>710345</v>
      </c>
      <c r="D10" s="801" t="n"/>
      <c r="E10" s="802" t="inlineStr">
        <is>
          <t>その他</t>
        </is>
      </c>
      <c r="F10" s="803">
        <f>'BS (貸方)'!E9+'BS (貸方)'!E13+'BS (貸方)'!E14+'BS (貸方)'!E15+'BS (貸方)'!E16+'BS (貸方)'!E17</f>
        <v>4950000</v>
      </c>
    </row>
    <row r="11" ht="22.5" customHeight="1" s="594">
      <c r="B11" s="87" t="inlineStr">
        <is>
          <t>固定資産</t>
        </is>
      </c>
      <c r="C11" s="807">
        <f>SUM(C12:C20)</f>
        <v>503310970</v>
      </c>
      <c r="D11" s="801" t="n"/>
      <c r="E11" s="87" t="inlineStr">
        <is>
          <t>固定負債</t>
        </is>
      </c>
      <c r="F11" s="808">
        <f>SUM(F12:F14)</f>
        <v>272745529</v>
      </c>
    </row>
    <row r="12" ht="22.5" customHeight="1" s="594">
      <c r="B12" s="90" t="inlineStr">
        <is>
          <t>建物</t>
        </is>
      </c>
      <c r="C12" s="719">
        <f>'BS(借方)'!E22</f>
        <v>118721091</v>
      </c>
      <c r="D12" s="804" t="n"/>
      <c r="E12" s="805" t="inlineStr">
        <is>
          <t>長期借入金 ※</t>
        </is>
      </c>
      <c r="F12" s="806">
        <f>'BS (貸方)'!E19</f>
        <v>272745529</v>
      </c>
    </row>
    <row r="13" ht="22.5" customHeight="1" s="594">
      <c r="B13" s="90" t="inlineStr">
        <is>
          <t>建物付属設備</t>
        </is>
      </c>
      <c r="C13" s="719">
        <f>'BS(借方)'!E23</f>
        <v>20091490</v>
      </c>
      <c r="D13" s="804" t="n"/>
      <c r="E13" s="805" t="n"/>
      <c r="F13" s="806" t="n"/>
    </row>
    <row r="14" ht="22.5" customHeight="1" s="594">
      <c r="B14" s="90" t="inlineStr">
        <is>
          <t>車両・器具備品</t>
        </is>
      </c>
      <c r="C14" s="719">
        <f>'BS(借方)'!E26+'BS(借方)'!E27</f>
        <v>6303663</v>
      </c>
      <c r="D14" s="804" t="n"/>
      <c r="E14" s="805" t="inlineStr">
        <is>
          <t>その他</t>
        </is>
      </c>
      <c r="F14" s="806">
        <f>'BS (貸方)'!E20+'BS (貸方)'!E21+'BS (貸方)'!E22+'BS (貸方)'!E23+'BS (貸方)'!E24</f>
        <v>0</v>
      </c>
    </row>
    <row r="15" ht="22.5" customHeight="1" s="594">
      <c r="B15" s="90" t="inlineStr">
        <is>
          <t>土地</t>
        </is>
      </c>
      <c r="C15" s="719">
        <f>'BS(借方)'!E29</f>
        <v>345029626</v>
      </c>
      <c r="D15" s="804" t="n"/>
      <c r="E15" s="462" t="inlineStr">
        <is>
          <t>負債合計</t>
        </is>
      </c>
      <c r="F15" s="809">
        <f>F4+F11</f>
        <v>469600228</v>
      </c>
    </row>
    <row r="16" ht="22.5" customHeight="1" s="594">
      <c r="B16" s="90" t="inlineStr">
        <is>
          <t>敷金・保証金</t>
        </is>
      </c>
      <c r="C16" s="719">
        <f>'BS(借方)'!E51+'BS(借方)'!E52</f>
        <v>13160100</v>
      </c>
      <c r="D16" s="804" t="n"/>
      <c r="E16" s="805" t="n"/>
      <c r="F16" s="806" t="n"/>
    </row>
    <row r="17" ht="22.5" customHeight="1" s="594">
      <c r="B17" s="90" t="inlineStr">
        <is>
          <t>出資金</t>
        </is>
      </c>
      <c r="C17" s="719">
        <f>'BS(借方)'!E47</f>
        <v>5000</v>
      </c>
      <c r="D17" s="804" t="n"/>
      <c r="E17" s="805" t="inlineStr">
        <is>
          <t>資本金</t>
        </is>
      </c>
      <c r="F17" s="806">
        <f>'BS (貸方)'!E36</f>
        <v>500000</v>
      </c>
    </row>
    <row r="18" ht="22.5" customHeight="1" s="594">
      <c r="B18" s="90" t="n"/>
      <c r="C18" s="719" t="n"/>
      <c r="D18" s="804" t="n"/>
      <c r="E18" s="805" t="inlineStr">
        <is>
          <t>資本剰余金</t>
        </is>
      </c>
      <c r="F18" s="806">
        <f>'BS (貸方)'!E39</f>
        <v>5000000</v>
      </c>
    </row>
    <row r="19" ht="22.5" customHeight="1" s="594">
      <c r="B19" s="90" t="n"/>
      <c r="C19" s="719" t="n"/>
      <c r="D19" s="804" t="n"/>
      <c r="E19" s="805" t="inlineStr">
        <is>
          <t>利益剰余金</t>
        </is>
      </c>
      <c r="F19" s="806">
        <f>'BS (貸方)'!E43</f>
        <v>321408762</v>
      </c>
    </row>
    <row r="20" ht="22.5" customHeight="1" s="594">
      <c r="B20" s="90" t="inlineStr">
        <is>
          <t>その他</t>
        </is>
      </c>
      <c r="C20" s="719">
        <f>'BS(借方)'!E24+'BS(借方)'!E25+'BS(借方)'!E28+'BS(借方)'!E30+'BS(借方)'!E36+'BS(借方)'!E37+'BS(借方)'!E38+'BS(借方)'!E48+'BS(借方)'!E49+'BS(借方)'!E50</f>
        <v>0</v>
      </c>
      <c r="D20" s="804" t="n"/>
      <c r="E20" s="464" t="inlineStr">
        <is>
          <t>純資産合計</t>
        </is>
      </c>
      <c r="F20" s="810">
        <f>SUM(F17:F19)</f>
        <v>326908762</v>
      </c>
    </row>
    <row r="21" ht="22.5" customHeight="1" s="594">
      <c r="B21" s="464" t="inlineStr">
        <is>
          <t>資産合計</t>
        </is>
      </c>
      <c r="C21" s="811">
        <f>C4+C11</f>
        <v>796508990</v>
      </c>
      <c r="D21" s="804" t="n"/>
      <c r="E21" s="464" t="inlineStr">
        <is>
          <t>負債・純資産合計</t>
        </is>
      </c>
      <c r="F21" s="810">
        <f>F15+F20</f>
        <v>796508990</v>
      </c>
    </row>
    <row r="22">
      <c r="B22" s="464" t="inlineStr">
        <is>
          <t>（検算）資産合計＝負債・純資産合計</t>
        </is>
      </c>
      <c r="C22" s="812">
        <f>EXACT(C21,F21)</f>
        <v>1</v>
      </c>
      <c r="F22" s="812" t="n"/>
    </row>
    <row r="23">
      <c r="B23" t="inlineStr">
        <is>
          <t>※短期借入金・長期借入金には役員借入金（ネットキャッシュ!F7）を含む</t>
        </is>
      </c>
      <c r="C23" s="812" t="n"/>
      <c r="F23" s="812" t="n"/>
    </row>
    <row r="24">
      <c r="C24" s="812">
        <f>'ネットキャッシュ'!F7</f>
        <v>359666506</v>
      </c>
      <c r="F24" s="812" t="n"/>
    </row>
    <row r="25">
      <c r="C25" s="812" t="n"/>
      <c r="F25" s="812" t="n"/>
    </row>
    <row r="26">
      <c r="C26" s="812" t="n"/>
      <c r="F26" s="812" t="n"/>
    </row>
    <row r="27">
      <c r="C27" s="812" t="n"/>
      <c r="F27" s="812" t="n"/>
    </row>
    <row r="28">
      <c r="C28" s="812" t="n"/>
      <c r="F28" s="812" t="n"/>
    </row>
    <row r="29">
      <c r="C29" s="812" t="n"/>
      <c r="F29" s="812" t="n"/>
    </row>
    <row r="30">
      <c r="C30" s="812" t="n"/>
      <c r="F30" s="812" t="n"/>
    </row>
    <row r="31">
      <c r="C31" s="812" t="n"/>
      <c r="F31" s="812" t="n"/>
    </row>
    <row r="32">
      <c r="C32" s="812" t="n"/>
      <c r="F32" s="812" t="n"/>
    </row>
    <row r="33">
      <c r="C33" s="812" t="n"/>
      <c r="F33" s="812" t="n"/>
    </row>
    <row r="34">
      <c r="C34" s="812" t="n"/>
      <c r="F34" s="812" t="n"/>
    </row>
    <row r="35">
      <c r="C35" s="812" t="n"/>
      <c r="F35" s="812" t="n"/>
    </row>
    <row r="36">
      <c r="C36" s="812" t="n"/>
      <c r="F36" s="812" t="n"/>
    </row>
    <row r="37">
      <c r="C37" s="812" t="n"/>
      <c r="F37" s="812" t="n"/>
    </row>
    <row r="38">
      <c r="C38" s="812" t="n"/>
      <c r="F38" s="812" t="n"/>
    </row>
    <row r="39">
      <c r="F39" s="812" t="n"/>
    </row>
    <row r="40">
      <c r="F40" s="812" t="n"/>
    </row>
    <row r="41">
      <c r="F41" s="812" t="n"/>
    </row>
    <row r="42">
      <c r="F42" s="812" t="n"/>
    </row>
    <row r="43">
      <c r="F43" s="812" t="n"/>
    </row>
    <row r="44">
      <c r="F44" s="812" t="n"/>
    </row>
    <row r="45">
      <c r="F45" s="812" t="n"/>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B2:M17"/>
  <sheetViews>
    <sheetView showGridLines="0" zoomScaleNormal="100" workbookViewId="0">
      <selection activeCell="B5" sqref="B5:B14"/>
    </sheetView>
  </sheetViews>
  <sheetFormatPr baseColWidth="8" defaultRowHeight="18"/>
  <cols>
    <col width="3.796875" customWidth="1" style="65" min="1" max="1"/>
    <col width="4.3984375" customWidth="1" style="65" min="2" max="2"/>
    <col width="31" customWidth="1" style="594" min="3" max="3"/>
    <col width="30" customWidth="1" style="594" min="4" max="4"/>
    <col width="19" customWidth="1" style="65" min="5" max="5"/>
    <col width="13" customWidth="1" style="65" min="6" max="6"/>
    <col width="11.5" customWidth="1" style="65" min="7" max="7"/>
    <col width="8.5" customWidth="1" style="65" min="8" max="8"/>
    <col width="11.5" customWidth="1" style="65" min="9" max="9"/>
    <col width="8.5" customWidth="1" style="65" min="10" max="10"/>
    <col width="11.5" customWidth="1" style="65" min="11" max="11"/>
    <col width="8.5" customWidth="1" style="65" min="12" max="12"/>
    <col width="34" customWidth="1" style="65" min="13" max="13"/>
    <col width="8.796875" customWidth="1" style="65" min="14" max="16384"/>
  </cols>
  <sheetData>
    <row r="2">
      <c r="L2" s="73" t="inlineStr">
        <is>
          <t>(単位：千円)</t>
        </is>
      </c>
    </row>
    <row r="3" ht="19.2" customHeight="1" s="594">
      <c r="B3" s="573" t="inlineStr">
        <is>
          <t>№</t>
        </is>
      </c>
      <c r="C3" s="573" t="inlineStr">
        <is>
          <t>得意先</t>
        </is>
      </c>
      <c r="D3" s="573" t="inlineStr">
        <is>
          <t>取引内容</t>
        </is>
      </c>
      <c r="E3" s="573" t="inlineStr">
        <is>
          <t>本社所在地</t>
        </is>
      </c>
      <c r="F3" s="573" t="inlineStr">
        <is>
          <t>業種等</t>
        </is>
      </c>
      <c r="G3" s="96" t="str">
        <f>'BS(借方)'!C4</f>
        <v>令和6年3月期</v>
      </c>
      <c r="H3" s="96" t="n"/>
      <c r="I3" s="96" t="str">
        <f>'BS(借方)'!D4</f>
        <v>令和7年3月期</v>
      </c>
      <c r="J3" s="96" t="n"/>
      <c r="K3" s="96" t="str">
        <f>'BS(借方)'!E4</f>
        <v>令和8年3月期</v>
      </c>
      <c r="L3" s="96" t="n"/>
      <c r="M3" s="571" t="inlineStr">
        <is>
          <t>備考</t>
        </is>
      </c>
    </row>
    <row r="4" ht="19.2" customHeight="1" s="594">
      <c r="B4" s="813" t="n"/>
      <c r="C4" s="813" t="n"/>
      <c r="D4" s="813" t="n"/>
      <c r="E4" s="813" t="n"/>
      <c r="F4" s="813" t="n"/>
      <c r="G4" s="574" t="inlineStr">
        <is>
          <t>売上高</t>
        </is>
      </c>
      <c r="H4" s="574" t="inlineStr">
        <is>
          <t>構成比</t>
        </is>
      </c>
      <c r="I4" s="574" t="inlineStr">
        <is>
          <t>売上高</t>
        </is>
      </c>
      <c r="J4" s="574" t="inlineStr">
        <is>
          <t>構成比</t>
        </is>
      </c>
      <c r="K4" s="574" t="inlineStr">
        <is>
          <t>売上高</t>
        </is>
      </c>
      <c r="L4" s="574" t="inlineStr">
        <is>
          <t>構成比</t>
        </is>
      </c>
      <c r="M4" s="649" t="n"/>
    </row>
    <row r="5" ht="23.4" customHeight="1" s="594">
      <c r="B5" s="438" t="n">
        <v>1</v>
      </c>
      <c r="C5" s="814" t="inlineStr">
        <is>
          <t>鎌倉山店（本店）</t>
        </is>
      </c>
      <c r="D5" s="814" t="inlineStr">
        <is>
          <t>店頭販売・カフェ</t>
        </is>
      </c>
      <c r="E5" s="814" t="inlineStr">
        <is>
          <t>神奈川県鎌倉市</t>
        </is>
      </c>
      <c r="F5" s="814" t="inlineStr">
        <is>
          <t>飲食・小売</t>
        </is>
      </c>
      <c r="G5" s="815" t="n">
        <v>92068073</v>
      </c>
      <c r="H5" s="634">
        <f>IFERROR(G5/G$16,"")</f>
        <v>0.240111237333916</v>
      </c>
      <c r="I5" s="815" t="n">
        <v>90651247</v>
      </c>
      <c r="J5" s="634">
        <f>IFERROR(I5/I$16,"")</f>
        <v>0.0736505034292832</v>
      </c>
      <c r="K5" s="815" t="n">
        <v>99971894</v>
      </c>
      <c r="L5" s="634">
        <f>IFERROR(K5/K$16,"")</f>
        <v>0.313059444587765</v>
      </c>
      <c r="M5" s="98" t="inlineStr">
        <is>
          <t>自社所有の物件で営業</t>
        </is>
      </c>
    </row>
    <row r="6" ht="23.4" customHeight="1" s="594">
      <c r="B6" s="439" t="n">
        <v>2</v>
      </c>
      <c r="C6" s="814" t="inlineStr">
        <is>
          <t>紀尾井町店</t>
        </is>
      </c>
      <c r="D6" s="814" t="inlineStr">
        <is>
          <t>店頭販売・カフェ</t>
        </is>
      </c>
      <c r="E6" s="814" t="inlineStr">
        <is>
          <t>東京都千代田区</t>
        </is>
      </c>
      <c r="F6" s="814" t="inlineStr">
        <is>
          <t>飲食・小売</t>
        </is>
      </c>
      <c r="G6" s="815" t="n">
        <v>88621416</v>
      </c>
      <c r="H6" s="634">
        <f>IFERROR(G6/G$16,"")</f>
        <v>0.231122441870199</v>
      </c>
      <c r="I6" s="815" t="n">
        <v>99543252</v>
      </c>
      <c r="J6" s="634">
        <f>IFERROR(I6/I$16,"")</f>
        <v>0.0808749009573801</v>
      </c>
      <c r="K6" s="815" t="n">
        <v>87917532</v>
      </c>
      <c r="L6" s="634">
        <f>IFERROR(K6/K$16,"")</f>
        <v>0.275311516429278</v>
      </c>
      <c r="M6" s="99" t="inlineStr">
        <is>
          <t>賃借</t>
        </is>
      </c>
    </row>
    <row r="7" ht="23.4" customHeight="1" s="594">
      <c r="B7" s="440" t="n">
        <v>3</v>
      </c>
      <c r="C7" s="814" t="inlineStr">
        <is>
          <t>大船店</t>
        </is>
      </c>
      <c r="D7" s="814" t="inlineStr">
        <is>
          <t>店頭販売・カフェ</t>
        </is>
      </c>
      <c r="E7" s="814" t="inlineStr">
        <is>
          <t>神奈川県鎌倉市</t>
        </is>
      </c>
      <c r="F7" s="814" t="inlineStr">
        <is>
          <t>飲食・小売</t>
        </is>
      </c>
      <c r="G7" s="815" t="n">
        <v>85043304</v>
      </c>
      <c r="H7" s="634">
        <f>IFERROR(G7/G$16,"")</f>
        <v>0.221790815046214</v>
      </c>
      <c r="I7" s="815" t="n">
        <v>89094125</v>
      </c>
      <c r="J7" s="634">
        <f>IFERROR(I7/I$16,"")</f>
        <v>0.0723854042387468</v>
      </c>
      <c r="K7" s="815" t="n">
        <v>91286307</v>
      </c>
      <c r="L7" s="634">
        <f>IFERROR(K7/K$16,"")</f>
        <v>0.285860749701193</v>
      </c>
      <c r="M7" s="99" t="inlineStr">
        <is>
          <t>賃借（百貨店内。家賃支払先：三越伊勢丹）</t>
        </is>
      </c>
    </row>
    <row r="8" ht="23.4" customHeight="1" s="594">
      <c r="B8" s="439" t="n">
        <v>4</v>
      </c>
      <c r="C8" s="814" t="inlineStr">
        <is>
          <t>四谷店</t>
        </is>
      </c>
      <c r="D8" s="814" t="inlineStr">
        <is>
          <t>店頭販売・カフェ</t>
        </is>
      </c>
      <c r="E8" s="814" t="inlineStr">
        <is>
          <t>東京都新宿区</t>
        </is>
      </c>
      <c r="F8" s="814" t="inlineStr">
        <is>
          <t>飲食・小売</t>
        </is>
      </c>
      <c r="G8" s="815" t="n">
        <v>54918195</v>
      </c>
      <c r="H8" s="634">
        <f>IFERROR(G8/G$16,"")</f>
        <v>0.143225282379868</v>
      </c>
      <c r="I8" s="815" t="n">
        <v>0</v>
      </c>
      <c r="J8" s="634">
        <f>IFERROR(I8/I$16,"")</f>
        <v>0</v>
      </c>
      <c r="K8" s="815" t="n">
        <v>0</v>
      </c>
      <c r="L8" s="634">
        <f>IFERROR(K8/K$16,"")</f>
        <v>0</v>
      </c>
      <c r="M8" s="99" t="inlineStr">
        <is>
          <t>令和7年3月期以降は売上なし（閉店と推察）</t>
        </is>
      </c>
    </row>
    <row r="9" ht="23.4" customHeight="1" s="594">
      <c r="B9" s="440" t="n">
        <v>5</v>
      </c>
      <c r="C9" s="814" t="inlineStr">
        <is>
          <t>ミリュウショップ</t>
        </is>
      </c>
      <c r="D9" s="814" t="inlineStr">
        <is>
          <t>物販（EC等と推察）</t>
        </is>
      </c>
      <c r="E9" s="814" t="inlineStr">
        <is>
          <t>－</t>
        </is>
      </c>
      <c r="F9" s="814" t="inlineStr">
        <is>
          <t>小売</t>
        </is>
      </c>
      <c r="G9" s="815" t="n">
        <v>25967085</v>
      </c>
      <c r="H9" s="634">
        <f>IFERROR(G9/G$16,"")</f>
        <v>0.0677215098148624</v>
      </c>
      <c r="I9" s="815" t="n">
        <v>42088346</v>
      </c>
      <c r="J9" s="634">
        <f>IFERROR(I9/I$16,"")</f>
        <v>0.034195093547978</v>
      </c>
      <c r="K9" s="815" t="n">
        <v>7427382</v>
      </c>
      <c r="L9" s="634">
        <f>IFERROR(K9/K$16,"")</f>
        <v>0.0232586579150052</v>
      </c>
      <c r="M9" s="99" t="inlineStr">
        <is>
          <t>令和8年3月期に急減（要因は要確認）</t>
        </is>
      </c>
    </row>
    <row r="10" ht="23.4" customHeight="1" s="594">
      <c r="B10" s="439" t="n">
        <v>6</v>
      </c>
      <c r="C10" s="814" t="inlineStr">
        <is>
          <t>リンベル株式会社</t>
        </is>
      </c>
      <c r="D10" s="814" t="inlineStr">
        <is>
          <t>ギフト商品の卸（推察）</t>
        </is>
      </c>
      <c r="E10" s="814" t="inlineStr">
        <is>
          <t>東京都</t>
        </is>
      </c>
      <c r="F10" s="814" t="inlineStr">
        <is>
          <t>卸売</t>
        </is>
      </c>
      <c r="G10" s="815" t="n">
        <v>9099750</v>
      </c>
      <c r="H10" s="634">
        <f>IFERROR(G10/G$16,"")</f>
        <v>0.023731920966015</v>
      </c>
      <c r="I10" s="815" t="n">
        <v>11706000</v>
      </c>
      <c r="J10" s="634">
        <f>IFERROR(I10/I$16,"")</f>
        <v>0.00951065563547282</v>
      </c>
      <c r="K10" s="815" t="n">
        <v>6032250</v>
      </c>
      <c r="L10" s="634">
        <f>IFERROR(K10/K$16,"")</f>
        <v>0.0188898375238799</v>
      </c>
      <c r="M10" s="99" t="inlineStr"/>
    </row>
    <row r="11" ht="23.4" customHeight="1" s="594">
      <c r="B11" s="440" t="n">
        <v>7</v>
      </c>
      <c r="C11" s="814" t="inlineStr">
        <is>
          <t>株式会社ケンコーポレーション</t>
        </is>
      </c>
      <c r="D11" s="814" t="inlineStr">
        <is>
          <t>商品販売（内容要確認）</t>
        </is>
      </c>
      <c r="E11" s="814" t="inlineStr">
        <is>
          <t>－</t>
        </is>
      </c>
      <c r="F11" s="814" t="inlineStr">
        <is>
          <t>－</t>
        </is>
      </c>
      <c r="G11" s="815" t="n">
        <v>5750360</v>
      </c>
      <c r="H11" s="634">
        <f>IFERROR(G11/G$16,"")</f>
        <v>0.014996795411537</v>
      </c>
      <c r="I11" s="815" t="n">
        <v>5672510</v>
      </c>
      <c r="J11" s="634">
        <f>IFERROR(I11/I$16,"")</f>
        <v>0.00460868692967503</v>
      </c>
      <c r="K11" s="815" t="n">
        <v>2033260</v>
      </c>
      <c r="L11" s="634">
        <f>IFERROR(K11/K$16,"")</f>
        <v>0.00636710200071351</v>
      </c>
      <c r="M11" s="99" t="inlineStr"/>
    </row>
    <row r="12" ht="23.4" customHeight="1" s="594">
      <c r="B12" s="439" t="n">
        <v>8</v>
      </c>
      <c r="C12" s="814" t="inlineStr">
        <is>
          <t>不動産賃貸収入</t>
        </is>
      </c>
      <c r="D12" s="814" t="inlineStr">
        <is>
          <t>賃貸収入（松濤フラッツ）</t>
        </is>
      </c>
      <c r="E12" s="814" t="inlineStr">
        <is>
          <t>東京都渋谷区</t>
        </is>
      </c>
      <c r="F12" s="814" t="inlineStr">
        <is>
          <t>不動産賃貸</t>
        </is>
      </c>
      <c r="G12" s="815" t="n">
        <v>16633646</v>
      </c>
      <c r="H12" s="634">
        <f>IFERROR(G12/G$16,"")</f>
        <v>0.0433801337672653</v>
      </c>
      <c r="I12" s="815" t="n">
        <v>16832410</v>
      </c>
      <c r="J12" s="634">
        <f>IFERROR(I12/I$16,"")</f>
        <v>0.0136756582116085</v>
      </c>
      <c r="K12" s="815" t="n">
        <v>1635396</v>
      </c>
      <c r="L12" s="634">
        <f>IFERROR(K12/K$16,"")</f>
        <v>0.00512120099916335</v>
      </c>
      <c r="M12" s="99" t="inlineStr">
        <is>
          <t>非継続（令和7年3月末に売却）</t>
        </is>
      </c>
    </row>
    <row r="13" ht="23.4" customHeight="1" s="594">
      <c r="B13" s="440" t="n">
        <v>9</v>
      </c>
      <c r="C13" s="814" t="inlineStr">
        <is>
          <t>不動産売却収入</t>
        </is>
      </c>
      <c r="D13" s="814" t="inlineStr">
        <is>
          <t>土地・建物（松濤フラッツ）</t>
        </is>
      </c>
      <c r="E13" s="814" t="inlineStr">
        <is>
          <t>東京都渋谷区</t>
        </is>
      </c>
      <c r="F13" s="814" t="inlineStr">
        <is>
          <t>不動産売買</t>
        </is>
      </c>
      <c r="G13" s="815" t="n">
        <v>0</v>
      </c>
      <c r="H13" s="634">
        <f>IFERROR(G13/G$16,"")</f>
        <v>0</v>
      </c>
      <c r="I13" s="815" t="n">
        <v>869200000</v>
      </c>
      <c r="J13" s="634">
        <f>IFERROR(I13/I$16,"")</f>
        <v>0.706190148501023</v>
      </c>
      <c r="K13" s="815" t="n">
        <v>0</v>
      </c>
      <c r="L13" s="634">
        <f>IFERROR(K13/K$16,"")</f>
        <v>0</v>
      </c>
      <c r="M13" s="99" t="inlineStr">
        <is>
          <t>非継続（令和7年3月31日売却）</t>
        </is>
      </c>
    </row>
    <row r="14" ht="23.4" customHeight="1" s="594">
      <c r="B14" s="439" t="n">
        <v>10</v>
      </c>
      <c r="C14" s="814" t="inlineStr">
        <is>
          <t>コンサル収入</t>
        </is>
      </c>
      <c r="D14" s="814" t="inlineStr">
        <is>
          <t>コンサルティング報酬</t>
        </is>
      </c>
      <c r="E14" s="814" t="inlineStr">
        <is>
          <t>－</t>
        </is>
      </c>
      <c r="F14" s="814" t="inlineStr">
        <is>
          <t>－</t>
        </is>
      </c>
      <c r="G14" s="815" t="n">
        <v>0</v>
      </c>
      <c r="H14" s="634">
        <f>IFERROR(G14/G$16,"")</f>
        <v>0</v>
      </c>
      <c r="I14" s="815" t="n">
        <v>0</v>
      </c>
      <c r="J14" s="634">
        <f>IFERROR(I14/I$16,"")</f>
        <v>0</v>
      </c>
      <c r="K14" s="815" t="n">
        <v>14000000</v>
      </c>
      <c r="L14" s="634">
        <f>IFERROR(K14/K$16,"")</f>
        <v>0.0438406440937161</v>
      </c>
      <c r="M14" s="99" t="inlineStr">
        <is>
          <t>単発。相手先・契約内容は要確認</t>
        </is>
      </c>
    </row>
    <row r="15" ht="23.4" customHeight="1" s="594">
      <c r="B15" s="66" t="n"/>
      <c r="C15" s="816" t="inlineStr">
        <is>
          <t>その他（決済代行・法人取引等）</t>
        </is>
      </c>
      <c r="D15" s="816" t="n"/>
      <c r="E15" s="816" t="n"/>
      <c r="F15" s="816" t="n"/>
      <c r="G15" s="815" t="n">
        <v>5337422</v>
      </c>
      <c r="H15" s="634">
        <f>IFERROR(G15/G$16,"")</f>
        <v>0.0139198634101233</v>
      </c>
      <c r="I15" s="815" t="n">
        <v>6042081</v>
      </c>
      <c r="J15" s="634">
        <f>IFERROR(I15/I$16,"")</f>
        <v>0.0049089485488325</v>
      </c>
      <c r="K15" s="815" t="n">
        <v>9034353</v>
      </c>
      <c r="L15" s="634">
        <f>IFERROR(K15/K$16,"")</f>
        <v>0.0282908467492854</v>
      </c>
      <c r="M15" s="99" t="n"/>
    </row>
    <row r="16" ht="23.4" customHeight="1" s="594">
      <c r="B16" s="158" t="n"/>
      <c r="C16" s="817" t="inlineStr">
        <is>
          <t>合計</t>
        </is>
      </c>
      <c r="D16" s="817" t="n"/>
      <c r="E16" s="817" t="n"/>
      <c r="F16" s="817" t="n"/>
      <c r="G16" s="818">
        <f>SUM(G5:G15)</f>
        <v>383439251</v>
      </c>
      <c r="H16" s="819">
        <f>SUM(H5:H15)</f>
        <v>1</v>
      </c>
      <c r="I16" s="818">
        <f>SUM(I5:I15)</f>
        <v>1230829971</v>
      </c>
      <c r="J16" s="819">
        <f>SUM(J5:J15)</f>
        <v>1</v>
      </c>
      <c r="K16" s="818">
        <f>SUM(K5:K15)</f>
        <v>319338374</v>
      </c>
      <c r="L16" s="819">
        <f>SUM(L5:L15)</f>
        <v>1</v>
      </c>
      <c r="M16" s="155" t="n"/>
    </row>
    <row r="17">
      <c r="C17" s="817" t="inlineStr">
        <is>
          <t>（検算）PL売上高と一致</t>
        </is>
      </c>
      <c r="G17" s="818">
        <f>EXACT(G16,PL!C11)</f>
        <v>1</v>
      </c>
      <c r="I17" s="818">
        <f>EXACT(I16,PL!E11)</f>
        <v>1</v>
      </c>
      <c r="K17" s="818">
        <f>EXACT(K16,PL!G11)</f>
        <v>1</v>
      </c>
    </row>
  </sheetData>
  <mergeCells count="6">
    <mergeCell ref="C3:C4"/>
    <mergeCell ref="B3:B4"/>
    <mergeCell ref="M3:M4"/>
    <mergeCell ref="E3:E4"/>
    <mergeCell ref="F3:F4"/>
    <mergeCell ref="D3:D4"/>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B2:L17"/>
  <sheetViews>
    <sheetView showGridLines="0" zoomScaleNormal="100" workbookViewId="0">
      <selection activeCell="B5" sqref="B5:B15"/>
    </sheetView>
  </sheetViews>
  <sheetFormatPr baseColWidth="8" defaultRowHeight="18"/>
  <cols>
    <col width="3.796875" customWidth="1" style="65" min="1" max="1"/>
    <col width="4.3984375" customWidth="1" style="65" min="2" max="2"/>
    <col width="27" customWidth="1" style="594" min="3" max="3"/>
    <col width="25" customWidth="1" style="594" min="4" max="4"/>
    <col width="10" customWidth="1" style="65" min="5" max="5"/>
    <col width="11.5" customWidth="1" style="65" min="6" max="6"/>
    <col width="8.5" customWidth="1" style="65" min="7" max="7"/>
    <col width="11.5" customWidth="1" style="65" min="8" max="8"/>
    <col width="8.5" customWidth="1" style="65" min="9" max="9"/>
    <col width="11.5" customWidth="1" style="65" min="10" max="10"/>
    <col width="8.5" customWidth="1" style="65" min="11" max="11"/>
    <col width="26" customWidth="1" style="65" min="12" max="12"/>
    <col width="8.796875" customWidth="1" style="65" min="13" max="16384"/>
  </cols>
  <sheetData>
    <row r="2">
      <c r="K2" s="73" t="inlineStr">
        <is>
          <t>(単位：千円)</t>
        </is>
      </c>
    </row>
    <row r="3" ht="19.2" customHeight="1" s="594">
      <c r="B3" s="573" t="inlineStr">
        <is>
          <t>№</t>
        </is>
      </c>
      <c r="C3" s="573" t="inlineStr">
        <is>
          <t>仕入先</t>
        </is>
      </c>
      <c r="D3" s="573" t="inlineStr">
        <is>
          <t>仕入内容</t>
        </is>
      </c>
      <c r="E3" s="573" t="inlineStr">
        <is>
          <t>本社所在地</t>
        </is>
      </c>
      <c r="F3" s="96" t="str">
        <f>'BS(借方)'!C4</f>
        <v>令和6年3月期</v>
      </c>
      <c r="G3" s="96" t="n"/>
      <c r="H3" s="96" t="str">
        <f>'BS(借方)'!D4</f>
        <v>令和7年3月期</v>
      </c>
      <c r="I3" s="96" t="n"/>
      <c r="J3" s="96" t="str">
        <f>'BS(借方)'!E4</f>
        <v>令和8年3月期</v>
      </c>
      <c r="K3" s="96" t="n"/>
      <c r="L3" s="571" t="inlineStr">
        <is>
          <t>備考</t>
        </is>
      </c>
    </row>
    <row r="4" ht="19.2" customHeight="1" s="594">
      <c r="B4" s="813" t="n"/>
      <c r="C4" s="813" t="n"/>
      <c r="D4" s="813" t="n"/>
      <c r="E4" s="813" t="n"/>
      <c r="F4" s="574" t="inlineStr">
        <is>
          <t>仕入高</t>
        </is>
      </c>
      <c r="G4" s="574" t="inlineStr">
        <is>
          <t>構成比</t>
        </is>
      </c>
      <c r="H4" s="574" t="inlineStr">
        <is>
          <t>仕入高</t>
        </is>
      </c>
      <c r="I4" s="574" t="inlineStr">
        <is>
          <t>構成比</t>
        </is>
      </c>
      <c r="J4" s="574" t="inlineStr">
        <is>
          <t>仕入高</t>
        </is>
      </c>
      <c r="K4" s="574" t="inlineStr">
        <is>
          <t>構成比</t>
        </is>
      </c>
      <c r="L4" s="649" t="n"/>
    </row>
    <row r="5" ht="23.4" customHeight="1" s="594">
      <c r="B5" s="438" t="n">
        <v>1</v>
      </c>
      <c r="C5" s="814" t="inlineStr">
        <is>
          <t>株式会社イワセ・エスタ</t>
        </is>
      </c>
      <c r="D5" s="814" t="inlineStr">
        <is>
          <t>食材・製菓材料（推察）</t>
        </is>
      </c>
      <c r="E5" s="814" t="inlineStr">
        <is>
          <t>要確認</t>
        </is>
      </c>
      <c r="F5" s="815" t="n">
        <v>28050300</v>
      </c>
      <c r="G5" s="634">
        <f>IFERROR(F5/F$16,"")</f>
        <v>0.265021441233541</v>
      </c>
      <c r="H5" s="815" t="n">
        <v>24442344</v>
      </c>
      <c r="I5" s="634">
        <f>IFERROR(H5/H$16,"")</f>
        <v>0.242324579579414</v>
      </c>
      <c r="J5" s="815" t="n">
        <v>21717876</v>
      </c>
      <c r="K5" s="634">
        <f>IFERROR(J5/J$16,"")</f>
        <v>0.226213444467355</v>
      </c>
      <c r="L5" s="98" t="n"/>
    </row>
    <row r="6" ht="23.4" customHeight="1" s="594">
      <c r="B6" s="439" t="n">
        <v>2</v>
      </c>
      <c r="C6" s="814" t="inlineStr">
        <is>
          <t>池伝株式会社</t>
        </is>
      </c>
      <c r="D6" s="814" t="inlineStr">
        <is>
          <t>輸入食材等（推察）</t>
        </is>
      </c>
      <c r="E6" s="814" t="inlineStr">
        <is>
          <t>要確認</t>
        </is>
      </c>
      <c r="F6" s="815" t="n">
        <v>18268647</v>
      </c>
      <c r="G6" s="634">
        <f>IFERROR(F6/F$16,"")</f>
        <v>0.172603614126295</v>
      </c>
      <c r="H6" s="815" t="n">
        <v>17378610</v>
      </c>
      <c r="I6" s="634">
        <f>IFERROR(H6/H$16,"")</f>
        <v>0.172293801360647</v>
      </c>
      <c r="J6" s="815" t="n">
        <v>13460004</v>
      </c>
      <c r="K6" s="634">
        <f>IFERROR(J6/J$16,"")</f>
        <v>0.140199431444602</v>
      </c>
      <c r="L6" s="99" t="inlineStr"/>
    </row>
    <row r="7" ht="23.4" customHeight="1" s="594">
      <c r="B7" s="440" t="n">
        <v>3</v>
      </c>
      <c r="C7" s="814" t="inlineStr">
        <is>
          <t>（取引先名記載なし）</t>
        </is>
      </c>
      <c r="D7" s="814" t="inlineStr">
        <is>
          <t>現金仕入等</t>
        </is>
      </c>
      <c r="E7" s="814" t="inlineStr">
        <is>
          <t>要確認</t>
        </is>
      </c>
      <c r="F7" s="815" t="n">
        <v>688192</v>
      </c>
      <c r="G7" s="634">
        <f>IFERROR(F7/F$16,"")</f>
        <v>0.00650209215892141</v>
      </c>
      <c r="H7" s="815" t="n">
        <v>1597573</v>
      </c>
      <c r="I7" s="634">
        <f>IFERROR(H7/H$16,"")</f>
        <v>0.0158385466456254</v>
      </c>
      <c r="J7" s="815" t="n">
        <v>10441136</v>
      </c>
      <c r="K7" s="634">
        <f>IFERROR(J7/J$16,"")</f>
        <v>0.10875489567728</v>
      </c>
      <c r="L7" s="99" t="inlineStr">
        <is>
          <t>元帳上、取引先名が空欄</t>
        </is>
      </c>
    </row>
    <row r="8" ht="23.4" customHeight="1" s="594">
      <c r="B8" s="439" t="n">
        <v>4</v>
      </c>
      <c r="C8" s="814" t="inlineStr">
        <is>
          <t>株式会社東光</t>
        </is>
      </c>
      <c r="D8" s="814" t="inlineStr">
        <is>
          <t>食材・原材料（推察）</t>
        </is>
      </c>
      <c r="E8" s="814" t="inlineStr">
        <is>
          <t>要確認</t>
        </is>
      </c>
      <c r="F8" s="815" t="n">
        <v>6091895</v>
      </c>
      <c r="G8" s="634">
        <f>IFERROR(F8/F$16,"")</f>
        <v>0.0575567032346678</v>
      </c>
      <c r="H8" s="815" t="n">
        <v>5500130</v>
      </c>
      <c r="I8" s="634">
        <f>IFERROR(H8/H$16,"")</f>
        <v>0.0545290046601964</v>
      </c>
      <c r="J8" s="815" t="n">
        <v>5972479</v>
      </c>
      <c r="K8" s="634">
        <f>IFERROR(J8/J$16,"")</f>
        <v>0.0622093544782622</v>
      </c>
      <c r="L8" s="99" t="inlineStr"/>
    </row>
    <row r="9" ht="23.4" customHeight="1" s="594">
      <c r="B9" s="440" t="n">
        <v>5</v>
      </c>
      <c r="C9" s="814" t="inlineStr">
        <is>
          <t>キーコーヒー株式会社</t>
        </is>
      </c>
      <c r="D9" s="814" t="inlineStr">
        <is>
          <t>コーヒー豆・関連商材</t>
        </is>
      </c>
      <c r="E9" s="814" t="inlineStr">
        <is>
          <t>要確認</t>
        </is>
      </c>
      <c r="F9" s="815" t="n">
        <v>5504018</v>
      </c>
      <c r="G9" s="634">
        <f>IFERROR(F9/F$16,"")</f>
        <v>0.0520023950879439</v>
      </c>
      <c r="H9" s="815" t="n">
        <v>5611507</v>
      </c>
      <c r="I9" s="634">
        <f>IFERROR(H9/H$16,"")</f>
        <v>0.055633210733878</v>
      </c>
      <c r="J9" s="815" t="n">
        <v>5486964</v>
      </c>
      <c r="K9" s="634">
        <f>IFERROR(J9/J$16,"")</f>
        <v>0.0571522291640479</v>
      </c>
      <c r="L9" s="99" t="inlineStr"/>
    </row>
    <row r="10" ht="23.4" customHeight="1" s="594">
      <c r="B10" s="439" t="n">
        <v>6</v>
      </c>
      <c r="C10" s="814" t="inlineStr">
        <is>
          <t>タカナシ販売株式会社</t>
        </is>
      </c>
      <c r="D10" s="814" t="inlineStr">
        <is>
          <t>乳製品</t>
        </is>
      </c>
      <c r="E10" s="814" t="inlineStr">
        <is>
          <t>要確認</t>
        </is>
      </c>
      <c r="F10" s="815" t="n">
        <v>4106540</v>
      </c>
      <c r="G10" s="634">
        <f>IFERROR(F10/F$16,"")</f>
        <v>0.0387989129985485</v>
      </c>
      <c r="H10" s="815" t="n">
        <v>2967216</v>
      </c>
      <c r="I10" s="634">
        <f>IFERROR(H10/H$16,"")</f>
        <v>0.0294173656062328</v>
      </c>
      <c r="J10" s="815" t="n">
        <v>5308617</v>
      </c>
      <c r="K10" s="634">
        <f>IFERROR(J10/J$16,"")</f>
        <v>0.0552945664174506</v>
      </c>
      <c r="L10" s="99" t="inlineStr"/>
    </row>
    <row r="11" ht="23.4" customHeight="1" s="594">
      <c r="B11" s="440" t="n">
        <v>7</v>
      </c>
      <c r="C11" s="814" t="inlineStr">
        <is>
          <t>立替精算</t>
        </is>
      </c>
      <c r="D11" s="814" t="inlineStr">
        <is>
          <t>立替精算</t>
        </is>
      </c>
      <c r="E11" s="814" t="inlineStr">
        <is>
          <t>要確認</t>
        </is>
      </c>
      <c r="F11" s="815" t="n">
        <v>9004353</v>
      </c>
      <c r="G11" s="634">
        <f>IFERROR(F11/F$16,"")</f>
        <v>0.0850738355538287</v>
      </c>
      <c r="H11" s="815" t="n">
        <v>7160014</v>
      </c>
      <c r="I11" s="634">
        <f>IFERROR(H11/H$16,"")</f>
        <v>0.0709853106695789</v>
      </c>
      <c r="J11" s="815" t="n">
        <v>5172411</v>
      </c>
      <c r="K11" s="634">
        <f>IFERROR(J11/J$16,"")</f>
        <v>0.0538758444200914</v>
      </c>
      <c r="L11" s="99" t="inlineStr">
        <is>
          <t>従業員立替等（内訳は要確認）</t>
        </is>
      </c>
    </row>
    <row r="12" ht="23.4" customHeight="1" s="594">
      <c r="B12" s="439" t="n">
        <v>8</v>
      </c>
      <c r="C12" s="814" t="inlineStr">
        <is>
          <t>丸叶食品有限会社</t>
        </is>
      </c>
      <c r="D12" s="814" t="inlineStr">
        <is>
          <t>食材・原材料（推察）</t>
        </is>
      </c>
      <c r="E12" s="814" t="inlineStr">
        <is>
          <t>要確認</t>
        </is>
      </c>
      <c r="F12" s="815" t="n">
        <v>325567</v>
      </c>
      <c r="G12" s="634">
        <f>IFERROR(F12/F$16,"")</f>
        <v>0.00307598262970736</v>
      </c>
      <c r="H12" s="815" t="n">
        <v>4605130</v>
      </c>
      <c r="I12" s="634">
        <f>IFERROR(H12/H$16,"")</f>
        <v>0.0456558581762268</v>
      </c>
      <c r="J12" s="815" t="n">
        <v>4179115</v>
      </c>
      <c r="K12" s="634">
        <f>IFERROR(J12/J$16,"")</f>
        <v>0.0435296710863986</v>
      </c>
      <c r="L12" s="99" t="inlineStr"/>
    </row>
    <row r="13" ht="23.4" customHeight="1" s="594">
      <c r="B13" s="440" t="n">
        <v>9</v>
      </c>
      <c r="C13" s="814" t="inlineStr">
        <is>
          <t>株式会社ナカリ</t>
        </is>
      </c>
      <c r="D13" s="814" t="inlineStr">
        <is>
          <t>食材・原材料（推察）</t>
        </is>
      </c>
      <c r="E13" s="814" t="inlineStr">
        <is>
          <t>要確認</t>
        </is>
      </c>
      <c r="F13" s="815" t="n">
        <v>4564800</v>
      </c>
      <c r="G13" s="634">
        <f>IFERROR(F13/F$16,"")</f>
        <v>0.043128589531765</v>
      </c>
      <c r="H13" s="815" t="n">
        <v>2963500</v>
      </c>
      <c r="I13" s="634">
        <f>IFERROR(H13/H$16,"")</f>
        <v>0.0293805246985966</v>
      </c>
      <c r="J13" s="815" t="n">
        <v>3629600</v>
      </c>
      <c r="K13" s="634">
        <f>IFERROR(J13/J$16,"")</f>
        <v>0.0378059216305827</v>
      </c>
      <c r="L13" s="99" t="inlineStr"/>
    </row>
    <row r="14" ht="23.4" customHeight="1" s="594">
      <c r="B14" s="439" t="n">
        <v>10</v>
      </c>
      <c r="C14" s="814" t="inlineStr">
        <is>
          <t>中沢乳業株式会社</t>
        </is>
      </c>
      <c r="D14" s="814" t="inlineStr">
        <is>
          <t>乳製品</t>
        </is>
      </c>
      <c r="E14" s="814" t="inlineStr">
        <is>
          <t>要確認</t>
        </is>
      </c>
      <c r="F14" s="815" t="n">
        <v>3036394</v>
      </c>
      <c r="G14" s="634">
        <f>IFERROR(F14/F$16,"")</f>
        <v>0.0286880893977204</v>
      </c>
      <c r="H14" s="815" t="n">
        <v>3191147</v>
      </c>
      <c r="I14" s="634">
        <f>IFERROR(H14/H$16,"")</f>
        <v>0.0316374466847823</v>
      </c>
      <c r="J14" s="815" t="n">
        <v>2533914</v>
      </c>
      <c r="K14" s="634">
        <f>IFERROR(J14/J$16,"")</f>
        <v>0.0263932538303494</v>
      </c>
      <c r="L14" s="99" t="inlineStr"/>
    </row>
    <row r="15" ht="23.4" customHeight="1" s="594">
      <c r="B15" s="437" t="n"/>
      <c r="C15" s="816" t="inlineStr">
        <is>
          <t>その他（上位10項目以外）</t>
        </is>
      </c>
      <c r="D15" s="816" t="n"/>
      <c r="E15" s="816" t="n"/>
      <c r="F15" s="815" t="n">
        <v>26200919</v>
      </c>
      <c r="G15" s="634">
        <f>IFERROR(F15/F$16,"")</f>
        <v>0.247548344047061</v>
      </c>
      <c r="H15" s="815" t="n">
        <v>25448965</v>
      </c>
      <c r="I15" s="634">
        <f>IFERROR(H15/H$16,"")</f>
        <v>0.252304351184822</v>
      </c>
      <c r="J15" s="815" t="n">
        <v>18104008</v>
      </c>
      <c r="K15" s="634">
        <f>IFERROR(J15/J$16,"")</f>
        <v>0.18857138738358</v>
      </c>
      <c r="L15" s="99" t="n"/>
    </row>
    <row r="16" ht="23.4" customHeight="1" s="594">
      <c r="B16" s="158" t="n"/>
      <c r="C16" s="817" t="inlineStr">
        <is>
          <t>合計</t>
        </is>
      </c>
      <c r="D16" s="817" t="n"/>
      <c r="E16" s="817" t="n"/>
      <c r="F16" s="818">
        <f>SUM(F5:F15)</f>
        <v>105841625</v>
      </c>
      <c r="G16" s="819">
        <f>SUM(G5:G15)</f>
        <v>1</v>
      </c>
      <c r="H16" s="818">
        <f>SUM(H5:H15)</f>
        <v>100866136</v>
      </c>
      <c r="I16" s="819">
        <f>SUM(I5:I15)</f>
        <v>1</v>
      </c>
      <c r="J16" s="818">
        <f>SUM(J5:J15)</f>
        <v>96006124</v>
      </c>
      <c r="K16" s="819">
        <f>SUM(K5:K15)</f>
        <v>1</v>
      </c>
      <c r="L16" s="155" t="n"/>
    </row>
    <row r="17">
      <c r="C17" s="817" t="inlineStr">
        <is>
          <t>（検算）PL当期商品仕入高と一致（令和7年3月期は不動産売却関連原価を除く）</t>
        </is>
      </c>
      <c r="F17" s="818">
        <f>EXACT(F16,PL!C13)</f>
        <v>1</v>
      </c>
      <c r="H17" s="818">
        <f>EXACT(H16,PL!E13)</f>
        <v>1</v>
      </c>
      <c r="J17" s="818">
        <f>EXACT(J16,PL!G13)</f>
        <v>1</v>
      </c>
    </row>
  </sheetData>
  <mergeCells count="5">
    <mergeCell ref="L3:L4"/>
    <mergeCell ref="B3:B4"/>
    <mergeCell ref="C3:C4"/>
    <mergeCell ref="E3:E4"/>
    <mergeCell ref="D3:D4"/>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B2:M17"/>
  <sheetViews>
    <sheetView showGridLines="0" zoomScaleNormal="100" workbookViewId="0">
      <selection activeCell="B5" sqref="B5:B14"/>
    </sheetView>
  </sheetViews>
  <sheetFormatPr baseColWidth="8" defaultRowHeight="18"/>
  <cols>
    <col width="3.796875" customWidth="1" style="65" min="1" max="1"/>
    <col width="4.3984375" customWidth="1" style="65" min="2" max="2"/>
    <col width="30.3984375" customWidth="1" style="65" min="3" max="4"/>
    <col width="16.09765625" customWidth="1" style="65" min="5" max="5"/>
    <col width="19.09765625" customWidth="1" style="65" min="6" max="6"/>
    <col width="11.5" customWidth="1" style="65" min="7" max="7"/>
    <col width="8.5" customWidth="1" style="65" min="8" max="8"/>
    <col width="11.5" customWidth="1" style="65" min="9" max="9"/>
    <col width="8.5" customWidth="1" style="65" min="10" max="10"/>
    <col width="11.5" customWidth="1" style="65" min="11" max="11"/>
    <col width="8.5" customWidth="1" style="65" min="12" max="12"/>
    <col width="31.5" customWidth="1" style="65" min="13" max="13"/>
    <col width="8.796875" customWidth="1" style="65" min="14" max="16384"/>
  </cols>
  <sheetData>
    <row r="2">
      <c r="L2" s="73" t="inlineStr">
        <is>
          <t>(単位：千円)</t>
        </is>
      </c>
    </row>
    <row r="3" ht="19.2" customHeight="1" s="594">
      <c r="B3" s="573" t="inlineStr">
        <is>
          <t>№</t>
        </is>
      </c>
      <c r="C3" s="573" t="inlineStr">
        <is>
          <t>外注先</t>
        </is>
      </c>
      <c r="D3" s="573" t="inlineStr">
        <is>
          <t>外注内容</t>
        </is>
      </c>
      <c r="E3" s="573" t="inlineStr">
        <is>
          <t>本社所在地</t>
        </is>
      </c>
      <c r="F3" s="573" t="inlineStr">
        <is>
          <t>業種等</t>
        </is>
      </c>
      <c r="G3" s="96" t="str">
        <f>'BS(借方)'!C4</f>
        <v>令和6年3月期</v>
      </c>
      <c r="H3" s="96" t="n"/>
      <c r="I3" s="96" t="str">
        <f>'BS(借方)'!D4</f>
        <v>令和7年3月期</v>
      </c>
      <c r="J3" s="96" t="n"/>
      <c r="K3" s="96" t="str">
        <f>'BS(借方)'!E4</f>
        <v>令和8年3月期</v>
      </c>
      <c r="L3" s="96" t="n"/>
      <c r="M3" s="571" t="inlineStr">
        <is>
          <t>備考</t>
        </is>
      </c>
    </row>
    <row r="4" ht="19.2" customHeight="1" s="594">
      <c r="B4" s="813" t="n"/>
      <c r="C4" s="813" t="n"/>
      <c r="D4" s="813" t="n"/>
      <c r="E4" s="813" t="n"/>
      <c r="F4" s="813" t="n"/>
      <c r="G4" s="574" t="inlineStr">
        <is>
          <t>外注費</t>
        </is>
      </c>
      <c r="H4" s="574" t="inlineStr">
        <is>
          <t>構成比</t>
        </is>
      </c>
      <c r="I4" s="574" t="inlineStr">
        <is>
          <t>外注費</t>
        </is>
      </c>
      <c r="J4" s="574" t="inlineStr">
        <is>
          <t>構成比</t>
        </is>
      </c>
      <c r="K4" s="574" t="inlineStr">
        <is>
          <t>外注費</t>
        </is>
      </c>
      <c r="L4" s="574" t="inlineStr">
        <is>
          <t>構成比</t>
        </is>
      </c>
      <c r="M4" s="649" t="n"/>
    </row>
    <row r="5" ht="23.4" customHeight="1" s="594">
      <c r="B5" s="438" t="n">
        <v>1</v>
      </c>
      <c r="C5" s="814" t="inlineStr">
        <is>
          <t>個人外注先A</t>
        </is>
      </c>
      <c r="D5" s="814" t="inlineStr">
        <is>
          <t>外注（内容要確認）</t>
        </is>
      </c>
      <c r="E5" s="814" t="inlineStr">
        <is>
          <t>要確認</t>
        </is>
      </c>
      <c r="F5" s="814" t="inlineStr">
        <is>
          <t>－</t>
        </is>
      </c>
      <c r="G5" s="815" t="n">
        <v>1273723</v>
      </c>
      <c r="H5" s="634">
        <f>IFERROR(G5/G$16,"")</f>
        <v>0.207301699006689</v>
      </c>
      <c r="I5" s="815" t="n">
        <v>1206394</v>
      </c>
      <c r="J5" s="634">
        <f>IFERROR(I5/I$16,"")</f>
        <v>0.376127976434517</v>
      </c>
      <c r="K5" s="815" t="n">
        <v>1335280</v>
      </c>
      <c r="L5" s="634">
        <f>IFERROR(K5/K$16,"")</f>
        <v>0.581436006899131</v>
      </c>
      <c r="M5" s="98" t="inlineStr">
        <is>
          <t>外注費は個人名の取引先が中心（個人事業主等）。氏名は買手向け資料では非開示とする</t>
        </is>
      </c>
    </row>
    <row r="6" ht="23.4" customHeight="1" s="594">
      <c r="B6" s="439" t="n">
        <v>2</v>
      </c>
      <c r="C6" s="814" t="inlineStr">
        <is>
          <t>（取引先名記載なし）</t>
        </is>
      </c>
      <c r="D6" s="814" t="inlineStr">
        <is>
          <t>外注（内容要確認）</t>
        </is>
      </c>
      <c r="E6" s="814" t="inlineStr">
        <is>
          <t>要確認</t>
        </is>
      </c>
      <c r="F6" s="814" t="inlineStr">
        <is>
          <t>－</t>
        </is>
      </c>
      <c r="G6" s="815" t="n">
        <v>672600</v>
      </c>
      <c r="H6" s="634">
        <f>IFERROR(G6/G$16,"")</f>
        <v>0.109467382430794</v>
      </c>
      <c r="I6" s="815" t="n">
        <v>29988</v>
      </c>
      <c r="J6" s="634">
        <f>IFERROR(I6/I$16,"")</f>
        <v>0.00934962023793081</v>
      </c>
      <c r="K6" s="815" t="n">
        <v>678191</v>
      </c>
      <c r="L6" s="634">
        <f>IFERROR(K6/K$16,"")</f>
        <v>0.295312344193674</v>
      </c>
      <c r="M6" s="99" t="n"/>
    </row>
    <row r="7" ht="23.4" customHeight="1" s="594">
      <c r="B7" s="440" t="n">
        <v>3</v>
      </c>
      <c r="C7" s="814" t="inlineStr">
        <is>
          <t>個人外注先C</t>
        </is>
      </c>
      <c r="D7" s="814" t="inlineStr">
        <is>
          <t>外注（内容要確認）</t>
        </is>
      </c>
      <c r="E7" s="814" t="inlineStr">
        <is>
          <t>要確認</t>
        </is>
      </c>
      <c r="F7" s="814" t="inlineStr">
        <is>
          <t>－</t>
        </is>
      </c>
      <c r="G7" s="815" t="n">
        <v>60180</v>
      </c>
      <c r="H7" s="634">
        <f>IFERROR(G7/G$16,"")</f>
        <v>0.00979445000696581</v>
      </c>
      <c r="I7" s="815" t="n">
        <v>13729</v>
      </c>
      <c r="J7" s="634">
        <f>IFERROR(I7/I$16,"")</f>
        <v>0.00428041003890063</v>
      </c>
      <c r="K7" s="815" t="n">
        <v>121690</v>
      </c>
      <c r="L7" s="634">
        <f>IFERROR(K7/K$16,"")</f>
        <v>0.0529888470429837</v>
      </c>
      <c r="M7" s="99" t="n"/>
    </row>
    <row r="8" ht="23.4" customHeight="1" s="594">
      <c r="B8" s="439" t="n">
        <v>4</v>
      </c>
      <c r="C8" s="814" t="inlineStr">
        <is>
          <t>株式会社アイクス</t>
        </is>
      </c>
      <c r="D8" s="814" t="inlineStr">
        <is>
          <t>外注（内容要確認）</t>
        </is>
      </c>
      <c r="E8" s="814" t="inlineStr">
        <is>
          <t>要確認</t>
        </is>
      </c>
      <c r="F8" s="814" t="inlineStr">
        <is>
          <t>－</t>
        </is>
      </c>
      <c r="G8" s="815" t="n">
        <v>0</v>
      </c>
      <c r="H8" s="634">
        <f>IFERROR(G8/G$16,"")</f>
        <v>0</v>
      </c>
      <c r="I8" s="815" t="n">
        <v>0</v>
      </c>
      <c r="J8" s="634">
        <f>IFERROR(I8/I$16,"")</f>
        <v>0</v>
      </c>
      <c r="K8" s="815" t="n">
        <v>116000</v>
      </c>
      <c r="L8" s="634">
        <f>IFERROR(K8/K$16,"")</f>
        <v>0.0505111862682728</v>
      </c>
      <c r="M8" s="99" t="n"/>
    </row>
    <row r="9" ht="23.4" customHeight="1" s="594">
      <c r="B9" s="440" t="n">
        <v>5</v>
      </c>
      <c r="C9" s="814" t="inlineStr">
        <is>
          <t>個人外注先E</t>
        </is>
      </c>
      <c r="D9" s="814" t="inlineStr">
        <is>
          <t>外注（内容要確認）</t>
        </is>
      </c>
      <c r="E9" s="814" t="inlineStr">
        <is>
          <t>要確認</t>
        </is>
      </c>
      <c r="F9" s="814" t="inlineStr">
        <is>
          <t>－</t>
        </is>
      </c>
      <c r="G9" s="815" t="n">
        <v>0</v>
      </c>
      <c r="H9" s="634">
        <f>IFERROR(G9/G$16,"")</f>
        <v>0</v>
      </c>
      <c r="I9" s="815" t="n">
        <v>127006</v>
      </c>
      <c r="J9" s="634">
        <f>IFERROR(I9/I$16,"")</f>
        <v>0.0395977680385034</v>
      </c>
      <c r="K9" s="815" t="n">
        <v>45360</v>
      </c>
      <c r="L9" s="634">
        <f>IFERROR(K9/K$16,"")</f>
        <v>0.0197516155959384</v>
      </c>
      <c r="M9" s="99" t="n"/>
    </row>
    <row r="10" ht="23.4" customHeight="1" s="594">
      <c r="B10" s="439" t="n"/>
      <c r="C10" s="814" t="n"/>
      <c r="D10" s="814" t="n"/>
      <c r="E10" s="814" t="n"/>
      <c r="F10" s="814" t="n"/>
      <c r="G10" s="815" t="n"/>
      <c r="H10" s="634">
        <f>IFERROR(G10/G$16,"")</f>
        <v>0</v>
      </c>
      <c r="I10" s="815" t="n"/>
      <c r="J10" s="634">
        <f>IFERROR(I10/I$16,"")</f>
        <v>0</v>
      </c>
      <c r="K10" s="815" t="n"/>
      <c r="L10" s="634">
        <f>IFERROR(K10/K$16,"")</f>
        <v>0</v>
      </c>
      <c r="M10" s="99" t="n"/>
    </row>
    <row r="11" ht="23.4" customHeight="1" s="594">
      <c r="B11" s="440" t="n"/>
      <c r="C11" s="814" t="n"/>
      <c r="D11" s="814" t="n"/>
      <c r="E11" s="814" t="n"/>
      <c r="F11" s="814" t="n"/>
      <c r="G11" s="815" t="n"/>
      <c r="H11" s="634">
        <f>IFERROR(G11/G$16,"")</f>
        <v>0</v>
      </c>
      <c r="I11" s="815" t="n"/>
      <c r="J11" s="634">
        <f>IFERROR(I11/I$16,"")</f>
        <v>0</v>
      </c>
      <c r="K11" s="815" t="n"/>
      <c r="L11" s="634">
        <f>IFERROR(K11/K$16,"")</f>
        <v>0</v>
      </c>
      <c r="M11" s="99" t="n"/>
    </row>
    <row r="12" ht="23.4" customHeight="1" s="594">
      <c r="B12" s="439" t="n"/>
      <c r="C12" s="814" t="n"/>
      <c r="D12" s="814" t="n"/>
      <c r="E12" s="814" t="n"/>
      <c r="F12" s="814" t="n"/>
      <c r="G12" s="815" t="n"/>
      <c r="H12" s="634">
        <f>IFERROR(G12/G$16,"")</f>
        <v>0</v>
      </c>
      <c r="I12" s="815" t="n"/>
      <c r="J12" s="634">
        <f>IFERROR(I12/I$16,"")</f>
        <v>0</v>
      </c>
      <c r="K12" s="815" t="n"/>
      <c r="L12" s="634">
        <f>IFERROR(K12/K$16,"")</f>
        <v>0</v>
      </c>
      <c r="M12" s="99" t="n"/>
    </row>
    <row r="13" ht="23.4" customHeight="1" s="594">
      <c r="B13" s="440" t="n"/>
      <c r="C13" s="814" t="n"/>
      <c r="D13" s="814" t="n"/>
      <c r="E13" s="814" t="n"/>
      <c r="F13" s="814" t="n"/>
      <c r="G13" s="815" t="n"/>
      <c r="H13" s="634">
        <f>IFERROR(G13/G$16,"")</f>
        <v>0</v>
      </c>
      <c r="I13" s="815" t="n"/>
      <c r="J13" s="634">
        <f>IFERROR(I13/I$16,"")</f>
        <v>0</v>
      </c>
      <c r="K13" s="815" t="n"/>
      <c r="L13" s="634">
        <f>IFERROR(K13/K$16,"")</f>
        <v>0</v>
      </c>
      <c r="M13" s="99" t="n"/>
    </row>
    <row r="14" ht="23.4" customHeight="1" s="594">
      <c r="B14" s="439" t="n"/>
      <c r="C14" s="814" t="n"/>
      <c r="D14" s="814" t="n"/>
      <c r="E14" s="814" t="n"/>
      <c r="F14" s="814" t="n"/>
      <c r="G14" s="815" t="n"/>
      <c r="H14" s="634">
        <f>IFERROR(G14/G$16,"")</f>
        <v>0</v>
      </c>
      <c r="I14" s="815" t="n"/>
      <c r="J14" s="634">
        <f>IFERROR(I14/I$16,"")</f>
        <v>0</v>
      </c>
      <c r="K14" s="815" t="n"/>
      <c r="L14" s="634">
        <f>IFERROR(K14/K$16,"")</f>
        <v>0</v>
      </c>
      <c r="M14" s="99" t="n"/>
    </row>
    <row r="15" ht="23.4" customHeight="1" s="594">
      <c r="B15" s="66" t="n"/>
      <c r="C15" s="816" t="inlineStr">
        <is>
          <t>その他</t>
        </is>
      </c>
      <c r="D15" s="816" t="n"/>
      <c r="E15" s="816" t="n"/>
      <c r="F15" s="816" t="n"/>
      <c r="G15" s="815" t="n">
        <v>4137793</v>
      </c>
      <c r="H15" s="634">
        <f>IFERROR(G15/G$16,"")</f>
        <v>0.673436468555551</v>
      </c>
      <c r="I15" s="815" t="n">
        <v>1830286</v>
      </c>
      <c r="J15" s="634">
        <f>IFERROR(I15/I$16,"")</f>
        <v>0.570644225250148</v>
      </c>
      <c r="K15" s="815" t="n">
        <v>0</v>
      </c>
      <c r="L15" s="634">
        <f>IFERROR(K15/K$16,"")</f>
        <v>0</v>
      </c>
      <c r="M15" s="99" t="n"/>
    </row>
    <row r="16" ht="23.4" customHeight="1" s="594">
      <c r="B16" s="158" t="n"/>
      <c r="C16" s="817" t="inlineStr">
        <is>
          <t>合計</t>
        </is>
      </c>
      <c r="D16" s="817" t="n"/>
      <c r="E16" s="817" t="n"/>
      <c r="F16" s="817" t="n"/>
      <c r="G16" s="818">
        <f>SUM(G5:G15)</f>
        <v>6144296</v>
      </c>
      <c r="H16" s="820">
        <f>SUM(H5:H15)</f>
        <v>1</v>
      </c>
      <c r="I16" s="818">
        <f>SUM(I5:I15)</f>
        <v>3207403</v>
      </c>
      <c r="J16" s="820">
        <f>SUM(J5:J15)</f>
        <v>1</v>
      </c>
      <c r="K16" s="818">
        <f>SUM(K5:K15)</f>
        <v>2296521</v>
      </c>
      <c r="L16" s="820">
        <f>SUM(L5:L15)</f>
        <v>1</v>
      </c>
      <c r="M16" s="155" t="n"/>
    </row>
    <row r="17">
      <c r="C17" s="817" t="inlineStr">
        <is>
          <t>（検算）SGA外注費と一致</t>
        </is>
      </c>
      <c r="G17" s="818">
        <f>EXACT(G16,SGA!C28)</f>
        <v>1</v>
      </c>
      <c r="I17" s="818">
        <f>EXACT(I16,SGA!E28)</f>
        <v>1</v>
      </c>
      <c r="K17" s="818">
        <f>EXACT(K16,SGA!G28)</f>
        <v>1</v>
      </c>
    </row>
  </sheetData>
  <mergeCells count="6">
    <mergeCell ref="C3:C4"/>
    <mergeCell ref="B3:B4"/>
    <mergeCell ref="E3:E4"/>
    <mergeCell ref="M3:M4"/>
    <mergeCell ref="F3:F4"/>
    <mergeCell ref="D3:D4"/>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B2:H15"/>
  <sheetViews>
    <sheetView showGridLines="0" zoomScaleNormal="100" workbookViewId="0">
      <selection activeCell="B5" sqref="B5:B14"/>
    </sheetView>
  </sheetViews>
  <sheetFormatPr baseColWidth="8" defaultRowHeight="18"/>
  <cols>
    <col width="3.796875" customWidth="1" style="65" min="1" max="1"/>
    <col width="4.3984375" customWidth="1" style="65" min="2" max="2"/>
    <col width="21.69921875" customWidth="1" style="65" min="3" max="3"/>
    <col width="19" customWidth="1" style="65" min="4" max="7"/>
    <col width="40" customWidth="1" style="65" min="8" max="8"/>
    <col width="8.796875" customWidth="1" style="65" min="9" max="16384"/>
  </cols>
  <sheetData>
    <row r="2">
      <c r="E2" s="73" t="inlineStr">
        <is>
          <t>(単位：千円)</t>
        </is>
      </c>
    </row>
    <row r="3" ht="19.2" customHeight="1" s="594">
      <c r="B3" s="573" t="inlineStr">
        <is>
          <t>№</t>
        </is>
      </c>
      <c r="C3" s="573" t="inlineStr">
        <is>
          <t>氏名</t>
        </is>
      </c>
      <c r="D3" s="573" t="inlineStr">
        <is>
          <t>役職</t>
        </is>
      </c>
      <c r="E3" s="575" t="inlineStr">
        <is>
          <t>役員報酬
（令和8年3月期）</t>
        </is>
      </c>
      <c r="F3" s="573" t="inlineStr">
        <is>
          <t>保有株式数</t>
        </is>
      </c>
      <c r="G3" s="573" t="inlineStr">
        <is>
          <t>保有割合</t>
        </is>
      </c>
      <c r="H3" s="571" t="inlineStr">
        <is>
          <t>備考</t>
        </is>
      </c>
    </row>
    <row r="4" ht="19.2" customHeight="1" s="594">
      <c r="B4" s="813" t="n"/>
      <c r="C4" s="813" t="n"/>
      <c r="D4" s="813" t="n"/>
      <c r="E4" s="813" t="n"/>
      <c r="F4" s="813" t="n"/>
      <c r="G4" s="813" t="n"/>
      <c r="H4" s="649" t="n"/>
    </row>
    <row r="5" ht="53.5" customHeight="1" s="594">
      <c r="B5" s="438" t="n">
        <v>1</v>
      </c>
      <c r="C5" s="814" t="inlineStr">
        <is>
          <t>西丸 修</t>
        </is>
      </c>
      <c r="D5" s="814" t="inlineStr">
        <is>
          <t>代表取締役</t>
        </is>
      </c>
      <c r="E5" s="601" t="n">
        <v>1920000</v>
      </c>
      <c r="F5" s="821" t="n">
        <v>100</v>
      </c>
      <c r="G5" s="634">
        <f>F5/$F$15</f>
        <v>1</v>
      </c>
      <c r="H5" s="822" t="inlineStr">
        <is>
          <t>法人税申告書 別表二（令和8年3月期）による。株主名簿は未受領（要確認）</t>
        </is>
      </c>
    </row>
    <row r="6" ht="23.4" customHeight="1" s="594">
      <c r="B6" s="439" t="n"/>
      <c r="C6" s="814" t="n"/>
      <c r="D6" s="814" t="n"/>
      <c r="E6" s="601" t="n"/>
      <c r="F6" s="821" t="n"/>
      <c r="G6" s="634">
        <f>IF(F6="","",F6/$F$15)</f>
      </c>
      <c r="H6" s="99" t="n"/>
    </row>
    <row r="7" ht="23.4" customHeight="1" s="594">
      <c r="B7" s="440" t="n"/>
      <c r="C7" s="814" t="n"/>
      <c r="D7" s="814" t="n"/>
      <c r="E7" s="601" t="n"/>
      <c r="F7" s="821" t="n"/>
      <c r="G7" s="634">
        <f>IF(F7="","",F7/$F$15)</f>
      </c>
      <c r="H7" s="99" t="n"/>
    </row>
    <row r="8" ht="23.4" customHeight="1" s="594">
      <c r="B8" s="439" t="n"/>
      <c r="C8" s="814" t="n"/>
      <c r="D8" s="814" t="n"/>
      <c r="E8" s="601" t="n"/>
      <c r="F8" s="821" t="n"/>
      <c r="G8" s="634">
        <f>IF(F8="","",F8/$F$15)</f>
      </c>
      <c r="H8" s="99" t="n"/>
    </row>
    <row r="9" ht="23.4" customHeight="1" s="594">
      <c r="B9" s="440" t="n"/>
      <c r="C9" s="814" t="n"/>
      <c r="D9" s="814" t="n"/>
      <c r="E9" s="601" t="n"/>
      <c r="F9" s="821" t="n"/>
      <c r="G9" s="634">
        <f>IF(F9="","",F9/$F$15)</f>
      </c>
      <c r="H9" s="99" t="n"/>
    </row>
    <row r="10" ht="23.4" customHeight="1" s="594">
      <c r="B10" s="439" t="n"/>
      <c r="C10" s="814" t="n"/>
      <c r="D10" s="814" t="n"/>
      <c r="E10" s="601" t="n"/>
      <c r="F10" s="821" t="n"/>
      <c r="G10" s="634">
        <f>IF(F10="","",F10/$F$15)</f>
      </c>
      <c r="H10" s="99" t="n"/>
    </row>
    <row r="11" ht="23.4" customHeight="1" s="594">
      <c r="B11" s="440" t="n"/>
      <c r="C11" s="814" t="n"/>
      <c r="D11" s="814" t="n"/>
      <c r="E11" s="601" t="n"/>
      <c r="F11" s="821" t="n"/>
      <c r="G11" s="634">
        <f>IF(F11="","",F11/$F$15)</f>
      </c>
      <c r="H11" s="99" t="n"/>
    </row>
    <row r="12" ht="23.4" customHeight="1" s="594">
      <c r="B12" s="439" t="n"/>
      <c r="C12" s="814" t="n"/>
      <c r="D12" s="814" t="n"/>
      <c r="E12" s="601" t="n"/>
      <c r="F12" s="821" t="n"/>
      <c r="G12" s="634">
        <f>IF(F12="","",F12/$F$15)</f>
      </c>
      <c r="H12" s="99" t="n"/>
    </row>
    <row r="13" ht="23.4" customHeight="1" s="594">
      <c r="B13" s="440" t="n"/>
      <c r="C13" s="814" t="n"/>
      <c r="D13" s="814" t="n"/>
      <c r="E13" s="601" t="n"/>
      <c r="F13" s="821" t="n"/>
      <c r="G13" s="634">
        <f>IF(F13="","",F13/$F$15)</f>
      </c>
      <c r="H13" s="99" t="n"/>
    </row>
    <row r="14" ht="23.4" customHeight="1" s="594">
      <c r="B14" s="439" t="n"/>
      <c r="C14" s="814" t="n"/>
      <c r="D14" s="814" t="n"/>
      <c r="E14" s="601" t="n"/>
      <c r="F14" s="821" t="n"/>
      <c r="G14" s="634">
        <f>IF(F14="","",F14/$F$15)</f>
      </c>
      <c r="H14" s="99" t="n"/>
    </row>
    <row r="15" ht="23.4" customHeight="1" s="594">
      <c r="B15" s="151" t="n"/>
      <c r="C15" s="823" t="inlineStr">
        <is>
          <t>合計</t>
        </is>
      </c>
      <c r="D15" s="823" t="n"/>
      <c r="E15" s="824">
        <f>SUM(E5:E14)</f>
        <v>1920000</v>
      </c>
      <c r="F15" s="825">
        <f>SUM(F5:F14)</f>
        <v>100</v>
      </c>
      <c r="G15" s="636">
        <f>F15/$F$15</f>
        <v>1</v>
      </c>
      <c r="H15" s="155" t="n"/>
    </row>
  </sheetData>
  <mergeCells count="7">
    <mergeCell ref="C3:C4"/>
    <mergeCell ref="B3:B4"/>
    <mergeCell ref="G3:G4"/>
    <mergeCell ref="E3:E4"/>
    <mergeCell ref="H3:H4"/>
    <mergeCell ref="F3:F4"/>
    <mergeCell ref="D3:D4"/>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B2:H15"/>
  <sheetViews>
    <sheetView showGridLines="0" zoomScaleNormal="100" workbookViewId="0">
      <selection activeCell="H8" sqref="H8"/>
    </sheetView>
  </sheetViews>
  <sheetFormatPr baseColWidth="8" defaultRowHeight="18"/>
  <cols>
    <col width="3.796875" customWidth="1" style="65" min="1" max="1"/>
    <col width="4.3984375" customWidth="1" style="65" min="2" max="2"/>
    <col width="21.69921875" customWidth="1" style="65" min="3" max="3"/>
    <col width="16.3984375" customWidth="1" style="65" min="4" max="6"/>
    <col width="36.69921875" customWidth="1" style="594" min="7" max="7"/>
    <col width="40" customWidth="1" style="594" min="8" max="8"/>
    <col width="8.796875" customWidth="1" style="65" min="9" max="16384"/>
  </cols>
  <sheetData>
    <row r="2">
      <c r="F2" s="73" t="inlineStr">
        <is>
          <t>(単位：千円)</t>
        </is>
      </c>
      <c r="G2" s="73" t="n"/>
    </row>
    <row r="3" ht="19.2" customHeight="1" s="594">
      <c r="B3" s="573" t="inlineStr">
        <is>
          <t>№</t>
        </is>
      </c>
      <c r="C3" s="573" t="inlineStr">
        <is>
          <t>氏名</t>
        </is>
      </c>
      <c r="D3" s="573" t="inlineStr">
        <is>
          <t>役職</t>
        </is>
      </c>
      <c r="E3" s="573" t="inlineStr">
        <is>
          <t>代表者との関係</t>
        </is>
      </c>
      <c r="F3" s="575" t="inlineStr">
        <is>
          <t>役員報酬
（令和8年3月期）</t>
        </is>
      </c>
      <c r="G3" s="575" t="inlineStr">
        <is>
          <t>業務範囲</t>
        </is>
      </c>
      <c r="H3" s="571" t="inlineStr">
        <is>
          <t>備考</t>
        </is>
      </c>
    </row>
    <row r="4" ht="19.2" customHeight="1" s="594">
      <c r="B4" s="813" t="n"/>
      <c r="C4" s="813" t="n"/>
      <c r="D4" s="813" t="n"/>
      <c r="E4" s="813" t="n"/>
      <c r="F4" s="813" t="n"/>
      <c r="G4" s="813" t="n"/>
      <c r="H4" s="649" t="n"/>
    </row>
    <row r="5" ht="38" customHeight="1" s="594">
      <c r="B5" s="438" t="n">
        <v>1</v>
      </c>
      <c r="C5" s="814" t="inlineStr">
        <is>
          <t>西丸 修</t>
        </is>
      </c>
      <c r="D5" s="814" t="inlineStr">
        <is>
          <t>代表取締役</t>
        </is>
      </c>
      <c r="E5" s="814" t="inlineStr">
        <is>
          <t>本人</t>
        </is>
      </c>
      <c r="F5" s="601" t="n">
        <v>1920000</v>
      </c>
      <c r="G5" s="826" t="inlineStr">
        <is>
          <t>経営全般（要確認）</t>
        </is>
      </c>
      <c r="H5" s="822" t="inlineStr">
        <is>
          <t>登記簿上の役員構成は未受領。他の役員の有無・譲渡後の関与意向は要確認</t>
        </is>
      </c>
    </row>
    <row r="6" ht="23.4" customHeight="1" s="594">
      <c r="B6" s="439" t="n"/>
      <c r="C6" s="814" t="n"/>
      <c r="D6" s="814" t="n"/>
      <c r="E6" s="814" t="n"/>
      <c r="F6" s="601" t="n"/>
      <c r="G6" s="827" t="n"/>
      <c r="H6" s="99" t="n"/>
    </row>
    <row r="7" ht="23.4" customHeight="1" s="594">
      <c r="B7" s="440" t="n"/>
      <c r="C7" s="814" t="n"/>
      <c r="D7" s="814" t="n"/>
      <c r="E7" s="814" t="n"/>
      <c r="F7" s="601" t="n"/>
      <c r="G7" s="827" t="n"/>
      <c r="H7" s="99" t="n"/>
    </row>
    <row r="8" ht="23.4" customHeight="1" s="594">
      <c r="B8" s="439" t="n"/>
      <c r="C8" s="814" t="n"/>
      <c r="D8" s="814" t="n"/>
      <c r="E8" s="814" t="n"/>
      <c r="F8" s="828" t="n"/>
      <c r="G8" s="827" t="n"/>
      <c r="H8" s="99" t="n"/>
    </row>
    <row r="9" hidden="1" ht="23.4" customHeight="1" s="594">
      <c r="B9" s="94" t="n"/>
      <c r="C9" s="814" t="n"/>
      <c r="D9" s="814" t="n"/>
      <c r="E9" s="814" t="n"/>
      <c r="F9" s="601" t="n"/>
      <c r="G9" s="827" t="n"/>
      <c r="H9" s="99" t="n"/>
    </row>
    <row r="10" hidden="1" ht="23.4" customHeight="1" s="594">
      <c r="B10" s="95" t="n"/>
      <c r="C10" s="814" t="n"/>
      <c r="D10" s="814" t="n"/>
      <c r="E10" s="814" t="n"/>
      <c r="F10" s="601" t="n"/>
      <c r="G10" s="827" t="n"/>
      <c r="H10" s="99" t="n"/>
    </row>
    <row r="11" hidden="1" ht="23.4" customHeight="1" s="594">
      <c r="B11" s="94" t="n"/>
      <c r="C11" s="814" t="n"/>
      <c r="D11" s="814" t="n"/>
      <c r="E11" s="814" t="n"/>
      <c r="F11" s="601" t="n"/>
      <c r="G11" s="827" t="n"/>
      <c r="H11" s="99" t="n"/>
    </row>
    <row r="12" hidden="1" ht="23.4" customHeight="1" s="594">
      <c r="B12" s="95" t="n"/>
      <c r="C12" s="814" t="n"/>
      <c r="D12" s="814" t="n"/>
      <c r="E12" s="814" t="n"/>
      <c r="F12" s="601" t="n"/>
      <c r="G12" s="827" t="n"/>
      <c r="H12" s="99" t="n"/>
    </row>
    <row r="13" hidden="1" ht="23.4" customHeight="1" s="594">
      <c r="B13" s="94" t="n"/>
      <c r="C13" s="814" t="n"/>
      <c r="D13" s="814" t="n"/>
      <c r="E13" s="814" t="n"/>
      <c r="F13" s="601" t="n"/>
      <c r="G13" s="827" t="n"/>
      <c r="H13" s="99" t="n"/>
    </row>
    <row r="14" hidden="1" ht="23.4" customHeight="1" s="594">
      <c r="B14" s="95" t="n"/>
      <c r="C14" s="814" t="n"/>
      <c r="D14" s="814" t="n"/>
      <c r="E14" s="814" t="n"/>
      <c r="F14" s="601" t="n"/>
      <c r="G14" s="827" t="n"/>
      <c r="H14" s="99" t="n"/>
    </row>
    <row r="15" ht="23.4" customHeight="1" s="594">
      <c r="B15" s="151" t="n"/>
      <c r="C15" s="823" t="inlineStr">
        <is>
          <t>合計</t>
        </is>
      </c>
      <c r="D15" s="823" t="n"/>
      <c r="E15" s="823" t="n"/>
      <c r="F15" s="824">
        <f>SUM(F5:F14)</f>
        <v>1920000</v>
      </c>
      <c r="G15" s="829" t="n"/>
      <c r="H15" s="155" t="n"/>
    </row>
  </sheetData>
  <mergeCells count="7">
    <mergeCell ref="C3:C4"/>
    <mergeCell ref="B3:B4"/>
    <mergeCell ref="G3:G4"/>
    <mergeCell ref="E3:E4"/>
    <mergeCell ref="H3:H4"/>
    <mergeCell ref="F3:F4"/>
    <mergeCell ref="D3:D4"/>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B1:Q34"/>
  <sheetViews>
    <sheetView showGridLines="0" zoomScaleNormal="100" workbookViewId="0">
      <selection activeCell="D7" sqref="D7"/>
    </sheetView>
  </sheetViews>
  <sheetFormatPr baseColWidth="8" defaultRowHeight="18"/>
  <cols>
    <col width="6" customWidth="1" style="118" min="2" max="2"/>
    <col width="18" customWidth="1" style="594" min="3" max="3"/>
    <col width="13.5" customWidth="1" style="594" min="4" max="4"/>
    <col width="26" customWidth="1" style="594" min="5" max="5"/>
    <col width="6.59765625" customWidth="1" style="117" min="6" max="6"/>
    <col width="13.5" customWidth="1" style="120" min="7" max="7"/>
    <col width="14.3984375" customWidth="1" style="120" min="8" max="8"/>
    <col width="13.5" customWidth="1" style="121" min="9" max="9"/>
    <col width="14.3984375" customWidth="1" style="121" min="10" max="10"/>
    <col width="13.5" customWidth="1" style="125" min="11" max="12"/>
    <col width="16.09765625" customWidth="1" style="594" min="13" max="16"/>
    <col width="46" customWidth="1" style="594" min="17" max="17"/>
  </cols>
  <sheetData>
    <row r="1">
      <c r="K1" s="0" t="n"/>
      <c r="L1" s="0" t="n"/>
    </row>
    <row r="2">
      <c r="F2" s="119" t="n"/>
      <c r="G2" s="122" t="n"/>
      <c r="K2" s="0" t="n"/>
      <c r="L2" s="0" t="n"/>
    </row>
    <row r="3">
      <c r="G3" s="120" t="n"/>
      <c r="I3" s="120" t="n"/>
      <c r="K3" s="0" t="n"/>
      <c r="L3" s="0" t="n"/>
    </row>
    <row r="4" ht="39.6" customHeight="1" s="594">
      <c r="B4" s="2" t="inlineStr">
        <is>
          <t>№</t>
        </is>
      </c>
      <c r="C4" s="116" t="inlineStr">
        <is>
          <t>区分</t>
        </is>
      </c>
      <c r="D4" s="116" t="inlineStr">
        <is>
          <t>イニシャル</t>
        </is>
      </c>
      <c r="E4" s="116" t="inlineStr">
        <is>
          <t>雇用形態</t>
        </is>
      </c>
      <c r="F4" s="116" t="inlineStr">
        <is>
          <t>性別</t>
        </is>
      </c>
      <c r="G4" s="116" t="inlineStr">
        <is>
          <t>生年月日</t>
        </is>
      </c>
      <c r="H4" s="138" t="inlineStr">
        <is>
          <t>年齢
（歳）</t>
        </is>
      </c>
      <c r="I4" s="116" t="inlineStr">
        <is>
          <t>入社年月日</t>
        </is>
      </c>
      <c r="J4" s="139" t="inlineStr">
        <is>
          <t>勤続年数
（年）</t>
        </is>
      </c>
      <c r="K4" s="3" t="inlineStr">
        <is>
          <t>部署</t>
        </is>
      </c>
      <c r="L4" s="3" t="inlineStr">
        <is>
          <t>役職</t>
        </is>
      </c>
      <c r="M4" s="3" t="inlineStr">
        <is>
          <t>2026年2月分給与
（振込支給＋交通費）</t>
        </is>
      </c>
      <c r="N4" s="3" t="inlineStr">
        <is>
          <t>夏季賞与</t>
        </is>
      </c>
      <c r="O4" s="3" t="inlineStr">
        <is>
          <t>冬季賞与</t>
        </is>
      </c>
      <c r="P4" s="3" t="inlineStr">
        <is>
          <t>年間総支給額</t>
        </is>
      </c>
      <c r="Q4" s="3" t="inlineStr">
        <is>
          <t>備考</t>
        </is>
      </c>
    </row>
    <row r="5" ht="22.5" customHeight="1" s="594">
      <c r="B5" s="441" t="n">
        <v>1</v>
      </c>
      <c r="C5" s="830" t="inlineStr">
        <is>
          <t>月給者（6名）</t>
        </is>
      </c>
      <c r="D5" s="442" t="n"/>
      <c r="E5" s="830" t="inlineStr">
        <is>
          <t>月給制</t>
        </is>
      </c>
      <c r="F5" s="442" t="n"/>
      <c r="G5" s="443" t="n"/>
      <c r="H5" s="831" t="n"/>
      <c r="I5" s="443" t="n"/>
      <c r="J5" s="831" t="n"/>
      <c r="K5" s="832" t="inlineStr">
        <is>
          <t>全社</t>
        </is>
      </c>
      <c r="L5" s="833" t="n"/>
      <c r="M5" s="834" t="inlineStr">
        <is>
          <t>要確認</t>
        </is>
      </c>
      <c r="N5" s="835" t="n"/>
      <c r="O5" s="835" t="n"/>
      <c r="P5" s="836" t="n"/>
      <c r="Q5" s="837" t="inlineStr">
        <is>
          <t>個人別の年齢・勤続・役職は未受領（要確認）</t>
        </is>
      </c>
    </row>
    <row r="6" ht="22.5" customHeight="1" s="594">
      <c r="B6" s="445" t="n">
        <v>2</v>
      </c>
      <c r="C6" s="838" t="inlineStr">
        <is>
          <t>時給者（約30名）</t>
        </is>
      </c>
      <c r="D6" s="446" t="n"/>
      <c r="E6" s="838" t="inlineStr">
        <is>
          <t>時給制（パート・アルバイト）</t>
        </is>
      </c>
      <c r="F6" s="446" t="n"/>
      <c r="G6" s="447" t="n"/>
      <c r="H6" s="831" t="n"/>
      <c r="I6" s="821" t="n"/>
      <c r="J6" s="831" t="n"/>
      <c r="K6" s="839" t="inlineStr">
        <is>
          <t>店舗</t>
        </is>
      </c>
      <c r="L6" s="840" t="n"/>
      <c r="M6" s="841" t="inlineStr">
        <is>
          <t>要確認</t>
        </is>
      </c>
      <c r="N6" s="842" t="n"/>
      <c r="O6" s="842" t="n"/>
      <c r="P6" s="821" t="n"/>
      <c r="Q6" s="843" t="inlineStr">
        <is>
          <t>時給1,225〜1,350円の記載あり。店舗別の配置は要確認</t>
        </is>
      </c>
    </row>
    <row r="7" ht="22.5" customHeight="1" s="594">
      <c r="B7" s="441" t="n"/>
      <c r="C7" s="838" t="inlineStr">
        <is>
          <t>合計（約36名）</t>
        </is>
      </c>
      <c r="D7" s="446" t="n"/>
      <c r="E7" s="838" t="n"/>
      <c r="F7" s="446" t="n"/>
      <c r="G7" s="447" t="n"/>
      <c r="H7" s="831" t="n"/>
      <c r="I7" s="821" t="n"/>
      <c r="J7" s="831" t="n"/>
      <c r="K7" s="839" t="n"/>
      <c r="L7" s="840" t="n"/>
      <c r="M7" s="844" t="n">
        <v>7854008</v>
      </c>
      <c r="N7" s="842" t="n"/>
      <c r="O7" s="842" t="n"/>
      <c r="P7" s="821" t="n"/>
      <c r="Q7" s="843" t="inlineStr">
        <is>
          <t>役員を除く。賞与の記載なし（要確認）</t>
        </is>
      </c>
    </row>
    <row r="8" ht="22.5" customHeight="1" s="594">
      <c r="B8" s="445" t="n"/>
      <c r="C8" s="446" t="n"/>
      <c r="D8" s="446" t="n"/>
      <c r="E8" s="446" t="n"/>
      <c r="F8" s="446" t="n"/>
      <c r="G8" s="447" t="n"/>
      <c r="H8" s="831" t="n"/>
      <c r="I8" s="821" t="n"/>
      <c r="J8" s="831" t="n"/>
      <c r="K8" s="840" t="n"/>
      <c r="L8" s="840" t="n"/>
      <c r="M8" s="842" t="n"/>
      <c r="N8" s="842" t="n"/>
      <c r="O8" s="842" t="n"/>
      <c r="P8" s="821" t="n"/>
      <c r="Q8" s="20" t="n"/>
    </row>
    <row r="9" ht="22.5" customHeight="1" s="594">
      <c r="B9" s="441" t="n"/>
      <c r="C9" s="116" t="inlineStr">
        <is>
          <t>2026年2月分給与（給与台帳）</t>
        </is>
      </c>
      <c r="D9" s="116" t="n"/>
      <c r="E9" s="116" t="n"/>
      <c r="F9" s="116" t="n"/>
      <c r="G9" s="116" t="n"/>
      <c r="H9" s="138" t="n"/>
      <c r="I9" s="116" t="n"/>
      <c r="J9" s="139" t="n"/>
      <c r="K9" s="3" t="n"/>
      <c r="L9" s="3" t="n"/>
      <c r="M9" s="3" t="inlineStr">
        <is>
          <t>金額</t>
        </is>
      </c>
      <c r="N9" s="842" t="n"/>
      <c r="O9" s="842" t="n"/>
      <c r="P9" s="821" t="n"/>
      <c r="Q9" s="20" t="n"/>
    </row>
    <row r="10" ht="22.5" customHeight="1" s="594">
      <c r="B10" s="445" t="n"/>
      <c r="C10" s="830" t="inlineStr">
        <is>
          <t>振込支給合計（交通費除く）</t>
        </is>
      </c>
      <c r="D10" s="442" t="n"/>
      <c r="E10" s="830" t="n"/>
      <c r="F10" s="442" t="n"/>
      <c r="G10" s="443" t="n"/>
      <c r="H10" s="831" t="n"/>
      <c r="I10" s="443" t="n"/>
      <c r="J10" s="831" t="n"/>
      <c r="K10" s="832" t="n"/>
      <c r="L10" s="833" t="n"/>
      <c r="M10" s="845" t="n">
        <v>7520982</v>
      </c>
      <c r="N10" s="842" t="n"/>
      <c r="O10" s="842" t="n"/>
      <c r="P10" s="821" t="n"/>
      <c r="Q10" s="20" t="n"/>
    </row>
    <row r="11" ht="22.5" customHeight="1" s="594">
      <c r="B11" s="441" t="n"/>
      <c r="C11" s="830" t="inlineStr">
        <is>
          <t>交通費合計</t>
        </is>
      </c>
      <c r="D11" s="442" t="n"/>
      <c r="E11" s="830" t="n"/>
      <c r="F11" s="442" t="n"/>
      <c r="G11" s="443" t="n"/>
      <c r="H11" s="831" t="n"/>
      <c r="I11" s="443" t="n"/>
      <c r="J11" s="831" t="n"/>
      <c r="K11" s="832" t="n"/>
      <c r="L11" s="833" t="n"/>
      <c r="M11" s="845" t="n">
        <v>333026</v>
      </c>
      <c r="N11" s="842" t="n"/>
      <c r="O11" s="842" t="n"/>
      <c r="P11" s="821" t="n"/>
      <c r="Q11" s="20" t="n"/>
    </row>
    <row r="12" ht="22.5" customHeight="1" s="594">
      <c r="B12" s="445" t="n"/>
      <c r="C12" s="838" t="inlineStr">
        <is>
          <t>総支給額（振込支給＋交通費）</t>
        </is>
      </c>
      <c r="D12" s="446" t="n"/>
      <c r="E12" s="838" t="n"/>
      <c r="F12" s="446" t="n"/>
      <c r="G12" s="447" t="n"/>
      <c r="H12" s="831" t="n"/>
      <c r="I12" s="821" t="n"/>
      <c r="J12" s="831" t="n"/>
      <c r="K12" s="839" t="n"/>
      <c r="L12" s="840" t="n"/>
      <c r="M12" s="846">
        <f>M10+M11</f>
        <v>7854008</v>
      </c>
      <c r="N12" s="842" t="n"/>
      <c r="O12" s="842" t="n"/>
      <c r="P12" s="821" t="n"/>
      <c r="Q12" s="20" t="n"/>
    </row>
    <row r="13" ht="22.5" customHeight="1" s="594">
      <c r="B13" s="441" t="n"/>
      <c r="C13" s="830" t="inlineStr">
        <is>
          <t>（参考）法定福利費（会社負担）</t>
        </is>
      </c>
      <c r="D13" s="442" t="n"/>
      <c r="E13" s="830" t="n"/>
      <c r="F13" s="442" t="n"/>
      <c r="G13" s="443" t="n"/>
      <c r="H13" s="831" t="n"/>
      <c r="I13" s="443" t="n"/>
      <c r="J13" s="831" t="n"/>
      <c r="K13" s="832" t="n"/>
      <c r="L13" s="833" t="n"/>
      <c r="M13" s="845" t="n">
        <v>1361985</v>
      </c>
      <c r="N13" s="842" t="n"/>
      <c r="O13" s="842" t="n"/>
      <c r="P13" s="821" t="n"/>
      <c r="Q13" s="20" t="n"/>
    </row>
    <row r="14" ht="22.5" customHeight="1" s="594">
      <c r="B14" s="445" t="n"/>
      <c r="C14" s="446" t="n"/>
      <c r="D14" s="446" t="n"/>
      <c r="E14" s="446" t="n"/>
      <c r="F14" s="446" t="n"/>
      <c r="G14" s="447" t="n"/>
      <c r="H14" s="831" t="n"/>
      <c r="I14" s="821" t="n"/>
      <c r="J14" s="831" t="n"/>
      <c r="K14" s="840" t="n"/>
      <c r="L14" s="840" t="n"/>
      <c r="M14" s="842" t="n"/>
      <c r="N14" s="842" t="n"/>
      <c r="O14" s="842" t="n"/>
      <c r="P14" s="821" t="n"/>
      <c r="Q14" s="20" t="n"/>
    </row>
    <row r="15" ht="22.5" customHeight="1" s="594">
      <c r="B15" s="441" t="n"/>
      <c r="C15" s="446" t="n"/>
      <c r="D15" s="446" t="n"/>
      <c r="E15" s="446" t="n"/>
      <c r="F15" s="446" t="n"/>
      <c r="G15" s="447" t="n"/>
      <c r="H15" s="831" t="n"/>
      <c r="I15" s="821" t="n"/>
      <c r="J15" s="831" t="n"/>
      <c r="K15" s="840" t="n"/>
      <c r="L15" s="840" t="n"/>
      <c r="M15" s="842" t="n"/>
      <c r="N15" s="842" t="n"/>
      <c r="O15" s="842" t="n"/>
      <c r="P15" s="821" t="n"/>
      <c r="Q15" s="20" t="n"/>
    </row>
    <row r="16" ht="22.5" customHeight="1" s="594">
      <c r="B16" s="445" t="n"/>
      <c r="C16" s="446" t="n"/>
      <c r="D16" s="446" t="n"/>
      <c r="E16" s="446" t="n"/>
      <c r="F16" s="446" t="n"/>
      <c r="G16" s="447" t="n"/>
      <c r="H16" s="831" t="n"/>
      <c r="I16" s="821" t="n"/>
      <c r="J16" s="831" t="n"/>
      <c r="K16" s="840" t="n"/>
      <c r="L16" s="840" t="n"/>
      <c r="M16" s="842" t="n"/>
      <c r="N16" s="842" t="n"/>
      <c r="O16" s="842" t="n"/>
      <c r="P16" s="821" t="n"/>
      <c r="Q16" s="20" t="n"/>
    </row>
    <row r="17" ht="22.5" customHeight="1" s="594">
      <c r="B17" s="441" t="n"/>
      <c r="C17" s="446" t="n"/>
      <c r="D17" s="446" t="n"/>
      <c r="E17" s="446" t="n"/>
      <c r="F17" s="446" t="n"/>
      <c r="G17" s="447" t="n"/>
      <c r="H17" s="831" t="n"/>
      <c r="I17" s="821" t="n"/>
      <c r="J17" s="831" t="n"/>
      <c r="K17" s="840" t="n"/>
      <c r="L17" s="840" t="n"/>
      <c r="M17" s="842" t="n"/>
      <c r="N17" s="842" t="n"/>
      <c r="O17" s="842" t="n"/>
      <c r="P17" s="821" t="n"/>
      <c r="Q17" s="20" t="n"/>
    </row>
    <row r="18" ht="22.5" customHeight="1" s="594">
      <c r="B18" s="445" t="n"/>
      <c r="C18" s="446" t="n"/>
      <c r="D18" s="446" t="n"/>
      <c r="E18" s="446" t="n"/>
      <c r="F18" s="446" t="n"/>
      <c r="G18" s="447" t="n"/>
      <c r="H18" s="831" t="n"/>
      <c r="I18" s="821" t="n"/>
      <c r="J18" s="831" t="n"/>
      <c r="K18" s="840" t="n"/>
      <c r="L18" s="840" t="n"/>
      <c r="M18" s="842" t="n"/>
      <c r="N18" s="842" t="n"/>
      <c r="O18" s="842" t="n"/>
      <c r="P18" s="821" t="n"/>
      <c r="Q18" s="20" t="n"/>
    </row>
    <row r="19" ht="22.5" customHeight="1" s="594">
      <c r="B19" s="441" t="n"/>
      <c r="C19" s="446" t="n"/>
      <c r="D19" s="446" t="n"/>
      <c r="E19" s="446" t="n"/>
      <c r="F19" s="446" t="n"/>
      <c r="G19" s="447" t="n"/>
      <c r="H19" s="831" t="n"/>
      <c r="I19" s="821" t="n"/>
      <c r="J19" s="831" t="n"/>
      <c r="K19" s="840" t="n"/>
      <c r="L19" s="840" t="n"/>
      <c r="M19" s="842" t="n"/>
      <c r="N19" s="842" t="n"/>
      <c r="O19" s="842" t="n"/>
      <c r="P19" s="821" t="n"/>
      <c r="Q19" s="20" t="n"/>
    </row>
    <row r="20" ht="22.5" customHeight="1" s="594">
      <c r="B20" s="445" t="n"/>
      <c r="C20" s="446" t="n"/>
      <c r="D20" s="446" t="n"/>
      <c r="E20" s="446" t="n"/>
      <c r="F20" s="446" t="n"/>
      <c r="G20" s="447" t="n"/>
      <c r="H20" s="831" t="n"/>
      <c r="I20" s="821" t="n"/>
      <c r="J20" s="831" t="n"/>
      <c r="K20" s="840" t="n"/>
      <c r="L20" s="840" t="n"/>
      <c r="M20" s="842" t="n"/>
      <c r="N20" s="842" t="n"/>
      <c r="O20" s="842" t="n"/>
      <c r="P20" s="821" t="n"/>
      <c r="Q20" s="20" t="n"/>
    </row>
    <row r="21" ht="22.5" customHeight="1" s="594">
      <c r="B21" s="441" t="n"/>
      <c r="C21" s="446" t="n"/>
      <c r="D21" s="446" t="n"/>
      <c r="E21" s="446" t="n"/>
      <c r="F21" s="446" t="n"/>
      <c r="G21" s="447" t="n"/>
      <c r="H21" s="831" t="n"/>
      <c r="I21" s="821" t="n"/>
      <c r="J21" s="831" t="n"/>
      <c r="K21" s="840" t="n"/>
      <c r="L21" s="840" t="n"/>
      <c r="M21" s="842" t="n"/>
      <c r="N21" s="842" t="n"/>
      <c r="O21" s="842" t="n"/>
      <c r="P21" s="821" t="n"/>
      <c r="Q21" s="20" t="n"/>
    </row>
    <row r="22" ht="22.5" customHeight="1" s="594">
      <c r="B22" s="445" t="n"/>
      <c r="C22" s="446" t="n"/>
      <c r="D22" s="446" t="n"/>
      <c r="E22" s="446" t="n"/>
      <c r="F22" s="446" t="n"/>
      <c r="G22" s="447" t="n"/>
      <c r="H22" s="831" t="n"/>
      <c r="I22" s="821" t="n"/>
      <c r="J22" s="831" t="n"/>
      <c r="K22" s="840" t="n"/>
      <c r="L22" s="840" t="n"/>
      <c r="M22" s="842" t="n"/>
      <c r="N22" s="842" t="n"/>
      <c r="O22" s="842" t="n"/>
      <c r="P22" s="821" t="n"/>
      <c r="Q22" s="20" t="n"/>
    </row>
    <row r="23" ht="22.5" customHeight="1" s="594">
      <c r="B23" s="441" t="n"/>
      <c r="C23" s="446" t="n"/>
      <c r="D23" s="446" t="n"/>
      <c r="E23" s="446" t="n"/>
      <c r="F23" s="446" t="n"/>
      <c r="G23" s="447" t="n"/>
      <c r="H23" s="831" t="n"/>
      <c r="I23" s="821" t="n"/>
      <c r="J23" s="831" t="n"/>
      <c r="K23" s="840" t="n"/>
      <c r="L23" s="840" t="n"/>
      <c r="M23" s="842" t="n"/>
      <c r="N23" s="842" t="n"/>
      <c r="O23" s="842" t="n"/>
      <c r="P23" s="821" t="n"/>
      <c r="Q23" s="20" t="n"/>
    </row>
    <row r="24" ht="22.5" customHeight="1" s="594">
      <c r="B24" s="445" t="n"/>
      <c r="C24" s="446" t="n"/>
      <c r="D24" s="446" t="n"/>
      <c r="E24" s="446" t="n"/>
      <c r="F24" s="446" t="n"/>
      <c r="G24" s="447" t="n"/>
      <c r="H24" s="831" t="n"/>
      <c r="I24" s="821" t="n"/>
      <c r="J24" s="831" t="n"/>
      <c r="K24" s="840" t="n"/>
      <c r="L24" s="840" t="n"/>
      <c r="M24" s="842" t="n"/>
      <c r="N24" s="842" t="n"/>
      <c r="O24" s="842" t="n"/>
      <c r="P24" s="821" t="n"/>
      <c r="Q24" s="20" t="n"/>
    </row>
    <row r="25" ht="22.5" customHeight="1" s="594">
      <c r="B25" s="441" t="n"/>
      <c r="C25" s="446" t="n"/>
      <c r="D25" s="446" t="n"/>
      <c r="E25" s="446" t="n"/>
      <c r="F25" s="446" t="n"/>
      <c r="G25" s="447" t="n"/>
      <c r="H25" s="831" t="n"/>
      <c r="I25" s="821" t="n"/>
      <c r="J25" s="831" t="n"/>
      <c r="K25" s="840" t="n"/>
      <c r="L25" s="840" t="n"/>
      <c r="M25" s="842" t="n"/>
      <c r="N25" s="842" t="n"/>
      <c r="O25" s="842" t="n"/>
      <c r="P25" s="821" t="n"/>
      <c r="Q25" s="20" t="n"/>
    </row>
    <row r="26" ht="22.5" customHeight="1" s="594">
      <c r="B26" s="445" t="n"/>
      <c r="C26" s="446" t="n"/>
      <c r="D26" s="446" t="n"/>
      <c r="E26" s="446" t="n"/>
      <c r="F26" s="446" t="n"/>
      <c r="G26" s="447" t="n"/>
      <c r="H26" s="831" t="n"/>
      <c r="I26" s="821" t="n"/>
      <c r="J26" s="831" t="n"/>
      <c r="K26" s="840" t="n"/>
      <c r="L26" s="840" t="n"/>
      <c r="M26" s="842" t="n"/>
      <c r="N26" s="842" t="n"/>
      <c r="O26" s="842" t="n"/>
      <c r="P26" s="821" t="n"/>
      <c r="Q26" s="20" t="n"/>
    </row>
    <row r="27" ht="22.5" customHeight="1" s="594">
      <c r="B27" s="441" t="n"/>
      <c r="C27" s="446" t="n"/>
      <c r="D27" s="446" t="n"/>
      <c r="E27" s="446" t="n"/>
      <c r="F27" s="446" t="n"/>
      <c r="G27" s="447" t="n"/>
      <c r="H27" s="831" t="n"/>
      <c r="I27" s="821" t="n"/>
      <c r="J27" s="831" t="n"/>
      <c r="K27" s="840" t="n"/>
      <c r="L27" s="840" t="n"/>
      <c r="M27" s="842" t="n"/>
      <c r="N27" s="842" t="n"/>
      <c r="O27" s="842" t="n"/>
      <c r="P27" s="821" t="n"/>
      <c r="Q27" s="20" t="n"/>
    </row>
    <row r="28" ht="22.5" customHeight="1" s="594">
      <c r="B28" s="445" t="n"/>
      <c r="C28" s="446" t="n"/>
      <c r="D28" s="446" t="n"/>
      <c r="E28" s="446" t="n"/>
      <c r="F28" s="446" t="n"/>
      <c r="G28" s="447" t="n"/>
      <c r="H28" s="831" t="n"/>
      <c r="I28" s="821" t="n"/>
      <c r="J28" s="831" t="n"/>
      <c r="K28" s="840" t="n"/>
      <c r="L28" s="840" t="n"/>
      <c r="M28" s="842" t="n"/>
      <c r="N28" s="842" t="n"/>
      <c r="O28" s="842" t="n"/>
      <c r="P28" s="821" t="n"/>
      <c r="Q28" s="20" t="n"/>
    </row>
    <row r="29" ht="22.5" customHeight="1" s="594">
      <c r="B29" s="441" t="n"/>
      <c r="C29" s="446" t="n"/>
      <c r="D29" s="446" t="n"/>
      <c r="E29" s="446" t="n"/>
      <c r="F29" s="446" t="n"/>
      <c r="G29" s="447" t="n"/>
      <c r="H29" s="831" t="n"/>
      <c r="I29" s="821" t="n"/>
      <c r="J29" s="831" t="n"/>
      <c r="K29" s="840" t="n"/>
      <c r="L29" s="840" t="n"/>
      <c r="M29" s="842" t="n"/>
      <c r="N29" s="842" t="n"/>
      <c r="O29" s="842" t="n"/>
      <c r="P29" s="821" t="n"/>
      <c r="Q29" s="20" t="n"/>
    </row>
    <row r="30" ht="22.5" customHeight="1" s="594">
      <c r="B30" s="445" t="n"/>
      <c r="C30" s="446" t="n"/>
      <c r="D30" s="446" t="n"/>
      <c r="E30" s="446" t="n"/>
      <c r="F30" s="446" t="n"/>
      <c r="G30" s="447" t="n"/>
      <c r="H30" s="831" t="n"/>
      <c r="I30" s="821" t="n"/>
      <c r="J30" s="831" t="n"/>
      <c r="K30" s="840" t="n"/>
      <c r="L30" s="840" t="n"/>
      <c r="M30" s="842" t="n"/>
      <c r="N30" s="842" t="n"/>
      <c r="O30" s="842" t="n"/>
      <c r="P30" s="821" t="n"/>
      <c r="Q30" s="20" t="n"/>
    </row>
    <row r="31" ht="22.5" customHeight="1" s="594">
      <c r="B31" s="441" t="n"/>
      <c r="C31" s="448" t="n"/>
      <c r="D31" s="448" t="n"/>
      <c r="E31" s="448" t="n"/>
      <c r="F31" s="448" t="n"/>
      <c r="G31" s="447" t="n"/>
      <c r="H31" s="831" t="n"/>
      <c r="I31" s="821" t="n"/>
      <c r="J31" s="831" t="n"/>
      <c r="K31" s="840" t="n"/>
      <c r="L31" s="840" t="n"/>
      <c r="M31" s="842" t="n"/>
      <c r="N31" s="842" t="n"/>
      <c r="O31" s="842" t="n"/>
      <c r="P31" s="821" t="n"/>
      <c r="Q31" s="19" t="n"/>
    </row>
    <row r="32" ht="22.5" customHeight="1" s="594">
      <c r="B32" s="445" t="n"/>
      <c r="C32" s="448" t="n"/>
      <c r="D32" s="448" t="n"/>
      <c r="E32" s="448" t="n"/>
      <c r="F32" s="448" t="n"/>
      <c r="G32" s="449" t="n"/>
      <c r="H32" s="831" t="n"/>
      <c r="I32" s="821" t="n"/>
      <c r="J32" s="831" t="n"/>
      <c r="K32" s="840" t="n"/>
      <c r="L32" s="840" t="n"/>
      <c r="M32" s="842" t="n"/>
      <c r="N32" s="842" t="n"/>
      <c r="O32" s="842" t="n"/>
      <c r="P32" s="821" t="n"/>
      <c r="Q32" s="19" t="n"/>
    </row>
    <row r="33" ht="22.5" customHeight="1" s="594">
      <c r="B33" s="441" t="n"/>
      <c r="C33" s="448" t="n"/>
      <c r="D33" s="448" t="n"/>
      <c r="E33" s="448" t="n"/>
      <c r="F33" s="448" t="n"/>
      <c r="G33" s="449" t="n"/>
      <c r="H33" s="831" t="n"/>
      <c r="I33" s="821" t="n"/>
      <c r="J33" s="831" t="n"/>
      <c r="K33" s="840" t="n"/>
      <c r="L33" s="840" t="n"/>
      <c r="M33" s="842" t="n"/>
      <c r="N33" s="842" t="n"/>
      <c r="O33" s="842" t="n"/>
      <c r="P33" s="821" t="n"/>
      <c r="Q33" s="19" t="n"/>
    </row>
    <row r="34" ht="22.5" customHeight="1" s="594">
      <c r="B34" s="445" t="n"/>
      <c r="C34" s="448" t="n"/>
      <c r="D34" s="448" t="n"/>
      <c r="E34" s="448" t="n"/>
      <c r="F34" s="448" t="n"/>
      <c r="G34" s="449" t="n"/>
      <c r="H34" s="831" t="n"/>
      <c r="I34" s="821" t="n"/>
      <c r="J34" s="831" t="n"/>
      <c r="K34" s="840" t="n"/>
      <c r="L34" s="840" t="n"/>
      <c r="M34" s="842" t="n"/>
      <c r="N34" s="842" t="n"/>
      <c r="O34" s="842" t="n"/>
      <c r="P34" s="821" t="n"/>
      <c r="Q34" s="19" t="n"/>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B2:G5"/>
  <sheetViews>
    <sheetView showGridLines="0" zoomScaleNormal="100" workbookViewId="0">
      <selection activeCell="C3" sqref="C3"/>
    </sheetView>
  </sheetViews>
  <sheetFormatPr baseColWidth="8" defaultRowHeight="18"/>
  <cols>
    <col width="8.796875" customWidth="1" style="65" min="1" max="1"/>
    <col width="36" customWidth="1" style="65" min="2" max="2"/>
    <col width="22" customWidth="1" style="65" min="3" max="3"/>
    <col width="13.19921875" customWidth="1" style="65" min="4" max="6"/>
    <col width="42" customWidth="1" style="65" min="7" max="7"/>
    <col width="8.796875" customWidth="1" style="65" min="8" max="16384"/>
  </cols>
  <sheetData>
    <row r="2" ht="39.6" customHeight="1" s="594">
      <c r="B2" s="63" t="inlineStr">
        <is>
          <t>所在地</t>
        </is>
      </c>
      <c r="C2" s="64" t="inlineStr">
        <is>
          <t>契約形態</t>
        </is>
      </c>
      <c r="D2" s="134" t="inlineStr">
        <is>
          <t>延床面積
(㎡)</t>
        </is>
      </c>
      <c r="E2" s="134" t="inlineStr">
        <is>
          <t>月間賃料
(千円)</t>
        </is>
      </c>
      <c r="F2" s="134" t="inlineStr">
        <is>
          <t>敷金
(千円)</t>
        </is>
      </c>
      <c r="G2" s="130" t="inlineStr">
        <is>
          <t>アクセス</t>
        </is>
      </c>
    </row>
    <row r="3" ht="69" customHeight="1" s="594">
      <c r="B3" s="847" t="inlineStr">
        <is>
          <t>神奈川県鎌倉市鎌倉山三丁目2番31号
（本社・鎌倉山店「ル・ミリュウ」）</t>
        </is>
      </c>
      <c r="C3" s="848" t="inlineStr">
        <is>
          <t>自己所有（土地・建物）</t>
        </is>
      </c>
      <c r="D3" s="849" t="inlineStr">
        <is>
          <t>要確認</t>
        </is>
      </c>
      <c r="E3" s="850" t="inlineStr">
        <is>
          <t>－</t>
        </is>
      </c>
      <c r="F3" s="850" t="inlineStr">
        <is>
          <t>－</t>
        </is>
      </c>
      <c r="G3" s="851" t="inlineStr">
        <is>
          <t>大船駅からバス（見晴バス停すぐ）※Web情報・要確認</t>
        </is>
      </c>
    </row>
    <row r="4" ht="38" customHeight="1" s="594">
      <c r="B4" s="847" t="inlineStr">
        <is>
          <t>紀尾井町店（東京都千代田区）
※番地は要確認</t>
        </is>
      </c>
      <c r="C4" s="848" t="inlineStr">
        <is>
          <t>賃借（契約書未受領）</t>
        </is>
      </c>
      <c r="D4" s="849" t="inlineStr">
        <is>
          <t>要確認</t>
        </is>
      </c>
      <c r="E4" s="850" t="n">
        <v>981267</v>
      </c>
      <c r="F4" s="850" t="inlineStr">
        <is>
          <t>要確認</t>
        </is>
      </c>
      <c r="G4" s="851" t="inlineStr">
        <is>
          <t>要確認</t>
        </is>
      </c>
    </row>
    <row r="5" ht="38" customHeight="1" s="594">
      <c r="B5" s="847" t="inlineStr">
        <is>
          <t>大船店（神奈川県鎌倉市）
※番地は要確認</t>
        </is>
      </c>
      <c r="C5" s="848" t="inlineStr">
        <is>
          <t>賃借（家賃支払先：三越伊勢丹）</t>
        </is>
      </c>
      <c r="D5" s="849" t="inlineStr">
        <is>
          <t>要確認</t>
        </is>
      </c>
      <c r="E5" s="850" t="n">
        <v>614722</v>
      </c>
      <c r="F5" s="850" t="inlineStr">
        <is>
          <t>要確認</t>
        </is>
      </c>
      <c r="G5" s="851" t="inlineStr">
        <is>
          <t>要確認</t>
        </is>
      </c>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B1:K21"/>
  <sheetViews>
    <sheetView showGridLines="0" zoomScaleNormal="100" workbookViewId="0">
      <selection activeCell="B4" sqref="B4:B8"/>
    </sheetView>
  </sheetViews>
  <sheetFormatPr baseColWidth="8" defaultRowHeight="18"/>
  <cols>
    <col width="8.796875" customWidth="1" style="65" min="1" max="1"/>
    <col width="13" customWidth="1" style="65" min="2" max="2"/>
    <col width="22" customWidth="1" style="65" min="3" max="3"/>
    <col width="26" bestFit="1" customWidth="1" style="65" min="4" max="4"/>
    <col width="16.5" customWidth="1" style="852" min="5" max="5"/>
    <col width="11.296875" customWidth="1" style="65" min="6" max="6"/>
    <col width="22" bestFit="1" customWidth="1" style="65" min="7" max="7"/>
    <col width="13.3984375" customWidth="1" style="693" min="8" max="9"/>
    <col hidden="1" width="13.3984375" customWidth="1" style="693" min="10" max="10"/>
    <col width="44" bestFit="1" customWidth="1" style="65" min="11" max="11"/>
    <col width="8.796875" customWidth="1" style="65" min="12" max="16384"/>
  </cols>
  <sheetData>
    <row r="1">
      <c r="E1" s="71" t="n"/>
      <c r="H1" s="65" t="n"/>
      <c r="I1" s="65" t="inlineStr">
        <is>
          <t>時価は未評価（簿価評価）</t>
        </is>
      </c>
      <c r="J1" s="65" t="n"/>
    </row>
    <row r="2">
      <c r="B2" s="74" t="n"/>
      <c r="C2" s="74" t="n"/>
      <c r="E2" s="71" t="n"/>
      <c r="H2" s="65" t="n"/>
      <c r="I2" s="65" t="n"/>
      <c r="J2" s="65" t="n"/>
    </row>
    <row r="3" ht="39.6" customHeight="1" s="594">
      <c r="B3" s="145" t="inlineStr">
        <is>
          <t>事業所名</t>
        </is>
      </c>
      <c r="C3" s="145" t="inlineStr">
        <is>
          <t>内容</t>
        </is>
      </c>
      <c r="D3" s="134" t="inlineStr">
        <is>
          <t>所在地
地番・家屋番号</t>
        </is>
      </c>
      <c r="E3" s="134" t="inlineStr">
        <is>
          <t>面積
(㎡)</t>
        </is>
      </c>
      <c r="F3" s="134" t="inlineStr">
        <is>
          <t>区分
・構造</t>
        </is>
      </c>
      <c r="G3" s="134" t="inlineStr">
        <is>
          <t>所有（建築）
年月・事由</t>
        </is>
      </c>
      <c r="H3" s="134" t="inlineStr">
        <is>
          <t>前期末簿価
(千円)</t>
        </is>
      </c>
      <c r="I3" s="134" t="inlineStr">
        <is>
          <t>時価</t>
        </is>
      </c>
      <c r="J3" s="134" t="inlineStr">
        <is>
          <t>固定資産税
評価額</t>
        </is>
      </c>
      <c r="K3" s="130" t="inlineStr">
        <is>
          <t>備考</t>
        </is>
      </c>
    </row>
    <row r="4" ht="53.5" customHeight="1" s="594">
      <c r="B4" s="853" t="inlineStr">
        <is>
          <t>本社・鎌倉山店</t>
        </is>
      </c>
      <c r="C4" s="854" t="inlineStr">
        <is>
          <t>土地）店舗敷地ほか</t>
        </is>
      </c>
      <c r="D4" s="854" t="inlineStr">
        <is>
          <t>鎌倉市鎌倉山三丁目2番31（地番詳細は要確認）</t>
        </is>
      </c>
      <c r="E4" s="855" t="inlineStr">
        <is>
          <t>要確認</t>
        </is>
      </c>
      <c r="F4" s="854" t="inlineStr">
        <is>
          <t>宅地（要確認）</t>
        </is>
      </c>
      <c r="G4" s="856" t="inlineStr">
        <is>
          <t>平成22年12月頃 取得（建物は平成22年12月21日取得）</t>
        </is>
      </c>
      <c r="H4" s="857" t="n">
        <v>345029626</v>
      </c>
      <c r="I4" s="857">
        <f>H4</f>
        <v>345029626</v>
      </c>
      <c r="J4" s="857" t="inlineStr">
        <is>
          <t>要確認</t>
        </is>
      </c>
      <c r="K4" s="858" t="inlineStr">
        <is>
          <t>簿価評価（登記事項証明書・評価証明書等が未受領のため時価評価未実施）。うち約87,420千円は「鎌倉山三丁目計画」の建設仮勘定からの振替（内容要確認）</t>
        </is>
      </c>
    </row>
    <row r="5" ht="38" customHeight="1" s="594">
      <c r="B5" s="859" t="n"/>
      <c r="C5" s="860" t="inlineStr">
        <is>
          <t>建物）店舗（鎌倉店舗）</t>
        </is>
      </c>
      <c r="D5" s="860" t="inlineStr">
        <is>
          <t>同上</t>
        </is>
      </c>
      <c r="E5" s="861" t="inlineStr">
        <is>
          <t>要確認</t>
        </is>
      </c>
      <c r="F5" s="860" t="inlineStr">
        <is>
          <t>店舗（構造は要確認）</t>
        </is>
      </c>
      <c r="G5" s="856" t="inlineStr">
        <is>
          <t>平成22年12月21日取得</t>
        </is>
      </c>
      <c r="H5" s="857" t="n">
        <v>92242941</v>
      </c>
      <c r="I5" s="862">
        <f>H5</f>
        <v>92242941</v>
      </c>
      <c r="J5" s="862" t="inlineStr">
        <is>
          <t>－</t>
        </is>
      </c>
      <c r="K5" s="858" t="inlineStr">
        <is>
          <t>簿価評価（償却不足なし）。固定資産台帳より</t>
        </is>
      </c>
    </row>
    <row r="6" ht="22.5" customHeight="1" s="594">
      <c r="B6" s="863" t="n"/>
      <c r="C6" s="864" t="inlineStr">
        <is>
          <t>建物）螺旋階段ほか</t>
        </is>
      </c>
      <c r="D6" s="864" t="inlineStr">
        <is>
          <t>同上</t>
        </is>
      </c>
      <c r="E6" s="865" t="inlineStr">
        <is>
          <t>要確認</t>
        </is>
      </c>
      <c r="F6" s="864" t="inlineStr">
        <is>
          <t>－</t>
        </is>
      </c>
      <c r="G6" s="866" t="inlineStr">
        <is>
          <t>平成30年1月取得</t>
        </is>
      </c>
      <c r="H6" s="857" t="n">
        <v>909149</v>
      </c>
      <c r="I6" s="867">
        <f>H6</f>
        <v>909149</v>
      </c>
      <c r="J6" s="868" t="inlineStr">
        <is>
          <t>－</t>
        </is>
      </c>
      <c r="K6" s="869" t="inlineStr">
        <is>
          <t>簿価評価。固定資産台帳より</t>
        </is>
      </c>
    </row>
    <row r="7" ht="38" customHeight="1" s="594">
      <c r="B7" s="853" t="inlineStr">
        <is>
          <t>大船</t>
        </is>
      </c>
      <c r="C7" s="854" t="inlineStr">
        <is>
          <t>建物）ブランズタワー大船（専有部分）</t>
        </is>
      </c>
      <c r="D7" s="854" t="inlineStr">
        <is>
          <t>神奈川県鎌倉市大船（住戸・地番は要確認）</t>
        </is>
      </c>
      <c r="E7" s="855" t="inlineStr">
        <is>
          <t>要確認</t>
        </is>
      </c>
      <c r="F7" s="854" t="inlineStr">
        <is>
          <t>要確認</t>
        </is>
      </c>
      <c r="G7" s="856" t="inlineStr">
        <is>
          <t>令和3年3月22日取得</t>
        </is>
      </c>
      <c r="H7" s="857" t="n">
        <v>25569001</v>
      </c>
      <c r="I7" s="857">
        <f>H7</f>
        <v>25569001</v>
      </c>
      <c r="J7" s="857" t="inlineStr">
        <is>
          <t>－</t>
        </is>
      </c>
      <c r="K7" s="858" t="inlineStr">
        <is>
          <t>簿価評価。大船店との関係（店舗利用か投資用か）は要確認</t>
        </is>
      </c>
    </row>
    <row r="8" ht="48.6" customHeight="1" s="594">
      <c r="C8" s="814" t="n"/>
      <c r="D8" s="814" t="n"/>
      <c r="E8" s="870" t="n"/>
      <c r="F8" s="871" t="n"/>
      <c r="G8" s="872" t="n"/>
      <c r="H8" s="601" t="n"/>
      <c r="I8" s="601" t="n"/>
      <c r="J8" s="828" t="n"/>
      <c r="K8" s="141" t="n"/>
    </row>
    <row r="9" ht="22.5" customHeight="1" s="594">
      <c r="B9" s="146" t="n"/>
      <c r="C9" s="146" t="n"/>
      <c r="D9" s="814" t="n"/>
      <c r="E9" s="873" t="n"/>
      <c r="F9" s="814" t="n"/>
      <c r="G9" s="872" t="n"/>
      <c r="H9" s="601" t="n"/>
      <c r="I9" s="601" t="n"/>
      <c r="J9" s="601" t="n"/>
      <c r="K9" s="141" t="n"/>
    </row>
    <row r="10" ht="22.5" customHeight="1" s="594">
      <c r="B10" s="146" t="n"/>
      <c r="C10" s="146" t="n"/>
      <c r="D10" s="814" t="n"/>
      <c r="E10" s="873" t="n"/>
      <c r="F10" s="814" t="n"/>
      <c r="G10" s="872" t="n"/>
      <c r="H10" s="601" t="n"/>
      <c r="I10" s="601" t="n"/>
      <c r="J10" s="601" t="n"/>
      <c r="K10" s="141" t="n"/>
    </row>
    <row r="11" ht="22.5" customHeight="1" s="594">
      <c r="B11" s="146" t="n"/>
      <c r="C11" s="146" t="n"/>
      <c r="D11" s="814" t="n"/>
      <c r="E11" s="873" t="n"/>
      <c r="F11" s="814" t="n"/>
      <c r="G11" s="872" t="n"/>
      <c r="H11" s="601" t="n"/>
      <c r="I11" s="601" t="n"/>
      <c r="J11" s="601" t="n"/>
      <c r="K11" s="141" t="n"/>
    </row>
    <row r="12"/>
    <row r="13"/>
    <row r="14">
      <c r="B14" s="74" t="n"/>
      <c r="C14" s="74" t="n"/>
      <c r="E14" s="71" t="n"/>
      <c r="H14" s="65" t="n"/>
      <c r="I14" s="65" t="n"/>
      <c r="J14" s="65" t="n"/>
    </row>
    <row r="15" ht="39.6" customHeight="1" s="594">
      <c r="B15" s="145" t="n"/>
      <c r="C15" s="145" t="n"/>
      <c r="D15" s="134" t="n"/>
      <c r="E15" s="150" t="n"/>
      <c r="F15" s="134" t="n"/>
      <c r="G15" s="134" t="n"/>
      <c r="H15" s="134" t="n"/>
      <c r="I15" s="134" t="n"/>
      <c r="J15" s="134" t="n"/>
      <c r="K15" s="130" t="n"/>
    </row>
    <row r="16" ht="22.5" customHeight="1" s="594">
      <c r="B16" s="874" t="n"/>
      <c r="C16" s="875" t="n"/>
      <c r="D16" s="875" t="n"/>
      <c r="E16" s="876" t="n"/>
      <c r="F16" s="875" t="n"/>
      <c r="G16" s="877" t="n"/>
      <c r="H16" s="878" t="n"/>
      <c r="I16" s="878" t="n"/>
      <c r="J16" s="878" t="n"/>
      <c r="K16" s="132" t="n"/>
    </row>
    <row r="17" ht="22.5" customHeight="1" s="594">
      <c r="C17" s="814" t="n"/>
      <c r="D17" s="814" t="n"/>
      <c r="E17" s="873" t="n"/>
      <c r="F17" s="814" t="n"/>
      <c r="G17" s="877" t="n"/>
      <c r="H17" s="601" t="n"/>
      <c r="I17" s="601" t="n"/>
      <c r="J17" s="601" t="n"/>
      <c r="K17" s="132" t="n"/>
    </row>
    <row r="18" ht="45" customHeight="1" s="594">
      <c r="C18" s="814" t="n"/>
      <c r="D18" s="814" t="n"/>
      <c r="E18" s="870" t="n"/>
      <c r="F18" s="871" t="n"/>
      <c r="G18" s="872" t="n"/>
      <c r="H18" s="601" t="n"/>
      <c r="I18" s="601" t="n"/>
      <c r="J18" s="828" t="n"/>
      <c r="K18" s="141" t="n"/>
    </row>
    <row r="19" ht="22.5" customHeight="1" s="594">
      <c r="B19" s="146" t="n"/>
      <c r="C19" s="146" t="n"/>
      <c r="D19" s="814" t="n"/>
      <c r="E19" s="873" t="n"/>
      <c r="F19" s="814" t="n"/>
      <c r="G19" s="872" t="n"/>
      <c r="H19" s="601" t="n"/>
      <c r="I19" s="601" t="n"/>
      <c r="J19" s="601" t="n"/>
      <c r="K19" s="141" t="n"/>
    </row>
    <row r="20" ht="22.5" customHeight="1" s="594">
      <c r="B20" s="146" t="n"/>
      <c r="C20" s="146" t="n"/>
      <c r="D20" s="814" t="n"/>
      <c r="E20" s="873" t="n"/>
      <c r="F20" s="814" t="n"/>
      <c r="G20" s="872" t="n"/>
      <c r="H20" s="601" t="n"/>
      <c r="I20" s="601" t="n"/>
      <c r="J20" s="601" t="n"/>
      <c r="K20" s="141" t="n"/>
    </row>
    <row r="21" ht="22.5" customHeight="1" s="594">
      <c r="B21" s="146" t="n"/>
      <c r="C21" s="146" t="n"/>
      <c r="D21" s="814" t="n"/>
      <c r="E21" s="873" t="n"/>
      <c r="F21" s="814" t="n"/>
      <c r="G21" s="872" t="n"/>
      <c r="H21" s="601" t="n"/>
      <c r="I21" s="601" t="n"/>
      <c r="J21" s="601" t="n"/>
      <c r="K21" s="141" t="n"/>
    </row>
  </sheetData>
  <mergeCells count="1">
    <mergeCell ref="B4:B6"/>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B1:J21"/>
  <sheetViews>
    <sheetView showGridLines="0" topLeftCell="A2" zoomScaleNormal="100" workbookViewId="0">
      <selection activeCell="I4" sqref="I4"/>
    </sheetView>
  </sheetViews>
  <sheetFormatPr baseColWidth="8" defaultRowHeight="18"/>
  <cols>
    <col width="8.796875" customWidth="1" style="65" min="1" max="1"/>
    <col width="11.19921875" customWidth="1" style="65" min="2" max="2"/>
    <col width="17.5" bestFit="1" customWidth="1" style="65" min="3" max="3"/>
    <col width="30" bestFit="1" customWidth="1" style="65" min="4" max="4"/>
    <col width="13.3984375" customWidth="1" style="852" min="5" max="5"/>
    <col width="11.296875" customWidth="1" style="65" min="6" max="6"/>
    <col width="20.3984375" bestFit="1" customWidth="1" style="65" min="7" max="7"/>
    <col width="13.3984375" customWidth="1" style="693" min="8" max="9"/>
    <col width="38" bestFit="1" customWidth="1" style="65" min="10" max="10"/>
    <col width="8.796875" customWidth="1" style="65" min="11" max="16384"/>
  </cols>
  <sheetData>
    <row r="1">
      <c r="E1" s="65" t="n"/>
      <c r="H1" s="65" t="n"/>
      <c r="I1" s="65" t="n"/>
    </row>
    <row r="2">
      <c r="B2" s="74" t="n"/>
      <c r="C2" s="74" t="n"/>
      <c r="E2" s="65" t="n"/>
      <c r="H2" s="65" t="n"/>
      <c r="I2" s="65" t="n"/>
    </row>
    <row r="3" ht="39.6" customHeight="1" s="594">
      <c r="B3" s="145" t="inlineStr">
        <is>
          <t>内容</t>
        </is>
      </c>
      <c r="C3" s="145" t="inlineStr">
        <is>
          <t>内容</t>
        </is>
      </c>
      <c r="D3" s="134" t="inlineStr">
        <is>
          <t>所在地
地番・家屋番号</t>
        </is>
      </c>
      <c r="E3" s="134" t="inlineStr">
        <is>
          <t>面積
(㎡)</t>
        </is>
      </c>
      <c r="F3" s="134" t="inlineStr">
        <is>
          <t>契約内容</t>
        </is>
      </c>
      <c r="G3" s="134" t="inlineStr">
        <is>
          <t>貸主</t>
        </is>
      </c>
      <c r="H3" s="134" t="inlineStr">
        <is>
          <t>月間賃料
(千円)</t>
        </is>
      </c>
      <c r="I3" s="134" t="inlineStr">
        <is>
          <t>敷金
(千円)</t>
        </is>
      </c>
      <c r="J3" s="130" t="inlineStr">
        <is>
          <t>備考</t>
        </is>
      </c>
    </row>
    <row r="4" ht="38" customHeight="1" s="594">
      <c r="B4" s="879" t="inlineStr">
        <is>
          <t>紀尾井町店</t>
        </is>
      </c>
      <c r="C4" s="864" t="inlineStr">
        <is>
          <t>建物）店舗</t>
        </is>
      </c>
      <c r="D4" s="880" t="inlineStr">
        <is>
          <t>東京都千代田区紀尾井町（番地は要確認）</t>
        </is>
      </c>
      <c r="E4" s="881" t="inlineStr">
        <is>
          <t>要確認</t>
        </is>
      </c>
      <c r="F4" s="848" t="inlineStr">
        <is>
          <t>賃貸借契約書未受領</t>
        </is>
      </c>
      <c r="G4" s="880" t="inlineStr">
        <is>
          <t>要確認</t>
        </is>
      </c>
      <c r="H4" s="850" t="n">
        <v>981267</v>
      </c>
      <c r="I4" s="850" t="inlineStr">
        <is>
          <t>要確認</t>
        </is>
      </c>
      <c r="J4" s="882" t="inlineStr">
        <is>
          <t>地代家賃（令和8年3月期）年11,775千円の12分の1</t>
        </is>
      </c>
    </row>
    <row r="5" ht="38" customHeight="1" s="594">
      <c r="B5" s="879" t="inlineStr">
        <is>
          <t>大船店</t>
        </is>
      </c>
      <c r="C5" s="864" t="inlineStr">
        <is>
          <t>建物）店舗</t>
        </is>
      </c>
      <c r="D5" s="880" t="inlineStr">
        <is>
          <t>神奈川県鎌倉市大船（番地は要確認）</t>
        </is>
      </c>
      <c r="E5" s="881" t="inlineStr">
        <is>
          <t>要確認</t>
        </is>
      </c>
      <c r="F5" s="848" t="inlineStr">
        <is>
          <t>賃貸借契約書未受領</t>
        </is>
      </c>
      <c r="G5" s="880" t="inlineStr">
        <is>
          <t>三越伊勢丹（支払先）</t>
        </is>
      </c>
      <c r="H5" s="850" t="n">
        <v>614722</v>
      </c>
      <c r="I5" s="850" t="inlineStr">
        <is>
          <t>要確認</t>
        </is>
      </c>
      <c r="J5" s="882" t="inlineStr">
        <is>
          <t>地代家賃年7,377千円の12分の1。百貨店精算を伴う</t>
        </is>
      </c>
    </row>
    <row r="6" ht="38" customHeight="1" s="594">
      <c r="B6" s="879" t="inlineStr">
        <is>
          <t>社宅等</t>
        </is>
      </c>
      <c r="C6" s="864" t="inlineStr">
        <is>
          <t>建物）住居</t>
        </is>
      </c>
      <c r="D6" s="880" t="inlineStr">
        <is>
          <t>第15宮庭マンション（所在地は要確認）</t>
        </is>
      </c>
      <c r="E6" s="881" t="inlineStr">
        <is>
          <t>要確認</t>
        </is>
      </c>
      <c r="F6" s="848" t="inlineStr">
        <is>
          <t>要確認</t>
        </is>
      </c>
      <c r="G6" s="880" t="inlineStr">
        <is>
          <t>株式会社トシ建設</t>
        </is>
      </c>
      <c r="H6" s="850" t="n">
        <v>130000</v>
      </c>
      <c r="I6" s="850" t="inlineStr">
        <is>
          <t>要確認</t>
        </is>
      </c>
      <c r="J6" s="882" t="inlineStr">
        <is>
          <t>年1,560千円。従業員・役員の住居か要確認</t>
        </is>
      </c>
    </row>
    <row r="7" ht="22.5" customHeight="1" s="594">
      <c r="B7" s="879" t="inlineStr">
        <is>
          <t>事務所</t>
        </is>
      </c>
      <c r="C7" s="864" t="inlineStr">
        <is>
          <t>建物）事務所</t>
        </is>
      </c>
      <c r="D7" s="880" t="inlineStr">
        <is>
          <t>東京都（所在地は要確認）</t>
        </is>
      </c>
      <c r="E7" s="881" t="inlineStr">
        <is>
          <t>要確認</t>
        </is>
      </c>
      <c r="F7" s="848" t="inlineStr">
        <is>
          <t>要確認</t>
        </is>
      </c>
      <c r="G7" s="880" t="inlineStr">
        <is>
          <t>シーブス</t>
        </is>
      </c>
      <c r="H7" s="850" t="n">
        <v>53333</v>
      </c>
      <c r="I7" s="850" t="inlineStr">
        <is>
          <t>要確認</t>
        </is>
      </c>
      <c r="J7" s="882" t="inlineStr">
        <is>
          <t>年640千円</t>
        </is>
      </c>
    </row>
    <row r="8" ht="38" customHeight="1" s="594">
      <c r="B8" s="879" t="inlineStr">
        <is>
          <t>駐車場</t>
        </is>
      </c>
      <c r="C8" s="864" t="inlineStr">
        <is>
          <t>土地）駐車場</t>
        </is>
      </c>
      <c r="D8" s="880" t="inlineStr">
        <is>
          <t>中瀬（所在地は要確認）</t>
        </is>
      </c>
      <c r="E8" s="881" t="inlineStr">
        <is>
          <t>要確認</t>
        </is>
      </c>
      <c r="F8" s="848" t="inlineStr">
        <is>
          <t>要確認</t>
        </is>
      </c>
      <c r="G8" s="880" t="inlineStr">
        <is>
          <t>有限会社野村不動産（中瀬）</t>
        </is>
      </c>
      <c r="H8" s="850" t="n">
        <v>28023</v>
      </c>
      <c r="I8" s="850" t="inlineStr">
        <is>
          <t>要確認</t>
        </is>
      </c>
      <c r="J8" s="882" t="inlineStr">
        <is>
          <t>年336千円</t>
        </is>
      </c>
    </row>
    <row r="9" ht="22.5" customHeight="1" s="594">
      <c r="B9" s="146" t="n"/>
      <c r="C9" s="146" t="n"/>
      <c r="D9" s="814" t="n"/>
      <c r="E9" s="873" t="n"/>
      <c r="F9" s="814" t="n"/>
      <c r="G9" s="814" t="n"/>
      <c r="H9" s="601" t="n"/>
      <c r="I9" s="601" t="n"/>
      <c r="J9" s="141" t="n"/>
    </row>
    <row r="10">
      <c r="G10" s="148" t="n"/>
    </row>
    <row r="11" ht="22.5" customHeight="1" s="594">
      <c r="B11" s="146" t="n"/>
      <c r="C11" s="146" t="n"/>
      <c r="D11" s="814" t="n"/>
      <c r="E11" s="873" t="n"/>
      <c r="F11" s="814" t="n"/>
      <c r="G11" s="814" t="n"/>
      <c r="H11" s="601" t="n"/>
      <c r="I11" s="601" t="n"/>
      <c r="J11" s="141" t="n"/>
    </row>
    <row r="12">
      <c r="G12" s="148" t="n"/>
    </row>
    <row r="13"/>
    <row r="14">
      <c r="B14" s="74" t="n"/>
      <c r="C14" s="74" t="n"/>
      <c r="E14" s="65" t="n"/>
      <c r="H14" s="65" t="n"/>
      <c r="I14" s="65" t="n"/>
    </row>
    <row r="15" ht="39.6" customHeight="1" s="594">
      <c r="B15" s="145" t="n"/>
      <c r="C15" s="145" t="n"/>
      <c r="D15" s="134" t="n"/>
      <c r="E15" s="134" t="n"/>
      <c r="F15" s="134" t="n"/>
      <c r="G15" s="134" t="n"/>
      <c r="H15" s="134" t="n"/>
      <c r="I15" s="134" t="n"/>
      <c r="J15" s="130" t="n"/>
    </row>
    <row r="16" ht="39.6" customHeight="1" s="594">
      <c r="B16" s="450" t="n"/>
      <c r="C16" s="814" t="n"/>
      <c r="D16" s="875" t="n"/>
      <c r="E16" s="876" t="n"/>
      <c r="F16" s="883" t="n"/>
      <c r="G16" s="875" t="n"/>
      <c r="H16" s="878" t="n"/>
      <c r="I16" s="878" t="n"/>
      <c r="J16" s="132" t="n"/>
    </row>
    <row r="17" ht="22.5" customHeight="1" s="594">
      <c r="B17" s="814" t="n"/>
      <c r="C17" s="814" t="n"/>
      <c r="D17" s="814" t="n"/>
      <c r="E17" s="873" t="n"/>
      <c r="F17" s="814" t="n"/>
      <c r="G17" s="875" t="n"/>
      <c r="H17" s="601" t="n"/>
      <c r="I17" s="601" t="n"/>
      <c r="J17" s="132" t="n"/>
    </row>
    <row r="18" ht="19.8" customHeight="1" s="594">
      <c r="B18" s="814" t="n"/>
      <c r="C18" s="814" t="n"/>
      <c r="D18" s="814" t="n"/>
      <c r="E18" s="884" t="n"/>
      <c r="F18" s="871" t="n"/>
      <c r="G18" s="814" t="n"/>
      <c r="H18" s="601" t="n"/>
      <c r="I18" s="601" t="n"/>
      <c r="J18" s="141" t="n"/>
    </row>
    <row r="19" ht="22.5" customHeight="1" s="594">
      <c r="B19" s="146" t="n"/>
      <c r="C19" s="146" t="n"/>
      <c r="D19" s="814" t="n"/>
      <c r="E19" s="873" t="n"/>
      <c r="F19" s="814" t="n"/>
      <c r="G19" s="814" t="n"/>
      <c r="H19" s="601" t="n"/>
      <c r="I19" s="601" t="n"/>
      <c r="J19" s="141" t="n"/>
    </row>
    <row r="20" ht="22.5" customHeight="1" s="594">
      <c r="B20" s="146" t="n"/>
      <c r="C20" s="146" t="n"/>
      <c r="D20" s="814" t="n"/>
      <c r="E20" s="873" t="n"/>
      <c r="F20" s="814" t="n"/>
      <c r="G20" s="814" t="n"/>
      <c r="H20" s="601" t="n"/>
      <c r="I20" s="601" t="n"/>
      <c r="J20" s="141" t="n"/>
    </row>
    <row r="21" ht="22.5" customHeight="1" s="594">
      <c r="B21" s="146" t="n"/>
      <c r="C21" s="146" t="n"/>
      <c r="D21" s="814" t="n"/>
      <c r="E21" s="873" t="n"/>
      <c r="F21" s="814" t="n"/>
      <c r="G21" s="814" t="n"/>
      <c r="H21" s="601" t="n"/>
      <c r="I21" s="601" t="n"/>
      <c r="J21" s="141" t="n"/>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B2:K22"/>
  <sheetViews>
    <sheetView showGridLines="0" zoomScaleNormal="100" workbookViewId="0">
      <selection activeCell="C2" sqref="C2"/>
    </sheetView>
  </sheetViews>
  <sheetFormatPr baseColWidth="8" defaultRowHeight="18"/>
  <cols>
    <col width="5.19921875" customWidth="1" style="118" min="2" max="2"/>
    <col width="16" customWidth="1" style="594" min="3" max="3"/>
    <col width="42" customWidth="1" style="594" min="4" max="4"/>
    <col width="16.09765625" customWidth="1" style="594" min="5" max="8"/>
    <col width="16" customWidth="1" style="594" min="9" max="9"/>
    <col width="16" customWidth="1" style="594" min="10" max="10"/>
    <col width="55.5" customWidth="1" style="594" min="11" max="11"/>
  </cols>
  <sheetData>
    <row r="2" ht="19.8" customHeight="1" s="594">
      <c r="B2" s="451" t="inlineStr">
        <is>
          <t>№</t>
        </is>
      </c>
      <c r="C2" s="2" t="inlineStr">
        <is>
          <t>科目</t>
        </is>
      </c>
      <c r="D2" s="3" t="inlineStr">
        <is>
          <t>資産名</t>
        </is>
      </c>
      <c r="E2" s="3" t="inlineStr">
        <is>
          <t>償却方法</t>
        </is>
      </c>
      <c r="F2" s="3" t="inlineStr">
        <is>
          <t>取得年</t>
        </is>
      </c>
      <c r="G2" s="3" t="inlineStr">
        <is>
          <t>取得月</t>
        </is>
      </c>
      <c r="H2" s="3" t="inlineStr">
        <is>
          <t>耐用年数</t>
        </is>
      </c>
      <c r="I2" s="406" t="inlineStr">
        <is>
          <t>取得原価</t>
        </is>
      </c>
      <c r="J2" s="406" t="inlineStr">
        <is>
          <t>期末帳簿価額</t>
        </is>
      </c>
      <c r="K2" s="1" t="inlineStr">
        <is>
          <t>文字</t>
        </is>
      </c>
    </row>
    <row r="3" ht="22.5" customHeight="1" s="594">
      <c r="B3" s="441" t="n">
        <v>1</v>
      </c>
      <c r="C3" s="407" t="inlineStr">
        <is>
          <t>建物</t>
        </is>
      </c>
      <c r="D3" s="407" t="inlineStr">
        <is>
          <t>ブランズタワー大船</t>
        </is>
      </c>
      <c r="E3" s="407" t="inlineStr">
        <is>
          <t>定額</t>
        </is>
      </c>
      <c r="F3" s="885" t="n">
        <v>2021</v>
      </c>
      <c r="G3" s="836" t="n">
        <v>3</v>
      </c>
      <c r="H3" s="836" t="n">
        <v>47</v>
      </c>
      <c r="I3" s="836" t="n">
        <v>61053652</v>
      </c>
      <c r="J3" s="836" t="n">
        <v>25569001</v>
      </c>
      <c r="K3" s="396" t="inlineStr"/>
    </row>
    <row r="4" ht="22.5" customHeight="1" s="594">
      <c r="B4" s="445" t="n">
        <v>2</v>
      </c>
      <c r="C4" s="408" t="inlineStr">
        <is>
          <t>建物</t>
        </is>
      </c>
      <c r="D4" s="408" t="inlineStr">
        <is>
          <t>鎌倉店舗</t>
        </is>
      </c>
      <c r="E4" s="408" t="inlineStr">
        <is>
          <t>定額</t>
        </is>
      </c>
      <c r="F4" s="886" t="n">
        <v>2010</v>
      </c>
      <c r="G4" s="821" t="n">
        <v>12</v>
      </c>
      <c r="H4" s="821" t="n">
        <v>39</v>
      </c>
      <c r="I4" s="821" t="n">
        <v>198526810</v>
      </c>
      <c r="J4" s="887" t="n">
        <v>92242941</v>
      </c>
      <c r="K4" s="397" t="inlineStr"/>
    </row>
    <row r="5" ht="22.5" customHeight="1" s="594">
      <c r="B5" s="441" t="n">
        <v>3</v>
      </c>
      <c r="C5" s="408" t="inlineStr">
        <is>
          <t>建物</t>
        </is>
      </c>
      <c r="D5" s="408" t="inlineStr">
        <is>
          <t>鎌倉山店 螺旋階段</t>
        </is>
      </c>
      <c r="E5" s="408" t="inlineStr">
        <is>
          <t>定額</t>
        </is>
      </c>
      <c r="F5" s="886" t="n">
        <v>2018</v>
      </c>
      <c r="G5" s="821" t="n">
        <v>1</v>
      </c>
      <c r="H5" s="821" t="n">
        <v>39</v>
      </c>
      <c r="I5" s="821" t="n">
        <v>1157408</v>
      </c>
      <c r="J5" s="887" t="n">
        <v>909149</v>
      </c>
      <c r="K5" s="398" t="inlineStr"/>
    </row>
    <row r="6" ht="22.5" customHeight="1" s="594">
      <c r="B6" s="445" t="n">
        <v>4</v>
      </c>
      <c r="C6" s="408" t="inlineStr">
        <is>
          <t>建物付属設備</t>
        </is>
      </c>
      <c r="D6" s="408" t="inlineStr">
        <is>
          <t>鎌倉山店 螺旋階段（新設）</t>
        </is>
      </c>
      <c r="E6" s="408" t="inlineStr">
        <is>
          <t>定額</t>
        </is>
      </c>
      <c r="F6" s="886" t="n">
        <v>2025</v>
      </c>
      <c r="G6" s="821" t="n">
        <v>10</v>
      </c>
      <c r="H6" s="821" t="n">
        <v>15</v>
      </c>
      <c r="I6" s="821" t="n">
        <v>5345456</v>
      </c>
      <c r="J6" s="887" t="n">
        <v>5166384</v>
      </c>
      <c r="K6" s="398" t="inlineStr"/>
    </row>
    <row r="7" ht="22.5" customHeight="1" s="594">
      <c r="B7" s="445" t="n">
        <v>5</v>
      </c>
      <c r="C7" s="408" t="inlineStr">
        <is>
          <t>建物付属設備</t>
        </is>
      </c>
      <c r="D7" s="408" t="inlineStr">
        <is>
          <t>大船店 B工事</t>
        </is>
      </c>
      <c r="E7" s="408" t="inlineStr">
        <is>
          <t>定額</t>
        </is>
      </c>
      <c r="F7" s="886" t="n">
        <v>2022</v>
      </c>
      <c r="G7" s="821" t="n">
        <v>1</v>
      </c>
      <c r="H7" s="821" t="n">
        <v>15</v>
      </c>
      <c r="I7" s="821" t="n">
        <v>6370320</v>
      </c>
      <c r="J7" s="887" t="n">
        <v>4556374</v>
      </c>
      <c r="K7" s="397" t="inlineStr"/>
    </row>
    <row r="8" ht="22.5" customHeight="1" s="594">
      <c r="B8" s="445" t="n">
        <v>6</v>
      </c>
      <c r="C8" s="408" t="inlineStr">
        <is>
          <t>建物付属設備</t>
        </is>
      </c>
      <c r="D8" s="408" t="inlineStr">
        <is>
          <t>ルミリュウ大船 内装工事</t>
        </is>
      </c>
      <c r="E8" s="408" t="inlineStr">
        <is>
          <t>定額</t>
        </is>
      </c>
      <c r="F8" s="886" t="n">
        <v>2025</v>
      </c>
      <c r="G8" s="821" t="n">
        <v>3</v>
      </c>
      <c r="H8" s="821" t="n">
        <v>15</v>
      </c>
      <c r="I8" s="821" t="n">
        <v>4822473</v>
      </c>
      <c r="J8" s="887" t="n">
        <v>4472443</v>
      </c>
      <c r="K8" s="397" t="inlineStr"/>
    </row>
    <row r="9" ht="22.5" customHeight="1" s="594">
      <c r="B9" s="445" t="n">
        <v>7</v>
      </c>
      <c r="C9" s="408" t="inlineStr">
        <is>
          <t>建物付属設備</t>
        </is>
      </c>
      <c r="D9" s="408" t="inlineStr">
        <is>
          <t>天井照明工事</t>
        </is>
      </c>
      <c r="E9" s="408" t="inlineStr">
        <is>
          <t>定額</t>
        </is>
      </c>
      <c r="F9" s="886" t="n">
        <v>2020</v>
      </c>
      <c r="G9" s="821" t="n">
        <v>11</v>
      </c>
      <c r="H9" s="821" t="n">
        <v>15</v>
      </c>
      <c r="I9" s="821" t="n">
        <v>2980706</v>
      </c>
      <c r="J9" s="887" t="n">
        <v>1898960</v>
      </c>
      <c r="K9" s="397" t="inlineStr"/>
    </row>
    <row r="10" ht="22.5" customHeight="1" s="594">
      <c r="B10" s="445" t="n">
        <v>8</v>
      </c>
      <c r="C10" s="408" t="inlineStr">
        <is>
          <t>建物付属設備</t>
        </is>
      </c>
      <c r="D10" s="408" t="inlineStr">
        <is>
          <t>紀尾井町店 空調設備工事</t>
        </is>
      </c>
      <c r="E10" s="408" t="inlineStr">
        <is>
          <t>定額</t>
        </is>
      </c>
      <c r="F10" s="886" t="n">
        <v>2016</v>
      </c>
      <c r="G10" s="821" t="n">
        <v>10</v>
      </c>
      <c r="H10" s="821" t="n">
        <v>15</v>
      </c>
      <c r="I10" s="821" t="n">
        <v>4985956</v>
      </c>
      <c r="J10" s="887" t="n">
        <v>1812396</v>
      </c>
      <c r="K10" s="397" t="inlineStr"/>
    </row>
    <row r="11" ht="22.5" customHeight="1" s="594">
      <c r="B11" s="445" t="n">
        <v>9</v>
      </c>
      <c r="C11" s="408" t="inlineStr">
        <is>
          <t>建物付属設備</t>
        </is>
      </c>
      <c r="D11" s="408" t="inlineStr">
        <is>
          <t>鎌倉店 給排水設備</t>
        </is>
      </c>
      <c r="E11" s="408" t="inlineStr">
        <is>
          <t>定率</t>
        </is>
      </c>
      <c r="F11" s="886" t="n">
        <v>2010</v>
      </c>
      <c r="G11" s="821" t="n">
        <v>12</v>
      </c>
      <c r="H11" s="821" t="n">
        <v>15</v>
      </c>
      <c r="I11" s="821" t="n">
        <v>23197737</v>
      </c>
      <c r="J11" s="887" t="n">
        <v>617007</v>
      </c>
      <c r="K11" s="397" t="inlineStr"/>
    </row>
    <row r="12" ht="22.5" customHeight="1" s="594">
      <c r="B12" s="445" t="n">
        <v>10</v>
      </c>
      <c r="C12" s="408" t="inlineStr">
        <is>
          <t>建物付属設備</t>
        </is>
      </c>
      <c r="D12" s="408" t="inlineStr">
        <is>
          <t>紀尾井町店 給排水設備工事</t>
        </is>
      </c>
      <c r="E12" s="408" t="inlineStr">
        <is>
          <t>定額</t>
        </is>
      </c>
      <c r="F12" s="886" t="n">
        <v>2016</v>
      </c>
      <c r="G12" s="821" t="n">
        <v>10</v>
      </c>
      <c r="H12" s="821" t="n">
        <v>15</v>
      </c>
      <c r="I12" s="821" t="n">
        <v>1650096</v>
      </c>
      <c r="J12" s="887" t="n">
        <v>599814</v>
      </c>
      <c r="K12" s="397" t="inlineStr"/>
    </row>
    <row r="13" ht="22.5" customFormat="1" customHeight="1" s="117">
      <c r="B13" s="445" t="n">
        <v>11</v>
      </c>
      <c r="C13" s="408" t="inlineStr">
        <is>
          <t>建物付属設備</t>
        </is>
      </c>
      <c r="D13" s="408" t="inlineStr">
        <is>
          <t>紀尾井町店 電気設備工事</t>
        </is>
      </c>
      <c r="E13" s="408" t="inlineStr">
        <is>
          <t>定額</t>
        </is>
      </c>
      <c r="F13" s="886" t="n">
        <v>2016</v>
      </c>
      <c r="G13" s="821" t="n">
        <v>10</v>
      </c>
      <c r="H13" s="821" t="n">
        <v>15</v>
      </c>
      <c r="I13" s="821" t="n">
        <v>1166730</v>
      </c>
      <c r="J13" s="887" t="n">
        <v>424115</v>
      </c>
      <c r="K13" s="397" t="inlineStr"/>
    </row>
    <row r="14" ht="22.5" customHeight="1" s="594">
      <c r="B14" s="445" t="n">
        <v>12</v>
      </c>
      <c r="C14" s="408" t="inlineStr">
        <is>
          <t>車両運搬具</t>
        </is>
      </c>
      <c r="D14" s="408" t="inlineStr">
        <is>
          <t>MINI F65S</t>
        </is>
      </c>
      <c r="E14" s="408" t="inlineStr">
        <is>
          <t>定率</t>
        </is>
      </c>
      <c r="F14" s="886" t="n">
        <v>2025</v>
      </c>
      <c r="G14" s="821" t="n">
        <v>7</v>
      </c>
      <c r="H14" s="821" t="n">
        <v>6</v>
      </c>
      <c r="I14" s="821" t="n">
        <v>4565855</v>
      </c>
      <c r="J14" s="887" t="n">
        <v>3425533</v>
      </c>
      <c r="K14" s="397" t="inlineStr"/>
    </row>
    <row r="15" ht="22.5" customHeight="1" s="594">
      <c r="B15" s="445" t="n">
        <v>13</v>
      </c>
      <c r="C15" s="408" t="inlineStr">
        <is>
          <t>車両運搬具</t>
        </is>
      </c>
      <c r="D15" s="408" t="inlineStr">
        <is>
          <t>垂直リフト（令和6年10月取得・2台）</t>
        </is>
      </c>
      <c r="E15" s="408" t="inlineStr">
        <is>
          <t>定額</t>
        </is>
      </c>
      <c r="F15" s="886" t="n">
        <v>2024</v>
      </c>
      <c r="G15" s="821" t="n">
        <v>10</v>
      </c>
      <c r="H15" s="821" t="n">
        <v>4</v>
      </c>
      <c r="I15" s="821" t="n">
        <v>3151000</v>
      </c>
      <c r="J15" s="887" t="n">
        <v>1969375</v>
      </c>
      <c r="K15" s="397" t="inlineStr"/>
    </row>
    <row r="16" ht="22.5" customHeight="1" s="594">
      <c r="B16" s="445" t="n">
        <v>14</v>
      </c>
      <c r="C16" s="408" t="inlineStr">
        <is>
          <t>工具器具備品</t>
        </is>
      </c>
      <c r="D16" s="408" t="inlineStr">
        <is>
          <t>看板</t>
        </is>
      </c>
      <c r="E16" s="408" t="inlineStr">
        <is>
          <t>定率</t>
        </is>
      </c>
      <c r="F16" s="886" t="n">
        <v>2025</v>
      </c>
      <c r="G16" s="821" t="n">
        <v>5</v>
      </c>
      <c r="H16" s="821" t="n">
        <v>3</v>
      </c>
      <c r="I16" s="821" t="n">
        <v>908000</v>
      </c>
      <c r="J16" s="887" t="n">
        <v>352834</v>
      </c>
      <c r="K16" s="397" t="inlineStr"/>
    </row>
    <row r="17" ht="22.5" customHeight="1" s="594">
      <c r="B17" s="445" t="n">
        <v>15</v>
      </c>
      <c r="C17" s="408" t="inlineStr">
        <is>
          <t>工具器具備品</t>
        </is>
      </c>
      <c r="D17" s="408" t="inlineStr">
        <is>
          <t>物置</t>
        </is>
      </c>
      <c r="E17" s="408" t="inlineStr">
        <is>
          <t>定率</t>
        </is>
      </c>
      <c r="F17" s="886" t="n">
        <v>2021</v>
      </c>
      <c r="G17" s="821" t="n">
        <v>5</v>
      </c>
      <c r="H17" s="821" t="n">
        <v>15</v>
      </c>
      <c r="I17" s="821" t="n">
        <v>473800</v>
      </c>
      <c r="J17" s="887" t="n">
        <v>235077</v>
      </c>
      <c r="K17" s="397" t="inlineStr"/>
    </row>
    <row r="18" ht="22.5" customHeight="1" s="594">
      <c r="B18" s="445" t="n">
        <v>16</v>
      </c>
      <c r="C18" s="408" t="inlineStr">
        <is>
          <t>工具器具備品</t>
        </is>
      </c>
      <c r="D18" s="408" t="inlineStr">
        <is>
          <t>棚什器・冷蔵庫・ワゴン 他</t>
        </is>
      </c>
      <c r="E18" s="408" t="inlineStr">
        <is>
          <t>定率</t>
        </is>
      </c>
      <c r="F18" s="886" t="n">
        <v>2025</v>
      </c>
      <c r="G18" s="821" t="n">
        <v>1</v>
      </c>
      <c r="H18" s="821" t="n">
        <v>6</v>
      </c>
      <c r="I18" s="821" t="n">
        <v>462982</v>
      </c>
      <c r="J18" s="887" t="n">
        <v>320833</v>
      </c>
      <c r="K18" s="397" t="inlineStr"/>
    </row>
    <row r="19" ht="22.5" customHeight="1" s="594">
      <c r="B19" s="445" t="n">
        <v>17</v>
      </c>
      <c r="C19" s="408" t="inlineStr"/>
      <c r="D19" s="408" t="inlineStr">
        <is>
          <t>その他（償却済・備忘価額1円）</t>
        </is>
      </c>
      <c r="E19" s="408" t="inlineStr">
        <is>
          <t>－</t>
        </is>
      </c>
      <c r="F19" s="886" t="inlineStr">
        <is>
          <t>－</t>
        </is>
      </c>
      <c r="G19" s="821" t="inlineStr">
        <is>
          <t>－</t>
        </is>
      </c>
      <c r="H19" s="821" t="inlineStr">
        <is>
          <t>－</t>
        </is>
      </c>
      <c r="I19" s="821" t="inlineStr">
        <is>
          <t>－</t>
        </is>
      </c>
      <c r="J19" s="887" t="n">
        <v>15</v>
      </c>
      <c r="K19" s="397" t="inlineStr">
        <is>
          <t>建物付属設備・器具備品の償却済資産</t>
        </is>
      </c>
    </row>
    <row r="20" ht="22.5" customHeight="1" s="594">
      <c r="B20" s="441" t="n"/>
      <c r="C20" s="408" t="n"/>
      <c r="D20" s="408" t="n"/>
      <c r="E20" s="408" t="n"/>
      <c r="F20" s="821" t="n"/>
      <c r="G20" s="821" t="n"/>
      <c r="H20" s="821" t="n"/>
      <c r="I20" s="821" t="n"/>
      <c r="J20" s="887" t="n"/>
      <c r="K20" s="398" t="n"/>
    </row>
    <row r="21" ht="22.5" customHeight="1" s="594">
      <c r="B21" s="445" t="n"/>
      <c r="C21" s="408" t="n"/>
      <c r="D21" s="408" t="n"/>
      <c r="E21" s="408" t="n"/>
      <c r="F21" s="821" t="n"/>
      <c r="G21" s="821" t="n"/>
      <c r="H21" s="821" t="n"/>
      <c r="I21" s="821" t="n"/>
      <c r="J21" s="887" t="n"/>
      <c r="K21" s="398" t="n"/>
    </row>
    <row r="22" ht="22.5" customFormat="1" customHeight="1" s="117">
      <c r="B22" s="452" t="n"/>
      <c r="C22" s="409" t="n"/>
      <c r="D22" s="409" t="n"/>
      <c r="E22" s="409" t="n"/>
      <c r="F22" s="888" t="n"/>
      <c r="G22" s="888" t="n"/>
      <c r="H22" s="888" t="n"/>
      <c r="I22" s="888" t="n"/>
      <c r="J22" s="888" t="n"/>
      <c r="K22" s="411" t="n"/>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B1:F35"/>
  <sheetViews>
    <sheetView showGridLines="0" zoomScaleNormal="100" workbookViewId="0">
      <selection activeCell="B3" sqref="B3"/>
    </sheetView>
  </sheetViews>
  <sheetFormatPr baseColWidth="8" defaultRowHeight="18"/>
  <cols>
    <col width="8.796875" customWidth="1" style="51" min="1" max="1"/>
    <col width="16.09765625" customWidth="1" style="51" min="2" max="5"/>
    <col width="55.5" customWidth="1" style="51" min="6" max="6"/>
    <col width="8.796875" customWidth="1" style="51" min="7" max="16384"/>
  </cols>
  <sheetData>
    <row r="1">
      <c r="B1" s="57" t="n"/>
    </row>
    <row r="2" ht="19.8" customHeight="1" s="594">
      <c r="B2" s="58" t="inlineStr">
        <is>
          <t>IMの財務詳細ページのデータは財務入力のシートから流用してください</t>
        </is>
      </c>
      <c r="C2" s="50" t="n"/>
      <c r="D2" s="50" t="n"/>
      <c r="E2" s="50" t="n"/>
      <c r="F2" s="50" t="n"/>
    </row>
    <row r="3" ht="22.5" customHeight="1" s="594">
      <c r="B3" s="583" t="n"/>
      <c r="C3" s="889" t="n"/>
      <c r="D3" s="889" t="n"/>
      <c r="E3" s="889" t="n"/>
      <c r="F3" s="8" t="n"/>
    </row>
    <row r="4" ht="22.5" customHeight="1" s="594">
      <c r="B4" s="54" t="n"/>
      <c r="C4" s="889" t="n"/>
      <c r="D4" s="889" t="n"/>
      <c r="E4" s="889" t="n"/>
      <c r="F4" s="8" t="n"/>
    </row>
    <row r="5" ht="22.5" customHeight="1" s="594">
      <c r="B5" s="583" t="n"/>
      <c r="C5" s="889" t="n"/>
      <c r="D5" s="889" t="n"/>
      <c r="E5" s="889" t="n"/>
      <c r="F5" s="55" t="n"/>
    </row>
    <row r="6" ht="22.5" customHeight="1" s="594">
      <c r="B6" s="583" t="n"/>
      <c r="C6" s="889" t="n"/>
      <c r="D6" s="889" t="n"/>
      <c r="E6" s="889" t="n"/>
      <c r="F6" s="55" t="n"/>
    </row>
    <row r="7" ht="22.5" customHeight="1" s="594">
      <c r="B7" s="583" t="n"/>
      <c r="C7" s="889" t="n"/>
      <c r="D7" s="889" t="n"/>
      <c r="E7" s="889" t="n"/>
      <c r="F7" s="55" t="n"/>
    </row>
    <row r="8" ht="22.5" customHeight="1" s="594">
      <c r="B8" s="583" t="n"/>
      <c r="C8" s="889" t="n"/>
      <c r="D8" s="889" t="n"/>
      <c r="E8" s="889" t="n"/>
      <c r="F8" s="55" t="n"/>
    </row>
    <row r="11" ht="19.8" customHeight="1" s="594">
      <c r="B11" s="50" t="n"/>
      <c r="C11" s="50" t="n"/>
      <c r="D11" s="50" t="n"/>
      <c r="E11" s="50" t="n"/>
      <c r="F11" s="50" t="n"/>
    </row>
    <row r="12" ht="19.95" customHeight="1" s="594">
      <c r="B12" s="583" t="n"/>
      <c r="C12" s="889" t="n"/>
      <c r="D12" s="889" t="n"/>
      <c r="E12" s="889" t="n"/>
      <c r="F12" s="8" t="n"/>
    </row>
    <row r="13" ht="19.95" customHeight="1" s="594">
      <c r="C13" s="889" t="n"/>
      <c r="D13" s="889" t="n"/>
      <c r="E13" s="889" t="n"/>
      <c r="F13" s="8" t="n"/>
    </row>
    <row r="14" ht="19.95" customHeight="1" s="594">
      <c r="B14" s="583" t="n"/>
      <c r="C14" s="889" t="n"/>
      <c r="D14" s="889" t="n"/>
      <c r="E14" s="889" t="n"/>
      <c r="F14" s="55" t="n"/>
    </row>
    <row r="15" ht="19.95" customHeight="1" s="594">
      <c r="C15" s="889" t="n"/>
      <c r="D15" s="889" t="n"/>
      <c r="E15" s="889" t="n"/>
      <c r="F15" s="55" t="n"/>
    </row>
    <row r="16" ht="19.95" customHeight="1" s="594">
      <c r="B16" s="583" t="n"/>
      <c r="C16" s="889" t="n"/>
      <c r="D16" s="889" t="n"/>
      <c r="E16" s="889" t="n"/>
      <c r="F16" s="55" t="n"/>
    </row>
    <row r="17" ht="19.95" customHeight="1" s="594">
      <c r="C17" s="889" t="n"/>
      <c r="D17" s="889" t="n"/>
      <c r="E17" s="889" t="n"/>
      <c r="F17" s="55" t="n"/>
    </row>
    <row r="20" ht="19.8" customHeight="1" s="594">
      <c r="B20" s="50" t="n"/>
      <c r="C20" s="50" t="n"/>
      <c r="D20" s="50" t="n"/>
      <c r="E20" s="50" t="n"/>
    </row>
    <row r="21">
      <c r="B21" s="583" t="n"/>
      <c r="C21" s="889" t="n"/>
      <c r="D21" s="890" t="n"/>
      <c r="E21" s="889" t="n"/>
    </row>
    <row r="22">
      <c r="C22" s="889" t="n"/>
      <c r="D22" s="890" t="n"/>
      <c r="E22" s="889" t="n"/>
    </row>
    <row r="23">
      <c r="B23" s="583" t="n"/>
      <c r="C23" s="889" t="n"/>
      <c r="D23" s="890" t="n"/>
      <c r="E23" s="889" t="n"/>
    </row>
    <row r="24">
      <c r="C24" s="889" t="n"/>
      <c r="D24" s="890" t="n"/>
      <c r="E24" s="889" t="n"/>
    </row>
    <row r="25">
      <c r="B25" s="583" t="n"/>
      <c r="C25" s="889" t="n"/>
      <c r="D25" s="890" t="n"/>
      <c r="E25" s="889" t="n"/>
    </row>
    <row r="26">
      <c r="C26" s="889" t="n"/>
      <c r="D26" s="890" t="n"/>
      <c r="E26" s="889" t="n"/>
    </row>
    <row r="29" ht="19.8" customHeight="1" s="594">
      <c r="B29" s="50" t="n"/>
      <c r="C29" s="50" t="n"/>
      <c r="D29" s="50" t="n"/>
      <c r="E29" s="50" t="n"/>
    </row>
    <row r="30">
      <c r="B30" s="583" t="n"/>
      <c r="C30" s="889" t="n"/>
      <c r="D30" s="889" t="n"/>
      <c r="E30" s="889" t="n"/>
    </row>
    <row r="31">
      <c r="C31" s="889" t="n"/>
      <c r="D31" s="889" t="n"/>
      <c r="E31" s="889" t="n"/>
    </row>
    <row r="32">
      <c r="B32" s="583" t="n"/>
      <c r="C32" s="889" t="n"/>
      <c r="D32" s="889" t="n"/>
      <c r="E32" s="889" t="n"/>
    </row>
    <row r="33">
      <c r="C33" s="889" t="n"/>
      <c r="D33" s="889" t="n"/>
      <c r="E33" s="889" t="n"/>
    </row>
    <row r="34">
      <c r="B34" s="583" t="n"/>
      <c r="C34" s="890" t="n"/>
      <c r="D34" s="890" t="n"/>
      <c r="E34" s="890" t="n"/>
    </row>
    <row r="35">
      <c r="C35" s="890" t="n"/>
      <c r="D35" s="890" t="n"/>
      <c r="E35" s="890" t="n"/>
    </row>
  </sheetData>
  <mergeCells count="9">
    <mergeCell ref="B23:B24"/>
    <mergeCell ref="B32:B33"/>
    <mergeCell ref="B12:B13"/>
    <mergeCell ref="B25:B26"/>
    <mergeCell ref="B16:B17"/>
    <mergeCell ref="B34:B35"/>
    <mergeCell ref="B21:B22"/>
    <mergeCell ref="B14:B15"/>
    <mergeCell ref="B30:B31"/>
  </mergeCells>
  <pageMargins left="0.7" right="0.7" top="0.75" bottom="0.75" header="0.3" footer="0.3"/>
</worksheet>
</file>

<file path=xl/worksheets/sheet43.xml><?xml version="1.0" encoding="utf-8"?>
<worksheet xmlns="http://schemas.openxmlformats.org/spreadsheetml/2006/main">
  <sheetPr>
    <tabColor rgb="FF002060"/>
    <outlinePr summaryBelow="1" summaryRight="1"/>
    <pageSetUpPr/>
  </sheetPr>
  <dimension ref="A1:A37"/>
  <sheetViews>
    <sheetView showGridLines="0" workbookViewId="0">
      <selection activeCell="K16" sqref="K16"/>
    </sheetView>
  </sheetViews>
  <sheetFormatPr baseColWidth="8" defaultRowHeight="18"/>
  <cols>
    <col width="160" customWidth="1" style="594" min="1" max="1"/>
  </cols>
  <sheetData>
    <row r="1">
      <c r="A1" t="inlineStr">
        <is>
          <t>【要確認事項（案件固有）】</t>
        </is>
      </c>
    </row>
    <row r="2">
      <c r="A2" t="inlineStr">
        <is>
          <t>1. 設立年月・登記事項（商号履歴、役員構成、事業目的、本店移転履歴）：登記事項証明書未受領</t>
        </is>
      </c>
    </row>
    <row r="3">
      <c r="A3" t="inlineStr">
        <is>
          <t>2. 株主構成：法人税申告書 別表二では西丸 修100%。株主名簿・過去の株式異動の確認</t>
        </is>
      </c>
    </row>
    <row r="4">
      <c r="A4" t="inlineStr">
        <is>
          <t>3. 事業内容・屋号・店舗網：Web情報では「ル・ミリュウ鎌倉山」「ラ・プレシューズ（四ツ谷・紀尾井町）」。大船店「ルミリュウ大船」と合わせた現行店舗網の確認。法人税申告書上の事業種目は「不動産賃貸業」</t>
        </is>
      </c>
    </row>
    <row r="5">
      <c r="A5" t="inlineStr">
        <is>
          <t>4. 令和7年3月期の不動産売却（松濤フラッツ・売却額869,200千円・買主㈱日本財託）：取得経緯、売却益、紹介手数料等（計48,960千円）、コンサルティング費用（15,096千円）、㈱アールエイジへの支払29,000千円の内容。令和7年3月末の売掛金841百万円の回収状況</t>
        </is>
      </c>
    </row>
    <row r="6">
      <c r="A6" t="inlineStr">
        <is>
          <t>5. 令和8年3月期のコンサル収入14,000千円（売掛金15,400千円）および前渡金18,508千円（コンサル紹介費用）の相手先・契約内容・回収可能性・返金可否</t>
        </is>
      </c>
    </row>
    <row r="7">
      <c r="A7" t="inlineStr">
        <is>
          <t>6. 過年度法人税等48,375千円（令和3〜4年度分の法人税・地方法人税・事業税、不申告加算税・延滞税を含む）：税務調査の経緯・範囲・未解決事項、令和5年度以降の影響</t>
        </is>
      </c>
    </row>
    <row r="8">
      <c r="A8" t="inlineStr">
        <is>
          <t>7. 役員借入金359,667千円（西丸 修257,667千円、西丸 勇人51,000千円、西丸 翔太51,000千円）：返済条件・譲渡時の取扱い。BS上は短期・長期借入金に含まれる</t>
        </is>
      </c>
    </row>
    <row r="9">
      <c r="A9" t="inlineStr">
        <is>
          <t>8. 銀行借入86,156千円（三井住友銀行31,916千円、三菱UFJ銀行54,240千円）：返済条件・担保・代表者保証の有無</t>
        </is>
      </c>
    </row>
    <row r="10">
      <c r="A10" t="inlineStr">
        <is>
          <t>9. 土地・建物の時価評価：登記事項証明書、固定資産税評価証明書、路線価、不動産鑑定の有無（土地345,030千円は簿価評価）。鎌倉山三丁目計画（約87,420千円を土地へ振替）の内容</t>
        </is>
      </c>
    </row>
    <row r="11">
      <c r="A11" t="inlineStr">
        <is>
          <t>10. 賃貸借契約（紀尾井町店・大船店ほか）の契約書、敷金13,160千円の内訳・返還条件、原状回復義務、契約期間・更新</t>
        </is>
      </c>
    </row>
    <row r="12">
      <c r="A12" t="inlineStr">
        <is>
          <t>11. 従業員：個人別の雇用形態・年齢・勤続・賞与・退職金制度（就業規則・賃金規程・退職金規程）。月給者6名・時給者約30名は給与台帳からの推計</t>
        </is>
      </c>
    </row>
    <row r="13">
      <c r="A13" t="inlineStr">
        <is>
          <t>12. 四谷店の閉店時期・閉店費用、ミリュウショップ（令和7年3月期42百万円→令和8年3月期7百万円）の減少要因</t>
        </is>
      </c>
    </row>
    <row r="14">
      <c r="A14" t="inlineStr">
        <is>
          <t>13. 令和7年3月期の販管費の増加要因（修繕費12,668千円、旅費交通費13,621千円、会議費5,275千円、租税公課9,642千円等）が不動産売却関連か</t>
        </is>
      </c>
    </row>
    <row r="15">
      <c r="A15" t="inlineStr">
        <is>
          <t>14. 進行期（令和9年3月期）の試算表・予算、月次の店舗別損益</t>
        </is>
      </c>
    </row>
    <row r="16">
      <c r="A16" t="inlineStr">
        <is>
          <t>15. 許認可（菓子製造業許可、飲食店営業許可、食品衛生責任者等）、商標権（ル・ミリュウ／ラ・プレシューズ）の帰属</t>
        </is>
      </c>
    </row>
    <row r="17">
      <c r="A17" t="inlineStr">
        <is>
          <t>16. 代表者の関与継続意向、譲渡理由、希望条件（価格・スキーム・付帯条件）</t>
        </is>
      </c>
    </row>
    <row r="18">
      <c r="A18" t="inlineStr"/>
    </row>
    <row r="19">
      <c r="A19" t="inlineStr">
        <is>
          <t>【Web調査メモ（要確認）】</t>
        </is>
      </c>
    </row>
    <row r="20">
      <c r="A20" t="inlineStr">
        <is>
          <t>・「ル・ミリュウ 鎌倉山」：2010年開業、所在地は神奈川県鎌倉市鎌倉山3-2-31。2017年9月にリニューアル。現在は「ル・ミリュウ」が本店で、四ツ谷・紀尾井町の「ラ・プレシューズ」と合わせて3店舗とする記載あり（出所：https://hamoni.jp/shop/GAfr94h0cpguOvSfsb4A ／ https://www.ozmall.co.jp/restaurant/9057/ ）</t>
        </is>
      </c>
    </row>
    <row r="21">
      <c r="A21" t="inlineStr">
        <is>
          <t>・ウエスト・シークル株式会社は鎌倉市鎌倉山に本社を置き、東京・神奈川で3店舗を運営、生菓子・焼き菓子・パンの販売と併設カフェでの飲食提供とする求人サイト記載あり（出所：https://www.careermap.jp/jobs/336594 ）</t>
        </is>
      </c>
    </row>
    <row r="22">
      <c r="A22" t="inlineStr">
        <is>
          <t>※Web情報は最新の状態と異なる可能性がある。四谷店は帳簿上、令和7年3月期以降の売上がなく、現行店舗の確認が必要。</t>
        </is>
      </c>
    </row>
    <row r="23">
      <c r="A23" t="inlineStr"/>
    </row>
    <row r="24">
      <c r="A24" t="inlineStr">
        <is>
          <t>【作成上の前提・テンプレートの是正】</t>
        </is>
      </c>
    </row>
    <row r="25">
      <c r="A25" t="inlineStr">
        <is>
          <t>・修正BS(貸方)のD50（修正額）は、税効果の二重計上を避けるため資産修正から繰延税金資産の修正額を控除する式に是正した。</t>
        </is>
      </c>
    </row>
    <row r="26">
      <c r="A26" t="inlineStr">
        <is>
          <t>・年買法の営業権は基準営業利益がマイナスの場合0とした（MAX関数）。EV/EBITDA法のEVも同様に0を下限とした。</t>
        </is>
      </c>
    </row>
    <row r="27">
      <c r="A27" t="inlineStr">
        <is>
          <t>・修正SGAのM5/P5（役員報酬のダミー修正額△500千円、未使用列）を削除した。</t>
        </is>
      </c>
    </row>
    <row r="28">
      <c r="A28" t="inlineStr">
        <is>
          <t>・修正BS(貸方)のC4（期間見出し）が初年度を参照していたため、最終期（BS(借方)!E4）を参照するよう是正した。</t>
        </is>
      </c>
    </row>
    <row r="29">
      <c r="A29" t="inlineStr">
        <is>
          <t>・ネットキャッシュ(F15)の参照先誤り（=F13-I13）を=F13-C13に是正した。</t>
        </is>
      </c>
    </row>
    <row r="30">
      <c r="A30" t="inlineStr">
        <is>
          <t>・グラフ／表／スケジュールのシートはテンプレートのダミーデータのみのため削除した。</t>
        </is>
      </c>
    </row>
    <row r="32">
      <c r="A32" t="inlineStr">
        <is>
          <t>【概要書・評価書への貼付けのための体裁整備（2026/10/13）】</t>
        </is>
      </c>
    </row>
    <row r="33">
      <c r="A33" t="inlineStr">
        <is>
          <t>・各シートのセル範囲をそのまま概要書・評価書へ貼り付ける前提で、列幅・折返し・行高・表示ラベルを整えた（数値・計算式は不変）。</t>
        </is>
      </c>
    </row>
    <row r="34">
      <c r="A34" t="inlineStr">
        <is>
          <t>・BSハイライトは科目を当社の実態（前渡金・未収還付法人税等・敷金等）に合わせて組み替えた。</t>
        </is>
      </c>
    </row>
    <row r="35">
      <c r="A35" t="inlineStr">
        <is>
          <t>・EV/EBITDAは基準EBITDAがマイナスの場合「算定不能」と表示する式に変更した。</t>
        </is>
      </c>
    </row>
    <row r="36">
      <c r="A36" t="inlineStr">
        <is>
          <t>・評価書「修正内容詳細③」の原本として「敷金保証金」シートを追加した。</t>
        </is>
      </c>
    </row>
    <row r="37">
      <c r="A37" t="inlineStr">
        <is>
          <t>・従業員シートのテンプレート記入例（●年夏季賞与、YYYY/MM/DD等）を削除し、2026年2月分の給与支給集計（9〜13行）を追加した。</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直子 渡辺</dc:creator>
  <dcterms:created xmlns:dcterms="http://purl.org/dc/terms/" xmlns:xsi="http://www.w3.org/2001/XMLSchema-instance" xsi:type="dcterms:W3CDTF">2026-01-09T01:04:21Z</dcterms:created>
  <dcterms:modified xmlns:dcterms="http://purl.org/dc/terms/" xmlns:xsi="http://www.w3.org/2001/XMLSchema-instance" xsi:type="dcterms:W3CDTF">2026-10-14T00:05:54Z</dcterms:modified>
  <cp:lastModifiedBy>越智 真也</cp:lastModifiedBy>
</cp:coreProperties>
</file>