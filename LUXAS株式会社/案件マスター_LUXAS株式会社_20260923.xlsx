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2.xml.rels" ContentType="application/vnd.openxmlformats-package.relationships+xml"/>
  <Override PartName="/xl/worksheets/_rels/sheet10.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49.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46.xml" ContentType="application/vnd.openxmlformats-officedocument.spreadsheetml.worksheet+xml"/>
  <Override PartName="/xl/worksheets/sheet6.xml" ContentType="application/vnd.openxmlformats-officedocument.spreadsheetml.worksheet+xml"/>
  <Override PartName="/xl/worksheets/sheet39.xml" ContentType="application/vnd.openxmlformats-officedocument.spreadsheetml.worksheet+xml"/>
  <Override PartName="/xl/worksheets/sheet41.xml" ContentType="application/vnd.openxmlformats-officedocument.spreadsheetml.worksheet+xml"/>
  <Override PartName="/xl/worksheets/sheet50.xml" ContentType="application/vnd.openxmlformats-officedocument.spreadsheetml.worksheet+xml"/>
  <Override PartName="/xl/worksheets/sheet11.xml" ContentType="application/vnd.openxmlformats-officedocument.spreadsheetml.worksheet+xml"/>
  <Override PartName="/xl/worksheets/sheet48.xml" ContentType="application/vnd.openxmlformats-officedocument.spreadsheetml.worksheet+xml"/>
  <Override PartName="/xl/worksheets/sheet51.xml" ContentType="application/vnd.openxmlformats-officedocument.spreadsheetml.worksheet+xml"/>
  <Override PartName="/xl/worksheets/sheet14.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37.xml" ContentType="application/vnd.openxmlformats-officedocument.spreadsheetml.worksheet+xml"/>
  <Override PartName="/xl/worksheets/sheet36.xml" ContentType="application/vnd.openxmlformats-officedocument.spreadsheetml.worksheet+xml"/>
  <Override PartName="/xl/worksheets/sheet35.xml" ContentType="application/vnd.openxmlformats-officedocument.spreadsheetml.worksheet+xml"/>
  <Override PartName="/xl/worksheets/sheet34.xml" ContentType="application/vnd.openxmlformats-officedocument.spreadsheetml.worksheet+xml"/>
  <Override PartName="/xl/worksheets/sheet33.xml" ContentType="application/vnd.openxmlformats-officedocument.spreadsheetml.worksheet+xml"/>
  <Override PartName="/xl/worksheets/sheet32.xml" ContentType="application/vnd.openxmlformats-officedocument.spreadsheetml.worksheet+xml"/>
  <Override PartName="/xl/worksheets/sheet10.xml" ContentType="application/vnd.openxmlformats-officedocument.spreadsheetml.worksheet+xml"/>
  <Override PartName="/xl/worksheets/sheet47.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ルール" sheetId="1" state="visible" r:id="rId3"/>
    <sheet name="財務入力→" sheetId="2" state="visible" r:id="rId4"/>
    <sheet name="BS(借方)" sheetId="3" state="visible" r:id="rId5"/>
    <sheet name="BS (貸方)" sheetId="4" state="visible" r:id="rId6"/>
    <sheet name="PL" sheetId="5" state="visible" r:id="rId7"/>
    <sheet name="CR" sheetId="6" state="visible" r:id="rId8"/>
    <sheet name="SGA" sheetId="7" state="visible" r:id="rId9"/>
    <sheet name="VR→ " sheetId="8" state="visible" r:id="rId10"/>
    <sheet name="評価参考" sheetId="9" state="visible" r:id="rId11"/>
    <sheet name="株式価値 " sheetId="10" state="visible" r:id="rId12"/>
    <sheet name="修正BS(借方)" sheetId="11" state="visible" r:id="rId13"/>
    <sheet name="売掛・棚卸" sheetId="12" state="visible" r:id="rId14"/>
    <sheet name="減価償却" sheetId="13" state="visible" r:id="rId15"/>
    <sheet name="土地" sheetId="14" state="visible" r:id="rId16"/>
    <sheet name="保険" sheetId="15" state="visible" r:id="rId17"/>
    <sheet name="有価証券" sheetId="16" state="visible" r:id="rId18"/>
    <sheet name="修正BS(貸方) " sheetId="17" state="visible" r:id="rId19"/>
    <sheet name="未払人件費・賞与" sheetId="18" state="visible" r:id="rId20"/>
    <sheet name="退職金" sheetId="19" state="visible" r:id="rId21"/>
    <sheet name="税効果" sheetId="20" state="visible" r:id="rId22"/>
    <sheet name="ネットキャッシュ" sheetId="21" state="visible" r:id="rId23"/>
    <sheet name="修正PL" sheetId="22" state="visible" r:id="rId24"/>
    <sheet name="修正SGA" sheetId="23" state="visible" r:id="rId25"/>
    <sheet name="修正CR" sheetId="24" state="visible" r:id="rId26"/>
    <sheet name="評価科目" sheetId="25" state="visible" r:id="rId27"/>
    <sheet name="年買法" sheetId="26" state="visible" r:id="rId28"/>
    <sheet name="EV EBITDAマルチプル" sheetId="27" state="visible" r:id="rId29"/>
    <sheet name="参照企業" sheetId="28" state="visible" r:id="rId30"/>
    <sheet name="IM→" sheetId="29" state="visible" r:id="rId31"/>
    <sheet name="会社概要" sheetId="30" state="visible" r:id="rId32"/>
    <sheet name="月次推移" sheetId="31" state="visible" r:id="rId33"/>
    <sheet name="PLハイライト" sheetId="32" state="visible" r:id="rId34"/>
    <sheet name="BSハイライト" sheetId="33" state="visible" r:id="rId35"/>
    <sheet name="店舗別売上" sheetId="34" state="visible" r:id="rId36"/>
    <sheet name="店舗別損益" sheetId="35" state="visible" r:id="rId37"/>
    <sheet name="店舗別費用" sheetId="36" state="visible" r:id="rId38"/>
    <sheet name="棚卸明細" sheetId="37" state="visible" r:id="rId39"/>
    <sheet name="取引先" sheetId="38" state="visible" r:id="rId40"/>
    <sheet name="仕入先" sheetId="39" state="visible" r:id="rId41"/>
    <sheet name="外注先" sheetId="40" state="visible" r:id="rId42"/>
    <sheet name="株主" sheetId="41" state="visible" r:id="rId43"/>
    <sheet name="取締役" sheetId="42" state="visible" r:id="rId44"/>
    <sheet name="従業員" sheetId="43" state="visible" r:id="rId45"/>
    <sheet name="拠点(本社等)" sheetId="44" state="visible" r:id="rId46"/>
    <sheet name="不動産(所有)" sheetId="45" state="visible" r:id="rId47"/>
    <sheet name="不動産(賃借) " sheetId="46" state="visible" r:id="rId48"/>
    <sheet name="設備" sheetId="47" state="visible" r:id="rId49"/>
    <sheet name="財務" sheetId="48" state="visible" r:id="rId50"/>
    <sheet name="その他" sheetId="49" state="visible" r:id="rId51"/>
    <sheet name="スケジュール(横)" sheetId="50" state="visible" r:id="rId52"/>
    <sheet name="スケジュール(縦)" sheetId="51" state="visible" r:id="rId53"/>
    <sheet name="グラフ" sheetId="52" state="visible" r:id="rId54"/>
    <sheet name="表" sheetId="53" state="visible" r:id="rId5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<sst xmlns="http://schemas.openxmlformats.org/spreadsheetml/2006/main" count="1914" uniqueCount="923">
  <si>
    <r>
      <rPr>
        <sz val="11"/>
        <color theme="1"/>
        <rFont val="游ゴシック"/>
        <family val="2"/>
      </rPr>
      <t xml:space="preserve">文字は「游ゴシック」、数字は「</t>
    </r>
    <r>
      <rPr>
        <sz val="11"/>
        <color theme="1"/>
        <rFont val="游ゴシック"/>
        <family val="2"/>
        <charset val="1"/>
      </rPr>
      <t xml:space="preserve">Arial</t>
    </r>
    <r>
      <rPr>
        <sz val="11"/>
        <color theme="1"/>
        <rFont val="游ゴシック"/>
        <family val="2"/>
      </rPr>
      <t xml:space="preserve">」を基本。備考欄などの細かい文章は「游ゴシック </t>
    </r>
    <r>
      <rPr>
        <sz val="11"/>
        <color theme="1"/>
        <rFont val="游ゴシック"/>
        <family val="2"/>
        <charset val="1"/>
      </rPr>
      <t xml:space="preserve">Medium</t>
    </r>
    <r>
      <rPr>
        <sz val="11"/>
        <color theme="1"/>
        <rFont val="游ゴシック"/>
        <family val="2"/>
      </rPr>
      <t xml:space="preserve">」。</t>
    </r>
  </si>
  <si>
    <t xml:space="preserve">タイトル、合計欄は太字</t>
  </si>
  <si>
    <t xml:space="preserve">数字は円単位で入力、表示は千円単位に設定済み</t>
  </si>
  <si>
    <t xml:space="preserve">基本の背景は以下の通り。紺、水色、グレー、白、青。パレットの上部の色。</t>
  </si>
  <si>
    <t xml:space="preserve">線は紺か白か青。</t>
  </si>
  <si>
    <t xml:space="preserve">資産の部</t>
  </si>
  <si>
    <t xml:space="preserve">科目</t>
  </si>
  <si>
    <t xml:space="preserve">調整額</t>
  </si>
  <si>
    <t xml:space="preserve">調整後</t>
  </si>
  <si>
    <t xml:space="preserve">【流動資産】</t>
  </si>
  <si>
    <t xml:space="preserve">現金及び預金</t>
  </si>
  <si>
    <t xml:space="preserve">←基本的にはここをつかう→</t>
  </si>
  <si>
    <r>
      <rPr>
        <b val="true"/>
        <sz val="11"/>
        <color rgb="FFFF0000"/>
        <rFont val="游ゴシック Medium"/>
        <family val="3"/>
        <charset val="128"/>
      </rPr>
      <t xml:space="preserve">1</t>
    </r>
    <r>
      <rPr>
        <b val="true"/>
        <sz val="11"/>
        <color rgb="FFFF0000"/>
        <rFont val="游ゴシック"/>
        <family val="2"/>
      </rPr>
      <t xml:space="preserve">期目</t>
    </r>
  </si>
  <si>
    <r>
      <rPr>
        <b val="true"/>
        <sz val="11"/>
        <color rgb="FFFF0000"/>
        <rFont val="游ゴシック Medium"/>
        <family val="3"/>
        <charset val="128"/>
      </rPr>
      <t xml:space="preserve">2</t>
    </r>
    <r>
      <rPr>
        <b val="true"/>
        <sz val="11"/>
        <color rgb="FFFF0000"/>
        <rFont val="游ゴシック"/>
        <family val="2"/>
      </rPr>
      <t xml:space="preserve">期目</t>
    </r>
  </si>
  <si>
    <r>
      <rPr>
        <b val="true"/>
        <sz val="11"/>
        <color rgb="FFFF0000"/>
        <rFont val="游ゴシック Medium"/>
        <family val="3"/>
        <charset val="128"/>
      </rPr>
      <t xml:space="preserve">3</t>
    </r>
    <r>
      <rPr>
        <b val="true"/>
        <sz val="11"/>
        <color rgb="FFFF0000"/>
        <rFont val="游ゴシック"/>
        <family val="2"/>
      </rPr>
      <t xml:space="preserve">期目</t>
    </r>
  </si>
  <si>
    <r>
      <rPr>
        <b val="true"/>
        <sz val="11"/>
        <color rgb="FFFF0000"/>
        <rFont val="游ゴシック"/>
        <family val="2"/>
      </rPr>
      <t xml:space="preserve">（</t>
    </r>
    <r>
      <rPr>
        <b val="true"/>
        <sz val="11"/>
        <color rgb="FFFF0000"/>
        <rFont val="游ゴシック"/>
        <family val="2"/>
        <charset val="1"/>
      </rPr>
      <t xml:space="preserve">4</t>
    </r>
    <r>
      <rPr>
        <b val="true"/>
        <sz val="11"/>
        <color rgb="FFFF0000"/>
        <rFont val="游ゴシック"/>
        <family val="2"/>
      </rPr>
      <t xml:space="preserve">期目）</t>
    </r>
  </si>
  <si>
    <t xml:space="preserve">進行期</t>
  </si>
  <si>
    <t xml:space="preserve">－</t>
  </si>
  <si>
    <r>
      <rPr>
        <b val="true"/>
        <sz val="12"/>
        <color theme="0"/>
        <rFont val="游ゴシック"/>
        <family val="3"/>
        <charset val="128"/>
      </rPr>
      <t xml:space="preserve">23</t>
    </r>
    <r>
      <rPr>
        <b val="true"/>
        <sz val="12"/>
        <color theme="0"/>
        <rFont val="游ゴシック"/>
        <family val="2"/>
      </rPr>
      <t xml:space="preserve">年</t>
    </r>
    <r>
      <rPr>
        <b val="true"/>
        <sz val="12"/>
        <color theme="0"/>
        <rFont val="游ゴシック"/>
        <family val="3"/>
        <charset val="128"/>
      </rPr>
      <t xml:space="preserve">11</t>
    </r>
    <r>
      <rPr>
        <b val="true"/>
        <sz val="12"/>
        <color theme="0"/>
        <rFont val="游ゴシック"/>
        <family val="2"/>
      </rPr>
      <t xml:space="preserve">月期</t>
    </r>
  </si>
  <si>
    <r>
      <rPr>
        <b val="true"/>
        <sz val="12"/>
        <color theme="0"/>
        <rFont val="游ゴシック"/>
        <family val="3"/>
        <charset val="128"/>
      </rPr>
      <t xml:space="preserve">24</t>
    </r>
    <r>
      <rPr>
        <b val="true"/>
        <sz val="12"/>
        <color theme="0"/>
        <rFont val="游ゴシック"/>
        <family val="2"/>
      </rPr>
      <t xml:space="preserve">年</t>
    </r>
    <r>
      <rPr>
        <b val="true"/>
        <sz val="12"/>
        <color theme="0"/>
        <rFont val="游ゴシック"/>
        <family val="3"/>
        <charset val="128"/>
      </rPr>
      <t xml:space="preserve">11</t>
    </r>
    <r>
      <rPr>
        <b val="true"/>
        <sz val="12"/>
        <color theme="0"/>
        <rFont val="游ゴシック"/>
        <family val="2"/>
      </rPr>
      <t xml:space="preserve">月期</t>
    </r>
  </si>
  <si>
    <r>
      <rPr>
        <b val="true"/>
        <sz val="12"/>
        <color theme="0"/>
        <rFont val="游ゴシック"/>
        <family val="3"/>
        <charset val="128"/>
      </rPr>
      <t xml:space="preserve">25</t>
    </r>
    <r>
      <rPr>
        <b val="true"/>
        <sz val="12"/>
        <color theme="0"/>
        <rFont val="游ゴシック"/>
        <family val="2"/>
      </rPr>
      <t xml:space="preserve">年</t>
    </r>
    <r>
      <rPr>
        <b val="true"/>
        <sz val="12"/>
        <color theme="0"/>
        <rFont val="游ゴシック"/>
        <family val="3"/>
        <charset val="128"/>
      </rPr>
      <t xml:space="preserve">11</t>
    </r>
    <r>
      <rPr>
        <b val="true"/>
        <sz val="12"/>
        <color theme="0"/>
        <rFont val="游ゴシック"/>
        <family val="2"/>
      </rPr>
      <t xml:space="preserve">月期</t>
    </r>
  </si>
  <si>
    <r>
      <rPr>
        <b val="true"/>
        <sz val="12"/>
        <color theme="0"/>
        <rFont val="游ゴシック"/>
        <family val="3"/>
        <charset val="128"/>
      </rPr>
      <t xml:space="preserve">26</t>
    </r>
    <r>
      <rPr>
        <b val="true"/>
        <sz val="12"/>
        <color theme="0"/>
        <rFont val="游ゴシック"/>
        <family val="2"/>
      </rPr>
      <t xml:space="preserve">年</t>
    </r>
    <r>
      <rPr>
        <b val="true"/>
        <sz val="12"/>
        <color theme="0"/>
        <rFont val="游ゴシック"/>
        <family val="3"/>
        <charset val="128"/>
      </rPr>
      <t xml:space="preserve">11</t>
    </r>
    <r>
      <rPr>
        <b val="true"/>
        <sz val="12"/>
        <color theme="0"/>
        <rFont val="游ゴシック"/>
        <family val="2"/>
      </rPr>
      <t xml:space="preserve">月期
（</t>
    </r>
    <r>
      <rPr>
        <b val="true"/>
        <sz val="12"/>
        <color theme="0"/>
        <rFont val="游ゴシック"/>
        <family val="3"/>
        <charset val="128"/>
      </rPr>
      <t xml:space="preserve">7</t>
    </r>
    <r>
      <rPr>
        <b val="true"/>
        <sz val="12"/>
        <color theme="0"/>
        <rFont val="游ゴシック"/>
        <family val="2"/>
      </rPr>
      <t xml:space="preserve">か月</t>
    </r>
    <r>
      <rPr>
        <b val="true"/>
        <sz val="12"/>
        <color theme="0"/>
        <rFont val="游ゴシック"/>
        <family val="3"/>
        <charset val="128"/>
      </rPr>
      <t xml:space="preserve">TB</t>
    </r>
    <r>
      <rPr>
        <b val="true"/>
        <sz val="12"/>
        <color theme="0"/>
        <rFont val="游ゴシック"/>
        <family val="2"/>
      </rPr>
      <t xml:space="preserve">）</t>
    </r>
  </si>
  <si>
    <t xml:space="preserve">売掛金</t>
  </si>
  <si>
    <t xml:space="preserve">商品</t>
  </si>
  <si>
    <t xml:space="preserve">貯蔵品</t>
  </si>
  <si>
    <t xml:space="preserve">前渡金</t>
  </si>
  <si>
    <t xml:space="preserve">前払費用</t>
  </si>
  <si>
    <t xml:space="preserve">未収入金</t>
  </si>
  <si>
    <t xml:space="preserve">未収還付法人税等</t>
  </si>
  <si>
    <t xml:space="preserve">仮払金</t>
  </si>
  <si>
    <t xml:space="preserve">立替金</t>
  </si>
  <si>
    <t xml:space="preserve">【固定資産】</t>
  </si>
  <si>
    <t xml:space="preserve">［有形固定資産］</t>
  </si>
  <si>
    <t xml:space="preserve">建物</t>
  </si>
  <si>
    <t xml:space="preserve">建物付属設備</t>
  </si>
  <si>
    <t xml:space="preserve">構築物</t>
  </si>
  <si>
    <t xml:space="preserve">車両運搬具</t>
  </si>
  <si>
    <t xml:space="preserve">工具器具及び備品</t>
  </si>
  <si>
    <t xml:space="preserve">土地</t>
  </si>
  <si>
    <t xml:space="preserve">その他の有形固定資産</t>
  </si>
  <si>
    <t xml:space="preserve">［無形固定資産］</t>
  </si>
  <si>
    <t xml:space="preserve">［投資その他資産］</t>
  </si>
  <si>
    <t xml:space="preserve">リサイクル預託金</t>
  </si>
  <si>
    <t xml:space="preserve">長期前払費用</t>
  </si>
  <si>
    <t xml:space="preserve">差入保証金</t>
  </si>
  <si>
    <t xml:space="preserve">営業権</t>
  </si>
  <si>
    <t xml:space="preserve">【繰延資産】</t>
  </si>
  <si>
    <t xml:space="preserve">資産合計</t>
  </si>
  <si>
    <t xml:space="preserve">バランスチェック</t>
  </si>
  <si>
    <r>
      <rPr>
        <sz val="11"/>
        <color theme="1"/>
        <rFont val="游ゴシック"/>
        <family val="3"/>
        <charset val="128"/>
      </rPr>
      <t xml:space="preserve">(</t>
    </r>
    <r>
      <rPr>
        <sz val="11"/>
        <color theme="1"/>
        <rFont val="游ゴシック"/>
        <family val="2"/>
      </rPr>
      <t xml:space="preserve">単位：千円</t>
    </r>
    <r>
      <rPr>
        <sz val="11"/>
        <color theme="1"/>
        <rFont val="游ゴシック"/>
        <family val="3"/>
        <charset val="128"/>
      </rPr>
      <t xml:space="preserve">)</t>
    </r>
  </si>
  <si>
    <t xml:space="preserve">負債の部</t>
  </si>
  <si>
    <t xml:space="preserve">【流動負債】</t>
  </si>
  <si>
    <t xml:space="preserve">買掛金</t>
  </si>
  <si>
    <t xml:space="preserve">短期借入金</t>
  </si>
  <si>
    <t xml:space="preserve">未払金</t>
  </si>
  <si>
    <t xml:space="preserve">未払費用</t>
  </si>
  <si>
    <t xml:space="preserve">未払法人税等</t>
  </si>
  <si>
    <t xml:space="preserve">未払消費税等</t>
  </si>
  <si>
    <t xml:space="preserve">預り金</t>
  </si>
  <si>
    <t xml:space="preserve">カード未払金</t>
  </si>
  <si>
    <t xml:space="preserve">【固定負債】</t>
  </si>
  <si>
    <t xml:space="preserve">長期借入金</t>
  </si>
  <si>
    <t xml:space="preserve">役員借入金</t>
  </si>
  <si>
    <t xml:space="preserve">長期未払金</t>
  </si>
  <si>
    <t xml:space="preserve">負債合計</t>
  </si>
  <si>
    <t xml:space="preserve">純資産の部</t>
  </si>
  <si>
    <t xml:space="preserve">【資本金】</t>
  </si>
  <si>
    <t xml:space="preserve">資本金</t>
  </si>
  <si>
    <t xml:space="preserve">【資本剰余金】</t>
  </si>
  <si>
    <t xml:space="preserve">【利益剰余金】</t>
  </si>
  <si>
    <t xml:space="preserve">繰越利益剰余金</t>
  </si>
  <si>
    <t xml:space="preserve">【自己株式】</t>
  </si>
  <si>
    <t xml:space="preserve">純資産合計</t>
  </si>
  <si>
    <t xml:space="preserve">負債・純資産合計</t>
  </si>
  <si>
    <t xml:space="preserve">帳簿価額</t>
  </si>
  <si>
    <t xml:space="preserve">売上高比</t>
  </si>
  <si>
    <t xml:space="preserve">生体売上高</t>
  </si>
  <si>
    <t xml:space="preserve">サービス売上高</t>
  </si>
  <si>
    <t xml:space="preserve">物販売上高</t>
  </si>
  <si>
    <t xml:space="preserve">売上高</t>
  </si>
  <si>
    <t xml:space="preserve">期首棚卸高</t>
  </si>
  <si>
    <t xml:space="preserve">商品仕入高</t>
  </si>
  <si>
    <t xml:space="preserve">外注費</t>
  </si>
  <si>
    <t xml:space="preserve">他勘定振替高</t>
  </si>
  <si>
    <t xml:space="preserve">期末棚卸高</t>
  </si>
  <si>
    <t xml:space="preserve">売上原価</t>
  </si>
  <si>
    <t xml:space="preserve">売上総利益</t>
  </si>
  <si>
    <t xml:space="preserve">販売費及び一般管理費</t>
  </si>
  <si>
    <t xml:space="preserve">営業利益</t>
  </si>
  <si>
    <t xml:space="preserve">営業外収益</t>
  </si>
  <si>
    <t xml:space="preserve">受取利息</t>
  </si>
  <si>
    <t xml:space="preserve">受取配当金</t>
  </si>
  <si>
    <t xml:space="preserve">雑収入</t>
  </si>
  <si>
    <t xml:space="preserve">営業外費用</t>
  </si>
  <si>
    <t xml:space="preserve">支払利息</t>
  </si>
  <si>
    <t xml:space="preserve">雑損失</t>
  </si>
  <si>
    <t xml:space="preserve">経常利益</t>
  </si>
  <si>
    <t xml:space="preserve">特別利益</t>
  </si>
  <si>
    <t xml:space="preserve">特別損失</t>
  </si>
  <si>
    <t xml:space="preserve">固定資産売却損</t>
  </si>
  <si>
    <t xml:space="preserve">固定資産除却損</t>
  </si>
  <si>
    <t xml:space="preserve">棚卸資産廃棄損</t>
  </si>
  <si>
    <t xml:space="preserve">税引前当期純利益</t>
  </si>
  <si>
    <t xml:space="preserve">法人税等</t>
  </si>
  <si>
    <t xml:space="preserve">税引後当期純利益</t>
  </si>
  <si>
    <t xml:space="preserve">※対象会社は小売業であり製造原価報告書は作成されていないため、本シートは使用しない。</t>
  </si>
  <si>
    <r>
      <rPr>
        <sz val="12"/>
        <color rgb="FFFF0000"/>
        <rFont val="Arial"/>
        <family val="2"/>
        <charset val="1"/>
      </rPr>
      <t xml:space="preserve">IM</t>
    </r>
    <r>
      <rPr>
        <sz val="12"/>
        <color rgb="FFFF0000"/>
        <rFont val="游ゴシック"/>
        <family val="2"/>
      </rPr>
      <t xml:space="preserve">に貼るときは非表示→</t>
    </r>
  </si>
  <si>
    <t xml:space="preserve">売上</t>
  </si>
  <si>
    <t xml:space="preserve">-</t>
  </si>
  <si>
    <t xml:space="preserve">期首原材料棚卸高</t>
  </si>
  <si>
    <t xml:space="preserve">原材料仕入高</t>
  </si>
  <si>
    <t xml:space="preserve">小計</t>
  </si>
  <si>
    <t xml:space="preserve">期末原材料棚卸高</t>
  </si>
  <si>
    <t xml:space="preserve">材料費</t>
  </si>
  <si>
    <t xml:space="preserve">労務費</t>
  </si>
  <si>
    <t xml:space="preserve">外注加工費</t>
  </si>
  <si>
    <t xml:space="preserve">経費</t>
  </si>
  <si>
    <t xml:space="preserve">当期製造費用</t>
  </si>
  <si>
    <t xml:space="preserve">期首仕掛品棚卸高</t>
  </si>
  <si>
    <t xml:space="preserve">合計</t>
  </si>
  <si>
    <t xml:space="preserve">期末仕掛品棚卸高</t>
  </si>
  <si>
    <t xml:space="preserve">当期製造原価</t>
  </si>
  <si>
    <r>
      <rPr>
        <sz val="12"/>
        <color rgb="FFFF0000"/>
        <rFont val="Arial"/>
        <family val="2"/>
        <charset val="1"/>
      </rPr>
      <t xml:space="preserve">←IM</t>
    </r>
    <r>
      <rPr>
        <sz val="12"/>
        <color rgb="FFFF0000"/>
        <rFont val="游ゴシック"/>
        <family val="2"/>
      </rPr>
      <t xml:space="preserve">に貼るときは非表示</t>
    </r>
  </si>
  <si>
    <t xml:space="preserve">従業員給与</t>
  </si>
  <si>
    <t xml:space="preserve">旅費交通費</t>
  </si>
  <si>
    <t xml:space="preserve">広告宣伝費</t>
  </si>
  <si>
    <t xml:space="preserve">発送配達費</t>
  </si>
  <si>
    <t xml:space="preserve">ロイヤリティ</t>
  </si>
  <si>
    <t xml:space="preserve">会議費</t>
  </si>
  <si>
    <t xml:space="preserve">役員報酬</t>
  </si>
  <si>
    <t xml:space="preserve">法定福利費</t>
  </si>
  <si>
    <t xml:space="preserve">厚生費</t>
  </si>
  <si>
    <t xml:space="preserve">減価償却費</t>
  </si>
  <si>
    <t xml:space="preserve">リース料</t>
  </si>
  <si>
    <t xml:space="preserve">地代家賃</t>
  </si>
  <si>
    <t xml:space="preserve">修繕費</t>
  </si>
  <si>
    <t xml:space="preserve">事務用消耗品費</t>
  </si>
  <si>
    <t xml:space="preserve">通信費</t>
  </si>
  <si>
    <t xml:space="preserve">水道光熱費</t>
  </si>
  <si>
    <t xml:space="preserve">租税公課</t>
  </si>
  <si>
    <t xml:space="preserve">接待交際費</t>
  </si>
  <si>
    <t xml:space="preserve">保険料</t>
  </si>
  <si>
    <t xml:space="preserve">備品消耗品費</t>
  </si>
  <si>
    <t xml:space="preserve">管理諸費</t>
  </si>
  <si>
    <t xml:space="preserve">支払手数料</t>
  </si>
  <si>
    <t xml:space="preserve">諸会費</t>
  </si>
  <si>
    <t xml:space="preserve">車両費</t>
  </si>
  <si>
    <t xml:space="preserve">研修費</t>
  </si>
  <si>
    <t xml:space="preserve">雑費</t>
  </si>
  <si>
    <t xml:space="preserve">販売費および一般管理費合計</t>
  </si>
  <si>
    <r>
      <rPr>
        <b val="true"/>
        <sz val="11"/>
        <color rgb="FF0B3041"/>
        <rFont val="游ゴシック"/>
        <family val="2"/>
      </rPr>
      <t xml:space="preserve">参考｜進行期（</t>
    </r>
    <r>
      <rPr>
        <b val="true"/>
        <sz val="11"/>
        <color rgb="FF0B3041"/>
        <rFont val="游ゴシック"/>
        <family val="2"/>
        <charset val="1"/>
      </rPr>
      <t xml:space="preserve">2026</t>
    </r>
    <r>
      <rPr>
        <b val="true"/>
        <sz val="11"/>
        <color rgb="FF0B3041"/>
        <rFont val="游ゴシック"/>
        <family val="2"/>
      </rPr>
      <t xml:space="preserve">年</t>
    </r>
    <r>
      <rPr>
        <b val="true"/>
        <sz val="11"/>
        <color rgb="FF0B3041"/>
        <rFont val="游ゴシック"/>
        <family val="2"/>
        <charset val="1"/>
      </rPr>
      <t xml:space="preserve">11</t>
    </r>
    <r>
      <rPr>
        <b val="true"/>
        <sz val="11"/>
        <color rgb="FF0B3041"/>
        <rFont val="游ゴシック"/>
        <family val="2"/>
      </rPr>
      <t xml:space="preserve">月期）</t>
    </r>
    <r>
      <rPr>
        <b val="true"/>
        <sz val="11"/>
        <color rgb="FF0B3041"/>
        <rFont val="游ゴシック"/>
        <family val="2"/>
        <charset val="1"/>
      </rPr>
      <t xml:space="preserve">7</t>
    </r>
    <r>
      <rPr>
        <b val="true"/>
        <sz val="11"/>
        <color rgb="FF0B3041"/>
        <rFont val="游ゴシック"/>
        <family val="2"/>
      </rPr>
      <t xml:space="preserve">か月実績を年換算した場合の試算</t>
    </r>
  </si>
  <si>
    <r>
      <rPr>
        <sz val="9"/>
        <rFont val="游ゴシック"/>
        <family val="2"/>
      </rPr>
      <t xml:space="preserve">※不採算</t>
    </r>
    <r>
      <rPr>
        <sz val="9"/>
        <rFont val="游ゴシック"/>
        <family val="2"/>
        <charset val="1"/>
      </rPr>
      <t xml:space="preserve">2</t>
    </r>
    <r>
      <rPr>
        <sz val="9"/>
        <rFont val="游ゴシック"/>
        <family val="2"/>
      </rPr>
      <t xml:space="preserve">店舗の撤退効果が通期で発現し、進行期</t>
    </r>
    <r>
      <rPr>
        <sz val="9"/>
        <rFont val="游ゴシック"/>
        <family val="2"/>
        <charset val="1"/>
      </rPr>
      <t xml:space="preserve">7</t>
    </r>
    <r>
      <rPr>
        <sz val="9"/>
        <rFont val="游ゴシック"/>
        <family val="2"/>
      </rPr>
      <t xml:space="preserve">か月の水準が年間を通じて維持されることを前提とした仮説試算であり、評価結果ではない。</t>
    </r>
  </si>
  <si>
    <r>
      <rPr>
        <sz val="9"/>
        <rFont val="游ゴシック Medium"/>
        <family val="0"/>
        <charset val="1"/>
      </rPr>
      <t xml:space="preserve">(</t>
    </r>
    <r>
      <rPr>
        <sz val="9"/>
        <rFont val="游ゴシック"/>
        <family val="2"/>
      </rPr>
      <t xml:space="preserve">単位：千円</t>
    </r>
    <r>
      <rPr>
        <sz val="9"/>
        <rFont val="游ゴシック Medium"/>
        <family val="0"/>
        <charset val="1"/>
      </rPr>
      <t xml:space="preserve">)</t>
    </r>
  </si>
  <si>
    <r>
      <rPr>
        <sz val="9"/>
        <rFont val="游ゴシック"/>
        <family val="2"/>
      </rPr>
      <t xml:space="preserve">進行期</t>
    </r>
    <r>
      <rPr>
        <sz val="9"/>
        <rFont val="游ゴシック"/>
        <family val="2"/>
        <charset val="1"/>
      </rPr>
      <t xml:space="preserve">7</t>
    </r>
    <r>
      <rPr>
        <sz val="9"/>
        <rFont val="游ゴシック"/>
        <family val="2"/>
      </rPr>
      <t xml:space="preserve">か月 営業利益</t>
    </r>
  </si>
  <si>
    <r>
      <rPr>
        <sz val="9"/>
        <rFont val="游ゴシック"/>
        <family val="2"/>
      </rPr>
      <t xml:space="preserve">月次では減価償却費が未計上のため実質的に</t>
    </r>
    <r>
      <rPr>
        <sz val="9"/>
        <rFont val="游ゴシック"/>
        <family val="2"/>
        <charset val="1"/>
      </rPr>
      <t xml:space="preserve">EBITDA</t>
    </r>
    <r>
      <rPr>
        <sz val="9"/>
        <rFont val="游ゴシック"/>
        <family val="2"/>
      </rPr>
      <t xml:space="preserve">ベース</t>
    </r>
  </si>
  <si>
    <r>
      <rPr>
        <sz val="9"/>
        <rFont val="游ゴシック"/>
        <family val="2"/>
      </rPr>
      <t xml:space="preserve">　正常収益力調整（</t>
    </r>
    <r>
      <rPr>
        <sz val="9"/>
        <rFont val="游ゴシック"/>
        <family val="2"/>
        <charset val="1"/>
      </rPr>
      <t xml:space="preserve">7</t>
    </r>
    <r>
      <rPr>
        <sz val="9"/>
        <rFont val="游ゴシック"/>
        <family val="2"/>
      </rPr>
      <t xml:space="preserve">か月相当）</t>
    </r>
  </si>
  <si>
    <r>
      <rPr>
        <sz val="9"/>
        <rFont val="游ゴシック"/>
        <family val="2"/>
      </rPr>
      <t xml:space="preserve">第</t>
    </r>
    <r>
      <rPr>
        <sz val="9"/>
        <rFont val="游ゴシック"/>
        <family val="2"/>
        <charset val="1"/>
      </rPr>
      <t xml:space="preserve">5</t>
    </r>
    <r>
      <rPr>
        <sz val="9"/>
        <rFont val="游ゴシック"/>
        <family val="2"/>
      </rPr>
      <t xml:space="preserve">期の調整項目合計</t>
    </r>
    <r>
      <rPr>
        <sz val="9"/>
        <rFont val="游ゴシック"/>
        <family val="2"/>
        <charset val="1"/>
      </rPr>
      <t xml:space="preserve">19,884</t>
    </r>
    <r>
      <rPr>
        <sz val="9"/>
        <rFont val="游ゴシック"/>
        <family val="2"/>
      </rPr>
      <t xml:space="preserve">千円を</t>
    </r>
    <r>
      <rPr>
        <sz val="9"/>
        <rFont val="游ゴシック"/>
        <family val="2"/>
        <charset val="1"/>
      </rPr>
      <t xml:space="preserve">7</t>
    </r>
    <r>
      <rPr>
        <sz val="9"/>
        <rFont val="游ゴシック"/>
        <family val="2"/>
      </rPr>
      <t xml:space="preserve">か月按分</t>
    </r>
  </si>
  <si>
    <r>
      <rPr>
        <sz val="9"/>
        <rFont val="游ゴシック"/>
        <family val="2"/>
      </rPr>
      <t xml:space="preserve">進行期</t>
    </r>
    <r>
      <rPr>
        <sz val="9"/>
        <rFont val="游ゴシック"/>
        <family val="2"/>
        <charset val="1"/>
      </rPr>
      <t xml:space="preserve">7</t>
    </r>
    <r>
      <rPr>
        <sz val="9"/>
        <rFont val="游ゴシック"/>
        <family val="2"/>
      </rPr>
      <t xml:space="preserve">か月 修正後</t>
    </r>
    <r>
      <rPr>
        <sz val="9"/>
        <rFont val="游ゴシック"/>
        <family val="2"/>
        <charset val="1"/>
      </rPr>
      <t xml:space="preserve">EBITDA</t>
    </r>
  </si>
  <si>
    <r>
      <rPr>
        <b val="true"/>
        <sz val="9"/>
        <rFont val="游ゴシック"/>
        <family val="2"/>
      </rPr>
      <t xml:space="preserve">年換算 修正後</t>
    </r>
    <r>
      <rPr>
        <b val="true"/>
        <sz val="9"/>
        <rFont val="游ゴシック"/>
        <family val="2"/>
        <charset val="1"/>
      </rPr>
      <t xml:space="preserve">EBITDA</t>
    </r>
  </si>
  <si>
    <r>
      <rPr>
        <sz val="9"/>
        <rFont val="游ゴシック Medium"/>
        <family val="0"/>
        <charset val="1"/>
      </rPr>
      <t xml:space="preserve">7</t>
    </r>
    <r>
      <rPr>
        <sz val="9"/>
        <rFont val="游ゴシック"/>
        <family val="2"/>
      </rPr>
      <t xml:space="preserve">か月実績を</t>
    </r>
    <r>
      <rPr>
        <sz val="9"/>
        <rFont val="游ゴシック Medium"/>
        <family val="0"/>
        <charset val="1"/>
      </rPr>
      <t xml:space="preserve">12</t>
    </r>
    <r>
      <rPr>
        <sz val="9"/>
        <rFont val="游ゴシック"/>
        <family val="2"/>
      </rPr>
      <t xml:space="preserve">か月へ単純年換算</t>
    </r>
  </si>
  <si>
    <t xml:space="preserve">　減価償却費（通期実績）</t>
  </si>
  <si>
    <r>
      <rPr>
        <sz val="9"/>
        <rFont val="游ゴシック"/>
        <family val="2"/>
      </rPr>
      <t xml:space="preserve">第</t>
    </r>
    <r>
      <rPr>
        <sz val="9"/>
        <rFont val="游ゴシック"/>
        <family val="2"/>
        <charset val="1"/>
      </rPr>
      <t xml:space="preserve">5</t>
    </r>
    <r>
      <rPr>
        <sz val="9"/>
        <rFont val="游ゴシック"/>
        <family val="2"/>
      </rPr>
      <t xml:space="preserve">期の実績額を通期見込みとして控除</t>
    </r>
  </si>
  <si>
    <t xml:space="preserve">年換算 修正後営業利益</t>
  </si>
  <si>
    <r>
      <rPr>
        <sz val="9"/>
        <rFont val="游ゴシック"/>
        <family val="2"/>
      </rPr>
      <t xml:space="preserve">時価純資産（</t>
    </r>
    <r>
      <rPr>
        <sz val="9"/>
        <rFont val="游ゴシック"/>
        <family val="2"/>
        <charset val="1"/>
      </rPr>
      <t xml:space="preserve">2026</t>
    </r>
    <r>
      <rPr>
        <sz val="9"/>
        <rFont val="游ゴシック"/>
        <family val="2"/>
      </rPr>
      <t xml:space="preserve">年</t>
    </r>
    <r>
      <rPr>
        <sz val="9"/>
        <rFont val="游ゴシック"/>
        <family val="2"/>
        <charset val="1"/>
      </rPr>
      <t xml:space="preserve">6</t>
    </r>
    <r>
      <rPr>
        <sz val="9"/>
        <rFont val="游ゴシック"/>
        <family val="2"/>
      </rPr>
      <t xml:space="preserve">月末ベース）</t>
    </r>
  </si>
  <si>
    <t xml:space="preserve">進行期末の純資産から営業権・仮払金を控除。棚卸資産の廃棄損は進行期に計上済のため追加の評価減はない</t>
  </si>
  <si>
    <r>
      <rPr>
        <sz val="9"/>
        <rFont val="游ゴシック"/>
        <family val="2"/>
      </rPr>
      <t xml:space="preserve">営業権（年買法・</t>
    </r>
    <r>
      <rPr>
        <sz val="9"/>
        <rFont val="游ゴシック"/>
        <family val="2"/>
        <charset val="1"/>
      </rPr>
      <t xml:space="preserve">1</t>
    </r>
    <r>
      <rPr>
        <sz val="9"/>
        <rFont val="游ゴシック"/>
        <family val="2"/>
      </rPr>
      <t xml:space="preserve">倍）</t>
    </r>
  </si>
  <si>
    <r>
      <rPr>
        <sz val="9"/>
        <rFont val="游ゴシック"/>
        <family val="2"/>
      </rPr>
      <t xml:space="preserve">税考慮後営業利益</t>
    </r>
    <r>
      <rPr>
        <sz val="9"/>
        <rFont val="游ゴシック"/>
        <family val="2"/>
        <charset val="1"/>
      </rPr>
      <t xml:space="preserve">×1</t>
    </r>
    <r>
      <rPr>
        <sz val="9"/>
        <rFont val="游ゴシック"/>
        <family val="2"/>
      </rPr>
      <t xml:space="preserve">倍</t>
    </r>
  </si>
  <si>
    <r>
      <rPr>
        <sz val="9"/>
        <rFont val="游ゴシック"/>
        <family val="2"/>
      </rPr>
      <t xml:space="preserve">営業権（年買法・</t>
    </r>
    <r>
      <rPr>
        <sz val="9"/>
        <rFont val="游ゴシック"/>
        <family val="2"/>
        <charset val="1"/>
      </rPr>
      <t xml:space="preserve">3</t>
    </r>
    <r>
      <rPr>
        <sz val="9"/>
        <rFont val="游ゴシック"/>
        <family val="2"/>
      </rPr>
      <t xml:space="preserve">倍）</t>
    </r>
  </si>
  <si>
    <r>
      <rPr>
        <sz val="9"/>
        <rFont val="游ゴシック"/>
        <family val="2"/>
      </rPr>
      <t xml:space="preserve">税考慮後営業利益</t>
    </r>
    <r>
      <rPr>
        <sz val="9"/>
        <rFont val="游ゴシック"/>
        <family val="2"/>
        <charset val="1"/>
      </rPr>
      <t xml:space="preserve">×3</t>
    </r>
    <r>
      <rPr>
        <sz val="9"/>
        <rFont val="游ゴシック"/>
        <family val="2"/>
      </rPr>
      <t xml:space="preserve">倍</t>
    </r>
  </si>
  <si>
    <t xml:space="preserve">想定株式価値（年買法・下限）</t>
  </si>
  <si>
    <r>
      <rPr>
        <sz val="9"/>
        <rFont val="游ゴシック"/>
        <family val="2"/>
      </rPr>
      <t xml:space="preserve">時価純資産＋営業権</t>
    </r>
    <r>
      <rPr>
        <sz val="9"/>
        <rFont val="游ゴシック"/>
        <family val="2"/>
        <charset val="1"/>
      </rPr>
      <t xml:space="preserve">1</t>
    </r>
    <r>
      <rPr>
        <sz val="9"/>
        <rFont val="游ゴシック"/>
        <family val="2"/>
      </rPr>
      <t xml:space="preserve">倍</t>
    </r>
  </si>
  <si>
    <t xml:space="preserve">想定株式価値（年買法・上限）</t>
  </si>
  <si>
    <r>
      <rPr>
        <sz val="9"/>
        <rFont val="游ゴシック"/>
        <family val="2"/>
      </rPr>
      <t xml:space="preserve">時価純資産＋営業権</t>
    </r>
    <r>
      <rPr>
        <sz val="9"/>
        <rFont val="游ゴシック"/>
        <family val="2"/>
        <charset val="1"/>
      </rPr>
      <t xml:space="preserve">3</t>
    </r>
    <r>
      <rPr>
        <sz val="9"/>
        <rFont val="游ゴシック"/>
        <family val="2"/>
      </rPr>
      <t xml:space="preserve">倍</t>
    </r>
  </si>
  <si>
    <t xml:space="preserve">作業不要（自動作成）</t>
  </si>
  <si>
    <t xml:space="preserve">min</t>
  </si>
  <si>
    <t xml:space="preserve">差（グラフ作成用）</t>
  </si>
  <si>
    <t xml:space="preserve">max</t>
  </si>
  <si>
    <t xml:space="preserve">インカム</t>
  </si>
  <si>
    <t xml:space="preserve">ｚ</t>
  </si>
  <si>
    <t xml:space="preserve">マーケット</t>
  </si>
  <si>
    <t xml:space="preserve">コスト</t>
  </si>
  <si>
    <t xml:space="preserve">評価差額の根拠</t>
  </si>
  <si>
    <t xml:space="preserve">修正額</t>
  </si>
  <si>
    <t xml:space="preserve">修正後</t>
  </si>
  <si>
    <r>
      <rPr>
        <sz val="9"/>
        <rFont val="游ゴシック Medium"/>
        <family val="0"/>
        <charset val="1"/>
      </rPr>
      <t xml:space="preserve">2026</t>
    </r>
    <r>
      <rPr>
        <sz val="9"/>
        <rFont val="游ゴシック"/>
        <family val="2"/>
      </rPr>
      <t xml:space="preserve">年</t>
    </r>
    <r>
      <rPr>
        <sz val="9"/>
        <rFont val="游ゴシック Medium"/>
        <family val="0"/>
        <charset val="1"/>
      </rPr>
      <t xml:space="preserve">3</t>
    </r>
    <r>
      <rPr>
        <sz val="9"/>
        <rFont val="游ゴシック"/>
        <family val="2"/>
      </rPr>
      <t xml:space="preserve">月に本社分</t>
    </r>
    <r>
      <rPr>
        <sz val="9"/>
        <rFont val="游ゴシック Medium"/>
        <family val="0"/>
        <charset val="1"/>
      </rPr>
      <t xml:space="preserve">32,000</t>
    </r>
    <r>
      <rPr>
        <sz val="9"/>
        <rFont val="游ゴシック"/>
        <family val="2"/>
      </rPr>
      <t xml:space="preserve">千円・バックヤード分</t>
    </r>
    <r>
      <rPr>
        <sz val="9"/>
        <rFont val="游ゴシック Medium"/>
        <family val="0"/>
        <charset val="1"/>
      </rPr>
      <t xml:space="preserve">12,000</t>
    </r>
    <r>
      <rPr>
        <sz val="9"/>
        <rFont val="游ゴシック"/>
        <family val="2"/>
      </rPr>
      <t xml:space="preserve">千円を全額廃棄。基準日時点で既に滞留・陳腐化していたと判断し評価減</t>
    </r>
  </si>
  <si>
    <t xml:space="preserve">回収を前提とした支出ではなく資産性が認められないため全額評価減</t>
  </si>
  <si>
    <r>
      <rPr>
        <sz val="9"/>
        <rFont val="游ゴシック"/>
        <family val="2"/>
      </rPr>
      <t xml:space="preserve">年買法で営業権を別途算定するため、</t>
    </r>
    <r>
      <rPr>
        <sz val="9"/>
        <rFont val="游ゴシック"/>
        <family val="2"/>
        <charset val="1"/>
      </rPr>
      <t xml:space="preserve">B/S</t>
    </r>
    <r>
      <rPr>
        <sz val="9"/>
        <rFont val="游ゴシック"/>
        <family val="2"/>
      </rPr>
      <t xml:space="preserve">計上分を残すと二重計上となる。換金価値も認められないため全額評価減</t>
    </r>
  </si>
  <si>
    <t xml:space="preserve">【繰延税金資産】</t>
  </si>
  <si>
    <r>
      <rPr>
        <sz val="9"/>
        <rFont val="游ゴシック"/>
        <family val="2"/>
      </rPr>
      <t xml:space="preserve">※評価基準日は</t>
    </r>
    <r>
      <rPr>
        <sz val="9"/>
        <rFont val="游ゴシック"/>
        <family val="2"/>
        <charset val="1"/>
      </rPr>
      <t xml:space="preserve">2025</t>
    </r>
    <r>
      <rPr>
        <sz val="9"/>
        <rFont val="游ゴシック"/>
        <family val="2"/>
      </rPr>
      <t xml:space="preserve">年</t>
    </r>
    <r>
      <rPr>
        <sz val="9"/>
        <rFont val="游ゴシック"/>
        <family val="2"/>
        <charset val="1"/>
      </rPr>
      <t xml:space="preserve">11</t>
    </r>
    <r>
      <rPr>
        <sz val="9"/>
        <rFont val="游ゴシック"/>
        <family val="2"/>
      </rPr>
      <t xml:space="preserve">月</t>
    </r>
    <r>
      <rPr>
        <sz val="9"/>
        <rFont val="游ゴシック"/>
        <family val="2"/>
        <charset val="1"/>
      </rPr>
      <t xml:space="preserve">30</t>
    </r>
    <r>
      <rPr>
        <sz val="9"/>
        <rFont val="游ゴシック"/>
        <family val="2"/>
      </rPr>
      <t xml:space="preserve">日（第</t>
    </r>
    <r>
      <rPr>
        <sz val="9"/>
        <rFont val="游ゴシック"/>
        <family val="2"/>
        <charset val="1"/>
      </rPr>
      <t xml:space="preserve">5</t>
    </r>
    <r>
      <rPr>
        <sz val="9"/>
        <rFont val="游ゴシック"/>
        <family val="2"/>
      </rPr>
      <t xml:space="preserve">期末）。※繰延税金資産は、繰越欠損金を有し課税所得の見込みが立たないため回収可能性を認めず、評価差額に対する税効果は認識していない。</t>
    </r>
  </si>
  <si>
    <t xml:space="preserve">相手先</t>
  </si>
  <si>
    <t xml:space="preserve">評価差額</t>
  </si>
  <si>
    <t xml:space="preserve">評価額</t>
  </si>
  <si>
    <t xml:space="preserve">調整事由</t>
  </si>
  <si>
    <t xml:space="preserve">該当なし</t>
  </si>
  <si>
    <r>
      <rPr>
        <sz val="9"/>
        <color theme="1"/>
        <rFont val="游ゴシック Medium"/>
        <family val="3"/>
        <charset val="128"/>
      </rPr>
      <t xml:space="preserve">2025</t>
    </r>
    <r>
      <rPr>
        <sz val="9"/>
        <color theme="1"/>
        <rFont val="游ゴシック"/>
        <family val="2"/>
      </rPr>
      <t xml:space="preserve">年</t>
    </r>
    <r>
      <rPr>
        <sz val="9"/>
        <color theme="1"/>
        <rFont val="游ゴシック Medium"/>
        <family val="3"/>
        <charset val="128"/>
      </rPr>
      <t xml:space="preserve">11</t>
    </r>
    <r>
      <rPr>
        <sz val="9"/>
        <color theme="1"/>
        <rFont val="游ゴシック"/>
        <family val="2"/>
      </rPr>
      <t xml:space="preserve">月期末の売掛金</t>
    </r>
    <r>
      <rPr>
        <sz val="9"/>
        <color theme="1"/>
        <rFont val="游ゴシック Medium"/>
        <family val="3"/>
        <charset val="128"/>
      </rPr>
      <t xml:space="preserve">27,628</t>
    </r>
    <r>
      <rPr>
        <sz val="9"/>
        <color theme="1"/>
        <rFont val="游ゴシック"/>
        <family val="2"/>
      </rPr>
      <t xml:space="preserve">千円の内訳は㈲ワンラブ（</t>
    </r>
    <r>
      <rPr>
        <sz val="9"/>
        <color theme="1"/>
        <rFont val="游ゴシック Medium"/>
        <family val="3"/>
        <charset val="128"/>
      </rPr>
      <t xml:space="preserve">FC</t>
    </r>
    <r>
      <rPr>
        <sz val="9"/>
        <color theme="1"/>
        <rFont val="游ゴシック"/>
        <family val="2"/>
      </rPr>
      <t xml:space="preserve">本部）</t>
    </r>
    <r>
      <rPr>
        <sz val="9"/>
        <color theme="1"/>
        <rFont val="游ゴシック Medium"/>
        <family val="3"/>
        <charset val="128"/>
      </rPr>
      <t xml:space="preserve">17,373</t>
    </r>
    <r>
      <rPr>
        <sz val="9"/>
        <color theme="1"/>
        <rFont val="游ゴシック"/>
        <family val="2"/>
      </rPr>
      <t xml:space="preserve">千円、カード・</t>
    </r>
    <r>
      <rPr>
        <sz val="9"/>
        <color theme="1"/>
        <rFont val="游ゴシック Medium"/>
        <family val="3"/>
        <charset val="128"/>
      </rPr>
      <t xml:space="preserve">PayPay</t>
    </r>
    <r>
      <rPr>
        <sz val="9"/>
        <color theme="1"/>
        <rFont val="游ゴシック"/>
        <family val="2"/>
      </rPr>
      <t xml:space="preserve">等の決済会社</t>
    </r>
    <r>
      <rPr>
        <sz val="9"/>
        <color theme="1"/>
        <rFont val="游ゴシック Medium"/>
        <family val="3"/>
        <charset val="128"/>
      </rPr>
      <t xml:space="preserve">10,255</t>
    </r>
    <r>
      <rPr>
        <sz val="9"/>
        <color theme="1"/>
        <rFont val="游ゴシック"/>
        <family val="2"/>
      </rPr>
      <t xml:space="preserve">千円。いずれも翌月回収であり滞留債権は認められないため簿価評価とした。</t>
    </r>
  </si>
  <si>
    <t xml:space="preserve">商品在庫</t>
  </si>
  <si>
    <t xml:space="preserve">本社（バックヤード含む）</t>
  </si>
  <si>
    <r>
      <rPr>
        <sz val="9"/>
        <rFont val="游ゴシック Medium"/>
        <family val="0"/>
        <charset val="1"/>
      </rPr>
      <t xml:space="preserve">2026</t>
    </r>
    <r>
      <rPr>
        <sz val="9"/>
        <rFont val="游ゴシック"/>
        <family val="2"/>
      </rPr>
      <t xml:space="preserve">年</t>
    </r>
    <r>
      <rPr>
        <sz val="9"/>
        <rFont val="游ゴシック Medium"/>
        <family val="0"/>
        <charset val="1"/>
      </rPr>
      <t xml:space="preserve">3</t>
    </r>
    <r>
      <rPr>
        <sz val="9"/>
        <rFont val="游ゴシック"/>
        <family val="2"/>
      </rPr>
      <t xml:space="preserve">月に本社分</t>
    </r>
    <r>
      <rPr>
        <sz val="9"/>
        <rFont val="游ゴシック Medium"/>
        <family val="0"/>
        <charset val="1"/>
      </rPr>
      <t xml:space="preserve">32,000</t>
    </r>
    <r>
      <rPr>
        <sz val="9"/>
        <rFont val="游ゴシック"/>
        <family val="2"/>
      </rPr>
      <t xml:space="preserve">千円・バックヤード分</t>
    </r>
    <r>
      <rPr>
        <sz val="9"/>
        <rFont val="游ゴシック Medium"/>
        <family val="0"/>
        <charset val="1"/>
      </rPr>
      <t xml:space="preserve">12,000</t>
    </r>
    <r>
      <rPr>
        <sz val="9"/>
        <rFont val="游ゴシック"/>
        <family val="2"/>
      </rPr>
      <t xml:space="preserve">千円を全額廃棄。基準日時点で既に滞留・陳腐化していたと判断し全額評価減</t>
    </r>
  </si>
  <si>
    <t xml:space="preserve">外部保管在庫</t>
  </si>
  <si>
    <r>
      <rPr>
        <sz val="9"/>
        <rFont val="游ゴシック"/>
        <family val="2"/>
      </rPr>
      <t xml:space="preserve">実在性が未確認のため簿価評価（要確認）。実在しない場合は追加で</t>
    </r>
    <r>
      <rPr>
        <sz val="9"/>
        <rFont val="游ゴシック"/>
        <family val="2"/>
        <charset val="1"/>
      </rPr>
      <t xml:space="preserve">10,000</t>
    </r>
    <r>
      <rPr>
        <sz val="9"/>
        <rFont val="游ゴシック"/>
        <family val="2"/>
      </rPr>
      <t xml:space="preserve">千円の評価減となる</t>
    </r>
  </si>
  <si>
    <r>
      <rPr>
        <sz val="9"/>
        <rFont val="游ゴシック"/>
        <family val="2"/>
      </rPr>
      <t xml:space="preserve">店舗在庫（稼働</t>
    </r>
    <r>
      <rPr>
        <sz val="9"/>
        <rFont val="游ゴシック"/>
        <family val="2"/>
        <charset val="1"/>
      </rPr>
      <t xml:space="preserve">6</t>
    </r>
    <r>
      <rPr>
        <sz val="9"/>
        <rFont val="游ゴシック"/>
        <family val="2"/>
      </rPr>
      <t xml:space="preserve">店舗＋撤退</t>
    </r>
    <r>
      <rPr>
        <sz val="9"/>
        <rFont val="游ゴシック"/>
        <family val="2"/>
        <charset val="1"/>
      </rPr>
      <t xml:space="preserve">2</t>
    </r>
    <r>
      <rPr>
        <sz val="9"/>
        <rFont val="游ゴシック"/>
        <family val="2"/>
      </rPr>
      <t xml:space="preserve">店舗）</t>
    </r>
  </si>
  <si>
    <t xml:space="preserve">棚卸表により拠点別残高を確認。滞留・陳腐化は認められないため簿価評価</t>
  </si>
  <si>
    <t xml:space="preserve">資産</t>
  </si>
  <si>
    <r>
      <rPr>
        <sz val="9"/>
        <rFont val="游ゴシック"/>
        <family val="2"/>
      </rPr>
      <t xml:space="preserve">該当なし：減価償却内訳明細書により第</t>
    </r>
    <r>
      <rPr>
        <sz val="9"/>
        <rFont val="游ゴシック"/>
        <family val="2"/>
        <charset val="1"/>
      </rPr>
      <t xml:space="preserve">5</t>
    </r>
    <r>
      <rPr>
        <sz val="9"/>
        <rFont val="游ゴシック"/>
        <family val="2"/>
      </rPr>
      <t xml:space="preserve">期は適正償却を確認しており、償却不足は認められない。</t>
    </r>
  </si>
  <si>
    <t xml:space="preserve">内容・所在地</t>
  </si>
  <si>
    <r>
      <rPr>
        <b val="true"/>
        <sz val="12"/>
        <color theme="0"/>
        <rFont val="游ゴシック"/>
        <family val="2"/>
      </rPr>
      <t xml:space="preserve">地積</t>
    </r>
    <r>
      <rPr>
        <b val="true"/>
        <sz val="12"/>
        <color theme="0"/>
        <rFont val="游ゴシック"/>
        <family val="2"/>
        <charset val="1"/>
      </rPr>
      <t xml:space="preserve">(</t>
    </r>
    <r>
      <rPr>
        <b val="true"/>
        <sz val="12"/>
        <color theme="0"/>
        <rFont val="游ゴシック"/>
        <family val="2"/>
      </rPr>
      <t xml:space="preserve">㎡</t>
    </r>
    <r>
      <rPr>
        <b val="true"/>
        <sz val="12"/>
        <color theme="0"/>
        <rFont val="游ゴシック"/>
        <family val="2"/>
        <charset val="1"/>
      </rPr>
      <t xml:space="preserve">)</t>
    </r>
  </si>
  <si>
    <t xml:space="preserve">時価評価額</t>
  </si>
  <si>
    <r>
      <rPr>
        <sz val="9"/>
        <rFont val="游ゴシック"/>
        <family val="2"/>
      </rPr>
      <t xml:space="preserve">駐車場用地／岐阜県大垣市南若森町字柳原</t>
    </r>
    <r>
      <rPr>
        <sz val="9"/>
        <rFont val="游ゴシック"/>
        <family val="2"/>
        <charset val="1"/>
      </rPr>
      <t xml:space="preserve">227</t>
    </r>
    <r>
      <rPr>
        <sz val="9"/>
        <rFont val="游ゴシック"/>
        <family val="2"/>
      </rPr>
      <t xml:space="preserve">番</t>
    </r>
    <r>
      <rPr>
        <sz val="9"/>
        <rFont val="游ゴシック"/>
        <family val="2"/>
        <charset val="1"/>
      </rPr>
      <t xml:space="preserve">3</t>
    </r>
  </si>
  <si>
    <r>
      <rPr>
        <sz val="9"/>
        <rFont val="游ゴシック"/>
        <family val="2"/>
      </rPr>
      <t xml:space="preserve">路線価図・固定資産税評価証明が未受領のため簿価評価（要確認）。簿価は</t>
    </r>
    <r>
      <rPr>
        <sz val="9"/>
        <rFont val="游ゴシック"/>
        <family val="2"/>
        <charset val="1"/>
      </rPr>
      <t xml:space="preserve">33</t>
    </r>
    <r>
      <rPr>
        <sz val="9"/>
        <rFont val="游ゴシック"/>
        <family val="2"/>
      </rPr>
      <t xml:space="preserve">千円</t>
    </r>
    <r>
      <rPr>
        <sz val="9"/>
        <rFont val="游ゴシック"/>
        <family val="2"/>
        <charset val="1"/>
      </rPr>
      <t xml:space="preserve">/</t>
    </r>
    <r>
      <rPr>
        <sz val="9"/>
        <rFont val="游ゴシック"/>
        <family val="2"/>
      </rPr>
      <t xml:space="preserve">㎡であり大幅な含み損益は生じにくいと推察</t>
    </r>
  </si>
  <si>
    <t xml:space="preserve">保険商品</t>
  </si>
  <si>
    <r>
      <rPr>
        <sz val="9"/>
        <rFont val="游ゴシック"/>
        <family val="2"/>
      </rPr>
      <t xml:space="preserve">該当なし：保険積立金の計上はない（</t>
    </r>
    <r>
      <rPr>
        <sz val="9"/>
        <rFont val="游ゴシック"/>
        <family val="2"/>
        <charset val="1"/>
      </rPr>
      <t xml:space="preserve">2025</t>
    </r>
    <r>
      <rPr>
        <sz val="9"/>
        <rFont val="游ゴシック"/>
        <family val="2"/>
      </rPr>
      <t xml:space="preserve">年</t>
    </r>
    <r>
      <rPr>
        <sz val="9"/>
        <rFont val="游ゴシック"/>
        <family val="2"/>
        <charset val="1"/>
      </rPr>
      <t xml:space="preserve">11</t>
    </r>
    <r>
      <rPr>
        <sz val="9"/>
        <rFont val="游ゴシック"/>
        <family val="2"/>
      </rPr>
      <t xml:space="preserve">月期末残高ゼロ）。</t>
    </r>
  </si>
  <si>
    <t xml:space="preserve">銘柄</t>
  </si>
  <si>
    <t xml:space="preserve">数量</t>
  </si>
  <si>
    <r>
      <rPr>
        <sz val="9"/>
        <rFont val="游ゴシック"/>
        <family val="2"/>
      </rPr>
      <t xml:space="preserve">該当なし：有価証券・投資有価証券の保有はない（</t>
    </r>
    <r>
      <rPr>
        <sz val="9"/>
        <rFont val="游ゴシック"/>
        <family val="2"/>
        <charset val="1"/>
      </rPr>
      <t xml:space="preserve">2025</t>
    </r>
    <r>
      <rPr>
        <sz val="9"/>
        <rFont val="游ゴシック"/>
        <family val="2"/>
      </rPr>
      <t xml:space="preserve">年</t>
    </r>
    <r>
      <rPr>
        <sz val="9"/>
        <rFont val="游ゴシック"/>
        <family val="2"/>
        <charset val="1"/>
      </rPr>
      <t xml:space="preserve">11</t>
    </r>
    <r>
      <rPr>
        <sz val="9"/>
        <rFont val="游ゴシック"/>
        <family val="2"/>
      </rPr>
      <t xml:space="preserve">月期末残高ゼロ）。</t>
    </r>
  </si>
  <si>
    <r>
      <rPr>
        <sz val="9"/>
        <rFont val="游ゴシック"/>
        <family val="2"/>
      </rPr>
      <t xml:space="preserve">給与の締日から基準日までの経過分が含まれているか要確認。未計上であれば約</t>
    </r>
    <r>
      <rPr>
        <sz val="9"/>
        <rFont val="游ゴシック"/>
        <family val="2"/>
        <charset val="1"/>
      </rPr>
      <t xml:space="preserve">10,000</t>
    </r>
    <r>
      <rPr>
        <sz val="9"/>
        <rFont val="游ゴシック"/>
        <family val="2"/>
      </rPr>
      <t xml:space="preserve">千円の追加計上余地（賃金台帳では当月締・翌月</t>
    </r>
    <r>
      <rPr>
        <sz val="9"/>
        <rFont val="游ゴシック"/>
        <family val="2"/>
        <charset val="1"/>
      </rPr>
      <t xml:space="preserve">25</t>
    </r>
    <r>
      <rPr>
        <sz val="9"/>
        <rFont val="游ゴシック"/>
        <family val="2"/>
      </rPr>
      <t xml:space="preserve">日払）</t>
    </r>
  </si>
  <si>
    <r>
      <rPr>
        <sz val="9"/>
        <rFont val="游ゴシック Medium"/>
        <family val="0"/>
        <charset val="1"/>
      </rPr>
      <t xml:space="preserve">9</t>
    </r>
    <r>
      <rPr>
        <sz val="9"/>
        <rFont val="游ゴシック"/>
        <family val="2"/>
      </rPr>
      <t xml:space="preserve">本すべて代表者の連帯保証付き。民間</t>
    </r>
    <r>
      <rPr>
        <sz val="9"/>
        <rFont val="游ゴシック Medium"/>
        <family val="0"/>
        <charset val="1"/>
      </rPr>
      <t xml:space="preserve">6</t>
    </r>
    <r>
      <rPr>
        <sz val="9"/>
        <rFont val="游ゴシック"/>
        <family val="2"/>
      </rPr>
      <t xml:space="preserve">本は信用保証協会の保証付き</t>
    </r>
  </si>
  <si>
    <t xml:space="preserve">譲渡時に返済を希望。ネットキャッシュ算定ではデットライクアイテムとして控除</t>
  </si>
  <si>
    <t xml:space="preserve">【繰延税金負債】</t>
  </si>
  <si>
    <t xml:space="preserve">【評価修正額】</t>
  </si>
  <si>
    <t xml:space="preserve">修正税効果</t>
  </si>
  <si>
    <t xml:space="preserve">※賞与引当金・退職給付引当金・役員退職慰労引当金・資産除去債務は、規程および撤退店舗の原状回復見積が未受領のため計上していない（追加調整の可能性あり）。</t>
  </si>
  <si>
    <t xml:space="preserve">支払給与</t>
  </si>
  <si>
    <t xml:space="preserve">未払日数</t>
  </si>
  <si>
    <t xml:space="preserve">未払給与引当額</t>
  </si>
  <si>
    <t xml:space="preserve">概算社会保険料</t>
  </si>
  <si>
    <r>
      <rPr>
        <sz val="9"/>
        <rFont val="游ゴシック"/>
        <family val="2"/>
      </rPr>
      <t xml:space="preserve">未評価：賃金台帳では当月締・翌月</t>
    </r>
    <r>
      <rPr>
        <sz val="9"/>
        <rFont val="游ゴシック"/>
        <family val="2"/>
        <charset val="1"/>
      </rPr>
      <t xml:space="preserve">25</t>
    </r>
    <r>
      <rPr>
        <sz val="9"/>
        <rFont val="游ゴシック"/>
        <family val="2"/>
      </rPr>
      <t xml:space="preserve">日払であり、</t>
    </r>
    <r>
      <rPr>
        <sz val="9"/>
        <rFont val="游ゴシック"/>
        <family val="2"/>
        <charset val="1"/>
      </rPr>
      <t xml:space="preserve">11</t>
    </r>
    <r>
      <rPr>
        <sz val="9"/>
        <rFont val="游ゴシック"/>
        <family val="2"/>
      </rPr>
      <t xml:space="preserve">月分給与が未払費用</t>
    </r>
    <r>
      <rPr>
        <sz val="9"/>
        <rFont val="游ゴシック"/>
        <family val="2"/>
        <charset val="1"/>
      </rPr>
      <t xml:space="preserve">20,114</t>
    </r>
    <r>
      <rPr>
        <sz val="9"/>
        <rFont val="游ゴシック"/>
        <family val="2"/>
      </rPr>
      <t xml:space="preserve">千円に含まれているか要確認。未計上であれば社会保険料概算</t>
    </r>
    <r>
      <rPr>
        <sz val="9"/>
        <rFont val="游ゴシック"/>
        <family val="2"/>
        <charset val="1"/>
      </rPr>
      <t xml:space="preserve">15%</t>
    </r>
    <r>
      <rPr>
        <sz val="9"/>
        <rFont val="游ゴシック"/>
        <family val="2"/>
      </rPr>
      <t xml:space="preserve">を含め約</t>
    </r>
    <r>
      <rPr>
        <sz val="9"/>
        <rFont val="游ゴシック"/>
        <family val="2"/>
        <charset val="1"/>
      </rPr>
      <t xml:space="preserve">10,000</t>
    </r>
    <r>
      <rPr>
        <sz val="9"/>
        <rFont val="游ゴシック"/>
        <family val="2"/>
      </rPr>
      <t xml:space="preserve">千円超の追加計上が必要。賞与制度の有無も未確認のため引当計上していない。</t>
    </r>
  </si>
  <si>
    <t xml:space="preserve">支払予定賞与</t>
  </si>
  <si>
    <t xml:space="preserve">№</t>
  </si>
  <si>
    <t xml:space="preserve">氏名</t>
  </si>
  <si>
    <r>
      <rPr>
        <b val="true"/>
        <sz val="12"/>
        <color theme="0"/>
        <rFont val="游ゴシック"/>
        <family val="2"/>
      </rPr>
      <t xml:space="preserve">勤続年数</t>
    </r>
    <r>
      <rPr>
        <b val="true"/>
        <sz val="12"/>
        <color theme="0"/>
        <rFont val="游ゴシック"/>
        <family val="2"/>
        <charset val="1"/>
      </rPr>
      <t xml:space="preserve">(</t>
    </r>
    <r>
      <rPr>
        <b val="true"/>
        <sz val="12"/>
        <color theme="0"/>
        <rFont val="游ゴシック"/>
        <family val="2"/>
      </rPr>
      <t xml:space="preserve">年</t>
    </r>
    <r>
      <rPr>
        <b val="true"/>
        <sz val="12"/>
        <color theme="0"/>
        <rFont val="游ゴシック"/>
        <family val="2"/>
        <charset val="1"/>
      </rPr>
      <t xml:space="preserve">)</t>
    </r>
  </si>
  <si>
    <t xml:space="preserve">基本給</t>
  </si>
  <si>
    <t xml:space="preserve">支給倍率</t>
  </si>
  <si>
    <t xml:space="preserve">退職理由率</t>
  </si>
  <si>
    <t xml:space="preserve">要支給額</t>
  </si>
  <si>
    <t xml:space="preserve">中退共積立額</t>
  </si>
  <si>
    <t xml:space="preserve">引当不足</t>
  </si>
  <si>
    <t xml:space="preserve">未評価：従業員退職金規程・役員退職慰労金規程がいずれも未受領のため、要支給額を算定できず引当計上していない（要確認）。</t>
  </si>
  <si>
    <t xml:space="preserve">修正科目</t>
  </si>
  <si>
    <t xml:space="preserve">適用判定</t>
  </si>
  <si>
    <r>
      <rPr>
        <b val="true"/>
        <sz val="12"/>
        <color theme="0"/>
        <rFont val="游ゴシック"/>
        <family val="2"/>
      </rPr>
      <t xml:space="preserve">繰延税金資産</t>
    </r>
    <r>
      <rPr>
        <b val="true"/>
        <sz val="12"/>
        <color theme="0"/>
        <rFont val="游ゴシック"/>
        <family val="2"/>
        <charset val="1"/>
      </rPr>
      <t xml:space="preserve">/</t>
    </r>
    <r>
      <rPr>
        <b val="true"/>
        <sz val="12"/>
        <color theme="0"/>
        <rFont val="游ゴシック"/>
        <family val="2"/>
      </rPr>
      <t xml:space="preserve">負債</t>
    </r>
  </si>
  <si>
    <t xml:space="preserve">備考</t>
  </si>
  <si>
    <t xml:space="preserve">棚卸資産</t>
  </si>
  <si>
    <t xml:space="preserve">×</t>
  </si>
  <si>
    <t xml:space="preserve">繰越欠損金を有し課税所得の見込みが立たないため回収可能性を認めず、繰延税金資産を計上しない</t>
  </si>
  <si>
    <r>
      <rPr>
        <sz val="9"/>
        <rFont val="游ゴシック"/>
        <family val="2"/>
      </rPr>
      <t xml:space="preserve">同上。また</t>
    </r>
    <r>
      <rPr>
        <sz val="9"/>
        <rFont val="游ゴシック"/>
        <family val="2"/>
        <charset val="1"/>
      </rPr>
      <t xml:space="preserve">B/S</t>
    </r>
    <r>
      <rPr>
        <sz val="9"/>
        <rFont val="游ゴシック"/>
        <family val="2"/>
      </rPr>
      <t xml:space="preserve">計上の営業権は年買法での二重計上を避けるための評価減であり税務上の影響はない</t>
    </r>
  </si>
  <si>
    <t xml:space="preserve">同上</t>
  </si>
  <si>
    <r>
      <rPr>
        <sz val="9"/>
        <rFont val="游ゴシック"/>
        <family val="2"/>
      </rPr>
      <t xml:space="preserve">※実効税率</t>
    </r>
    <r>
      <rPr>
        <sz val="9"/>
        <rFont val="游ゴシック"/>
        <family val="2"/>
        <charset val="1"/>
      </rPr>
      <t xml:space="preserve">34%</t>
    </r>
    <r>
      <rPr>
        <sz val="9"/>
        <rFont val="游ゴシック"/>
        <family val="2"/>
      </rPr>
      <t xml:space="preserve">。評価差額合計△</t>
    </r>
    <r>
      <rPr>
        <sz val="9"/>
        <rFont val="游ゴシック"/>
        <family val="2"/>
        <charset val="1"/>
      </rPr>
      <t xml:space="preserve">47,150</t>
    </r>
    <r>
      <rPr>
        <sz val="9"/>
        <rFont val="游ゴシック"/>
        <family val="2"/>
      </rPr>
      <t xml:space="preserve">千円に対する繰延税金資産</t>
    </r>
    <r>
      <rPr>
        <sz val="9"/>
        <rFont val="游ゴシック"/>
        <family val="2"/>
        <charset val="1"/>
      </rPr>
      <t xml:space="preserve">16,031</t>
    </r>
    <r>
      <rPr>
        <sz val="9"/>
        <rFont val="游ゴシック"/>
        <family val="2"/>
      </rPr>
      <t xml:space="preserve">千円は、回収可能性が認められないため認識していない（保守的な取扱い）。課税所得の見通しが立つ場合は同額だけ時価純資産が上振れする。</t>
    </r>
  </si>
  <si>
    <t xml:space="preserve">キャッシュライクアイテム</t>
  </si>
  <si>
    <t xml:space="preserve">金額</t>
  </si>
  <si>
    <t xml:space="preserve">デットライクアイテム</t>
  </si>
  <si>
    <t xml:space="preserve">役員貸付金</t>
  </si>
  <si>
    <t xml:space="preserve">従業員貸付金</t>
  </si>
  <si>
    <t xml:space="preserve">社債</t>
  </si>
  <si>
    <t xml:space="preserve">保険積立金</t>
  </si>
  <si>
    <t xml:space="preserve">未払法人税</t>
  </si>
  <si>
    <t xml:space="preserve">投資有価証券</t>
  </si>
  <si>
    <t xml:space="preserve">資産除去債務</t>
  </si>
  <si>
    <t xml:space="preserve">売却予定不動産</t>
  </si>
  <si>
    <t xml:space="preserve">役員退職慰労金</t>
  </si>
  <si>
    <t xml:space="preserve">売却予定車両</t>
  </si>
  <si>
    <t xml:space="preserve">営業循環外前受金</t>
  </si>
  <si>
    <t xml:space="preserve">ファイナンスリース債務</t>
  </si>
  <si>
    <r>
      <rPr>
        <sz val="9"/>
        <rFont val="游ゴシック"/>
        <family val="2"/>
      </rPr>
      <t xml:space="preserve">※基準日（</t>
    </r>
    <r>
      <rPr>
        <sz val="9"/>
        <rFont val="游ゴシック"/>
        <family val="2"/>
        <charset val="1"/>
      </rPr>
      <t xml:space="preserve">2025</t>
    </r>
    <r>
      <rPr>
        <sz val="9"/>
        <rFont val="游ゴシック"/>
        <family val="2"/>
      </rPr>
      <t xml:space="preserve">年</t>
    </r>
    <r>
      <rPr>
        <sz val="9"/>
        <rFont val="游ゴシック"/>
        <family val="2"/>
        <charset val="1"/>
      </rPr>
      <t xml:space="preserve">11</t>
    </r>
    <r>
      <rPr>
        <sz val="9"/>
        <rFont val="游ゴシック"/>
        <family val="2"/>
      </rPr>
      <t xml:space="preserve">月</t>
    </r>
    <r>
      <rPr>
        <sz val="9"/>
        <rFont val="游ゴシック"/>
        <family val="2"/>
        <charset val="1"/>
      </rPr>
      <t xml:space="preserve">30</t>
    </r>
    <r>
      <rPr>
        <sz val="9"/>
        <rFont val="游ゴシック"/>
        <family val="2"/>
      </rPr>
      <t xml:space="preserve">日）の残高。保険積立金・投資有価証券・役員貸付金の残高はない。※長期未払金</t>
    </r>
    <r>
      <rPr>
        <sz val="9"/>
        <rFont val="游ゴシック"/>
        <family val="2"/>
        <charset val="1"/>
      </rPr>
      <t xml:space="preserve">2,346</t>
    </r>
    <r>
      <rPr>
        <sz val="9"/>
        <rFont val="游ゴシック"/>
        <family val="2"/>
      </rPr>
      <t xml:space="preserve">千円は分割払いの未払金であり有利子負債ではないためデットライクに含めていない（要確認）。</t>
    </r>
  </si>
  <si>
    <t xml:space="preserve">ネットデット</t>
  </si>
  <si>
    <t xml:space="preserve">↑どっちか消す</t>
  </si>
  <si>
    <t xml:space="preserve">社員割引に伴う経常的な雑収入。事業に付随して継続的に発生するため正常収益力に加算</t>
  </si>
  <si>
    <r>
      <rPr>
        <sz val="9"/>
        <rFont val="游ゴシック"/>
        <family val="2"/>
      </rPr>
      <t xml:space="preserve">※特別損失に計上された固定資産売却損</t>
    </r>
    <r>
      <rPr>
        <sz val="9"/>
        <rFont val="游ゴシック"/>
        <family val="2"/>
        <charset val="1"/>
      </rPr>
      <t xml:space="preserve">968</t>
    </r>
    <r>
      <rPr>
        <sz val="9"/>
        <rFont val="游ゴシック"/>
        <family val="2"/>
      </rPr>
      <t xml:space="preserve">千円・除却損</t>
    </r>
    <r>
      <rPr>
        <sz val="9"/>
        <rFont val="游ゴシック"/>
        <family val="2"/>
        <charset val="1"/>
      </rPr>
      <t xml:space="preserve">330</t>
    </r>
    <r>
      <rPr>
        <sz val="9"/>
        <rFont val="游ゴシック"/>
        <family val="2"/>
      </rPr>
      <t xml:space="preserve">千円は非経常的な損益として調整していない。※</t>
    </r>
    <r>
      <rPr>
        <sz val="9"/>
        <rFont val="游ゴシック"/>
        <family val="2"/>
        <charset val="1"/>
      </rPr>
      <t xml:space="preserve">2026</t>
    </r>
    <r>
      <rPr>
        <sz val="9"/>
        <rFont val="游ゴシック"/>
        <family val="2"/>
      </rPr>
      <t xml:space="preserve">年</t>
    </r>
    <r>
      <rPr>
        <sz val="9"/>
        <rFont val="游ゴシック"/>
        <family val="2"/>
        <charset val="1"/>
      </rPr>
      <t xml:space="preserve">3</t>
    </r>
    <r>
      <rPr>
        <sz val="9"/>
        <rFont val="游ゴシック"/>
        <family val="2"/>
      </rPr>
      <t xml:space="preserve">月の棚卸資産廃棄損</t>
    </r>
    <r>
      <rPr>
        <sz val="9"/>
        <rFont val="游ゴシック"/>
        <family val="2"/>
        <charset val="1"/>
      </rPr>
      <t xml:space="preserve">44,000</t>
    </r>
    <r>
      <rPr>
        <sz val="9"/>
        <rFont val="游ゴシック"/>
        <family val="2"/>
      </rPr>
      <t xml:space="preserve">千円は基準日後の事象であり、修正</t>
    </r>
    <r>
      <rPr>
        <sz val="9"/>
        <rFont val="游ゴシック"/>
        <family val="2"/>
        <charset val="1"/>
      </rPr>
      <t xml:space="preserve">BS</t>
    </r>
    <r>
      <rPr>
        <sz val="9"/>
        <rFont val="游ゴシック"/>
        <family val="2"/>
      </rPr>
      <t xml:space="preserve">で評価差額として反映している。※支払利息は営業利益に含まれないため、正常収益力の算定上あらためて控除していない。</t>
    </r>
  </si>
  <si>
    <t xml:space="preserve">【正常収益力への橋渡し】</t>
  </si>
  <si>
    <r>
      <rPr>
        <sz val="9"/>
        <rFont val="游ゴシック"/>
        <family val="2"/>
      </rPr>
      <t xml:space="preserve">修正後営業利益（修正</t>
    </r>
    <r>
      <rPr>
        <sz val="9"/>
        <rFont val="游ゴシック"/>
        <family val="2"/>
        <charset val="1"/>
      </rPr>
      <t xml:space="preserve">PL</t>
    </r>
    <r>
      <rPr>
        <sz val="9"/>
        <rFont val="游ゴシック"/>
        <family val="2"/>
      </rPr>
      <t xml:space="preserve">）</t>
    </r>
  </si>
  <si>
    <r>
      <rPr>
        <sz val="9"/>
        <rFont val="游ゴシック"/>
        <family val="2"/>
      </rPr>
      <t xml:space="preserve">※雑収入は営業外収益であるため修正</t>
    </r>
    <r>
      <rPr>
        <sz val="9"/>
        <rFont val="游ゴシック"/>
        <family val="2"/>
        <charset val="1"/>
      </rPr>
      <t xml:space="preserve">PL</t>
    </r>
    <r>
      <rPr>
        <sz val="9"/>
        <rFont val="游ゴシック"/>
        <family val="2"/>
      </rPr>
      <t xml:space="preserve">上は営業利益に含まれないが、社員割引に伴い事業へ付随して継続的に発生するため、正常収益力には加算する。この加算後の金額が企業概要書の調整項目合計と一致する。</t>
    </r>
  </si>
  <si>
    <t xml:space="preserve">　経常的雑収入（社員割引）の加算</t>
  </si>
  <si>
    <t xml:space="preserve">正常収益力（修正後営業利益ベース）</t>
  </si>
  <si>
    <t xml:space="preserve">現場責任者（淺野崇氏）の人件費を役員報酬へ振替</t>
  </si>
  <si>
    <t xml:space="preserve">代表者の退任分を戻し入れ、後任役員の同水準報酬を控除（差引ゼロ）</t>
  </si>
  <si>
    <t xml:space="preserve">非事業用車両のリース料（本件実行後に発生しない）</t>
  </si>
  <si>
    <r>
      <rPr>
        <sz val="9"/>
        <rFont val="游ゴシック"/>
        <family val="2"/>
      </rPr>
      <t xml:space="preserve">接待交際費のうち適正水準</t>
    </r>
    <r>
      <rPr>
        <sz val="9"/>
        <rFont val="游ゴシック"/>
        <family val="2"/>
        <charset val="1"/>
      </rPr>
      <t xml:space="preserve">4,000</t>
    </r>
    <r>
      <rPr>
        <sz val="9"/>
        <rFont val="游ゴシック"/>
        <family val="2"/>
      </rPr>
      <t xml:space="preserve">千円を超える部分</t>
    </r>
  </si>
  <si>
    <t xml:space="preserve">事業関連性の低い生命保険料</t>
  </si>
  <si>
    <r>
      <rPr>
        <b val="true"/>
        <sz val="11"/>
        <color rgb="FF0B3041"/>
        <rFont val="游ゴシック"/>
        <family val="2"/>
      </rPr>
      <t xml:space="preserve">評価科目別の検討結果（評価基準日：</t>
    </r>
    <r>
      <rPr>
        <b val="true"/>
        <sz val="11"/>
        <color rgb="FF0B3041"/>
        <rFont val="游ゴシック"/>
        <family val="2"/>
        <charset val="1"/>
      </rPr>
      <t xml:space="preserve">2025</t>
    </r>
    <r>
      <rPr>
        <b val="true"/>
        <sz val="11"/>
        <color rgb="FF0B3041"/>
        <rFont val="游ゴシック"/>
        <family val="2"/>
      </rPr>
      <t xml:space="preserve">年</t>
    </r>
    <r>
      <rPr>
        <b val="true"/>
        <sz val="11"/>
        <color rgb="FF0B3041"/>
        <rFont val="游ゴシック"/>
        <family val="2"/>
        <charset val="1"/>
      </rPr>
      <t xml:space="preserve">11</t>
    </r>
    <r>
      <rPr>
        <b val="true"/>
        <sz val="11"/>
        <color rgb="FF0B3041"/>
        <rFont val="游ゴシック"/>
        <family val="2"/>
      </rPr>
      <t xml:space="preserve">月</t>
    </r>
    <r>
      <rPr>
        <b val="true"/>
        <sz val="11"/>
        <color rgb="FF0B3041"/>
        <rFont val="游ゴシック"/>
        <family val="2"/>
        <charset val="1"/>
      </rPr>
      <t xml:space="preserve">30</t>
    </r>
    <r>
      <rPr>
        <b val="true"/>
        <sz val="11"/>
        <color rgb="FF0B3041"/>
        <rFont val="游ゴシック"/>
        <family val="2"/>
      </rPr>
      <t xml:space="preserve">日）</t>
    </r>
  </si>
  <si>
    <t xml:space="preserve">検討結果・調整事由</t>
  </si>
  <si>
    <t xml:space="preserve">商品（棚卸資産）</t>
  </si>
  <si>
    <r>
      <rPr>
        <sz val="9"/>
        <rFont val="游ゴシック Medium"/>
        <family val="0"/>
        <charset val="1"/>
      </rPr>
      <t xml:space="preserve">2026</t>
    </r>
    <r>
      <rPr>
        <sz val="9"/>
        <rFont val="游ゴシック"/>
        <family val="2"/>
      </rPr>
      <t xml:space="preserve">年</t>
    </r>
    <r>
      <rPr>
        <sz val="9"/>
        <rFont val="游ゴシック Medium"/>
        <family val="0"/>
        <charset val="1"/>
      </rPr>
      <t xml:space="preserve">3</t>
    </r>
    <r>
      <rPr>
        <sz val="9"/>
        <rFont val="游ゴシック"/>
        <family val="2"/>
      </rPr>
      <t xml:space="preserve">月に本社分</t>
    </r>
    <r>
      <rPr>
        <sz val="9"/>
        <rFont val="游ゴシック Medium"/>
        <family val="0"/>
        <charset val="1"/>
      </rPr>
      <t xml:space="preserve">32,000</t>
    </r>
    <r>
      <rPr>
        <sz val="9"/>
        <rFont val="游ゴシック"/>
        <family val="2"/>
      </rPr>
      <t xml:space="preserve">千円・バックヤード分</t>
    </r>
    <r>
      <rPr>
        <sz val="9"/>
        <rFont val="游ゴシック Medium"/>
        <family val="0"/>
        <charset val="1"/>
      </rPr>
      <t xml:space="preserve">12,000</t>
    </r>
    <r>
      <rPr>
        <sz val="9"/>
        <rFont val="游ゴシック"/>
        <family val="2"/>
      </rPr>
      <t xml:space="preserve">千円を全額廃棄。基準日時点で滞留・陳腐化していたと判断し評価減。残る外部保管在庫</t>
    </r>
    <r>
      <rPr>
        <sz val="9"/>
        <rFont val="游ゴシック Medium"/>
        <family val="0"/>
        <charset val="1"/>
      </rPr>
      <t xml:space="preserve">10,000</t>
    </r>
    <r>
      <rPr>
        <sz val="9"/>
        <rFont val="游ゴシック"/>
        <family val="2"/>
      </rPr>
      <t xml:space="preserve">千円は実在性が未確認（要確認）</t>
    </r>
  </si>
  <si>
    <t xml:space="preserve">年買法で営業権を別途算定するため二重計上となること、および換金価値が認められないことから全額評価減</t>
  </si>
  <si>
    <r>
      <rPr>
        <sz val="9"/>
        <rFont val="游ゴシック Medium"/>
        <family val="0"/>
        <charset val="1"/>
      </rPr>
      <t xml:space="preserve">FC</t>
    </r>
    <r>
      <rPr>
        <sz val="9"/>
        <rFont val="游ゴシック"/>
        <family val="2"/>
      </rPr>
      <t xml:space="preserve">本部</t>
    </r>
    <r>
      <rPr>
        <sz val="9"/>
        <rFont val="游ゴシック Medium"/>
        <family val="0"/>
        <charset val="1"/>
      </rPr>
      <t xml:space="preserve">17,373</t>
    </r>
    <r>
      <rPr>
        <sz val="9"/>
        <rFont val="游ゴシック"/>
        <family val="2"/>
      </rPr>
      <t xml:space="preserve">千円・決済会社</t>
    </r>
    <r>
      <rPr>
        <sz val="9"/>
        <rFont val="游ゴシック Medium"/>
        <family val="0"/>
        <charset val="1"/>
      </rPr>
      <t xml:space="preserve">10,255</t>
    </r>
    <r>
      <rPr>
        <sz val="9"/>
        <rFont val="游ゴシック"/>
        <family val="2"/>
      </rPr>
      <t xml:space="preserve">千円で構成され、いずれも翌月回収。滞留債権は認められないため簿価評価</t>
    </r>
  </si>
  <si>
    <r>
      <rPr>
        <sz val="9"/>
        <rFont val="游ゴシック"/>
        <family val="2"/>
      </rPr>
      <t xml:space="preserve">土地（駐車場用地</t>
    </r>
    <r>
      <rPr>
        <sz val="9"/>
        <rFont val="游ゴシック"/>
        <family val="2"/>
        <charset val="1"/>
      </rPr>
      <t xml:space="preserve">89.4</t>
    </r>
    <r>
      <rPr>
        <sz val="9"/>
        <rFont val="游ゴシック"/>
        <family val="2"/>
      </rPr>
      <t xml:space="preserve">㎡）</t>
    </r>
  </si>
  <si>
    <r>
      <rPr>
        <sz val="9"/>
        <rFont val="游ゴシック"/>
        <family val="2"/>
      </rPr>
      <t xml:space="preserve">路線価図・固定資産税評価証明が未受領のため簿価評価。簿価</t>
    </r>
    <r>
      <rPr>
        <sz val="9"/>
        <rFont val="游ゴシック"/>
        <family val="2"/>
        <charset val="1"/>
      </rPr>
      <t xml:space="preserve">33</t>
    </r>
    <r>
      <rPr>
        <sz val="9"/>
        <rFont val="游ゴシック"/>
        <family val="2"/>
      </rPr>
      <t xml:space="preserve">千円</t>
    </r>
    <r>
      <rPr>
        <sz val="9"/>
        <rFont val="游ゴシック"/>
        <family val="2"/>
        <charset val="1"/>
      </rPr>
      <t xml:space="preserve">/</t>
    </r>
    <r>
      <rPr>
        <sz val="9"/>
        <rFont val="游ゴシック"/>
        <family val="2"/>
      </rPr>
      <t xml:space="preserve">㎡であり大幅な含み損益は生じにくいと推察（要確認）</t>
    </r>
  </si>
  <si>
    <t xml:space="preserve">建物附属設備・工具器具備品</t>
  </si>
  <si>
    <t xml:space="preserve">減価償却内訳明細書により適正償却を確認。単独の換金価値は限定的だが事業継続を前提に簿価評価</t>
  </si>
  <si>
    <r>
      <rPr>
        <sz val="9"/>
        <rFont val="游ゴシック"/>
        <family val="2"/>
      </rPr>
      <t xml:space="preserve">事業用</t>
    </r>
    <r>
      <rPr>
        <sz val="9"/>
        <rFont val="游ゴシック"/>
        <family val="2"/>
        <charset val="1"/>
      </rPr>
      <t xml:space="preserve">3</t>
    </r>
    <r>
      <rPr>
        <sz val="9"/>
        <rFont val="游ゴシック"/>
        <family val="2"/>
      </rPr>
      <t xml:space="preserve">台。中古車市場価値が簿価を上回る可能性があるが査定書が未受領のため簿価評価（要確認）</t>
    </r>
  </si>
  <si>
    <t xml:space="preserve">賃貸借契約書が未受領で償却条項・返還条件が不明のため簿価評価。返還額への評価替えの余地がある（要確認）</t>
  </si>
  <si>
    <r>
      <rPr>
        <sz val="9"/>
        <rFont val="游ゴシック"/>
        <family val="2"/>
      </rPr>
      <t xml:space="preserve">内訳が未受領のため簿価評価。信用保証料等の前払であれば換金価値は認められず最大</t>
    </r>
    <r>
      <rPr>
        <sz val="9"/>
        <rFont val="游ゴシック"/>
        <family val="2"/>
        <charset val="1"/>
      </rPr>
      <t xml:space="preserve">1,712</t>
    </r>
    <r>
      <rPr>
        <sz val="9"/>
        <rFont val="游ゴシック"/>
        <family val="2"/>
      </rPr>
      <t xml:space="preserve">千円の減額余地（要確認）</t>
    </r>
  </si>
  <si>
    <r>
      <rPr>
        <sz val="9"/>
        <rFont val="游ゴシック"/>
        <family val="2"/>
      </rPr>
      <t xml:space="preserve">賃金台帳では当月締・翌月</t>
    </r>
    <r>
      <rPr>
        <sz val="9"/>
        <rFont val="游ゴシック"/>
        <family val="2"/>
        <charset val="1"/>
      </rPr>
      <t xml:space="preserve">25</t>
    </r>
    <r>
      <rPr>
        <sz val="9"/>
        <rFont val="游ゴシック"/>
        <family val="2"/>
      </rPr>
      <t xml:space="preserve">日払。</t>
    </r>
    <r>
      <rPr>
        <sz val="9"/>
        <rFont val="游ゴシック"/>
        <family val="2"/>
        <charset val="1"/>
      </rPr>
      <t xml:space="preserve">11</t>
    </r>
    <r>
      <rPr>
        <sz val="9"/>
        <rFont val="游ゴシック"/>
        <family val="2"/>
      </rPr>
      <t xml:space="preserve">月分給与が未払計上されているか要確認。未計上であれば約</t>
    </r>
    <r>
      <rPr>
        <sz val="9"/>
        <rFont val="游ゴシック"/>
        <family val="2"/>
        <charset val="1"/>
      </rPr>
      <t xml:space="preserve">10,000</t>
    </r>
    <r>
      <rPr>
        <sz val="9"/>
        <rFont val="游ゴシック"/>
        <family val="2"/>
      </rPr>
      <t xml:space="preserve">千円超の追加計上が必要</t>
    </r>
  </si>
  <si>
    <t xml:space="preserve">賞与引当金</t>
  </si>
  <si>
    <t xml:space="preserve">賞与制度・支給実績が未確認のため未計上（要確認）</t>
  </si>
  <si>
    <t xml:space="preserve">退職給付引当金</t>
  </si>
  <si>
    <t xml:space="preserve">退職金規程が未受領のため未計上（要確認）</t>
  </si>
  <si>
    <t xml:space="preserve">役員退職慰労引当金</t>
  </si>
  <si>
    <t xml:space="preserve">役員退職慰労金規程が未受領のため未計上（要確認）</t>
  </si>
  <si>
    <r>
      <rPr>
        <sz val="9"/>
        <rFont val="游ゴシック"/>
        <family val="2"/>
      </rPr>
      <t xml:space="preserve">店舗内装の原状回復義務。撤退</t>
    </r>
    <r>
      <rPr>
        <sz val="9"/>
        <rFont val="游ゴシック"/>
        <family val="2"/>
        <charset val="1"/>
      </rPr>
      <t xml:space="preserve">2</t>
    </r>
    <r>
      <rPr>
        <sz val="9"/>
        <rFont val="游ゴシック"/>
        <family val="2"/>
      </rPr>
      <t xml:space="preserve">店舗の原状回復費用・違約金が未確認であり未計上（要確認）</t>
    </r>
  </si>
  <si>
    <t xml:space="preserve">繰延税金資産</t>
  </si>
  <si>
    <t xml:space="preserve">繰越欠損金を有し課税所得の見込みが立たないため回収可能性を認めず、税効果は認識していない</t>
  </si>
  <si>
    <t xml:space="preserve">評価差額 合計</t>
  </si>
  <si>
    <r>
      <rPr>
        <b val="true"/>
        <sz val="12"/>
        <color theme="0"/>
        <rFont val="游ゴシック"/>
        <family val="3"/>
        <charset val="128"/>
      </rPr>
      <t xml:space="preserve">2025</t>
    </r>
    <r>
      <rPr>
        <b val="true"/>
        <sz val="12"/>
        <color theme="0"/>
        <rFont val="游ゴシック"/>
        <family val="2"/>
      </rPr>
      <t xml:space="preserve">年</t>
    </r>
    <r>
      <rPr>
        <b val="true"/>
        <sz val="12"/>
        <color theme="0"/>
        <rFont val="游ゴシック"/>
        <family val="3"/>
        <charset val="128"/>
      </rPr>
      <t xml:space="preserve">11</t>
    </r>
    <r>
      <rPr>
        <b val="true"/>
        <sz val="12"/>
        <color theme="0"/>
        <rFont val="游ゴシック"/>
        <family val="2"/>
      </rPr>
      <t xml:space="preserve">月期</t>
    </r>
  </si>
  <si>
    <r>
      <rPr>
        <b val="true"/>
        <sz val="12"/>
        <color theme="0"/>
        <rFont val="游ゴシック"/>
        <family val="3"/>
        <charset val="128"/>
      </rPr>
      <t xml:space="preserve">2023</t>
    </r>
    <r>
      <rPr>
        <b val="true"/>
        <sz val="12"/>
        <color theme="0"/>
        <rFont val="游ゴシック"/>
        <family val="2"/>
      </rPr>
      <t xml:space="preserve">年</t>
    </r>
    <r>
      <rPr>
        <b val="true"/>
        <sz val="12"/>
        <color theme="0"/>
        <rFont val="游ゴシック"/>
        <family val="3"/>
        <charset val="128"/>
      </rPr>
      <t xml:space="preserve">11</t>
    </r>
    <r>
      <rPr>
        <b val="true"/>
        <sz val="12"/>
        <color theme="0"/>
        <rFont val="游ゴシック"/>
        <family val="2"/>
      </rPr>
      <t xml:space="preserve">月期</t>
    </r>
  </si>
  <si>
    <r>
      <rPr>
        <b val="true"/>
        <sz val="12"/>
        <color theme="0"/>
        <rFont val="游ゴシック"/>
        <family val="3"/>
        <charset val="128"/>
      </rPr>
      <t xml:space="preserve">2024</t>
    </r>
    <r>
      <rPr>
        <b val="true"/>
        <sz val="12"/>
        <color theme="0"/>
        <rFont val="游ゴシック"/>
        <family val="2"/>
      </rPr>
      <t xml:space="preserve">年</t>
    </r>
    <r>
      <rPr>
        <b val="true"/>
        <sz val="12"/>
        <color theme="0"/>
        <rFont val="游ゴシック"/>
        <family val="3"/>
        <charset val="128"/>
      </rPr>
      <t xml:space="preserve">11</t>
    </r>
    <r>
      <rPr>
        <b val="true"/>
        <sz val="12"/>
        <color theme="0"/>
        <rFont val="游ゴシック"/>
        <family val="2"/>
      </rPr>
      <t xml:space="preserve">月期</t>
    </r>
  </si>
  <si>
    <t xml:space="preserve">営業権倍率</t>
  </si>
  <si>
    <t xml:space="preserve">x1</t>
  </si>
  <si>
    <t xml:space="preserve">x2</t>
  </si>
  <si>
    <t xml:space="preserve">x3</t>
  </si>
  <si>
    <t xml:space="preserve">簿価純資産額</t>
  </si>
  <si>
    <t xml:space="preserve">簿価営業利益</t>
  </si>
  <si>
    <t xml:space="preserve">時価純資産</t>
  </si>
  <si>
    <t xml:space="preserve">税効果</t>
  </si>
  <si>
    <t xml:space="preserve">修正後営業利益</t>
  </si>
  <si>
    <t xml:space="preserve">想定株式価値</t>
  </si>
  <si>
    <t xml:space="preserve">税考慮額</t>
  </si>
  <si>
    <t xml:space="preserve">修正後税考慮後営業利益</t>
  </si>
  <si>
    <t xml:space="preserve">基準営業利益</t>
  </si>
  <si>
    <r>
      <rPr>
        <sz val="9"/>
        <rFont val="游ゴシック"/>
        <family val="2"/>
      </rPr>
      <t xml:space="preserve">※基準営業利益＝修正後税考慮後営業利益の加重平均（直近期</t>
    </r>
    <r>
      <rPr>
        <sz val="9"/>
        <rFont val="游ゴシック"/>
        <family val="2"/>
        <charset val="1"/>
      </rPr>
      <t xml:space="preserve">50%</t>
    </r>
    <r>
      <rPr>
        <sz val="9"/>
        <rFont val="游ゴシック"/>
        <family val="2"/>
      </rPr>
      <t xml:space="preserve">・前期</t>
    </r>
    <r>
      <rPr>
        <sz val="9"/>
        <rFont val="游ゴシック"/>
        <family val="2"/>
        <charset val="1"/>
      </rPr>
      <t xml:space="preserve">30%</t>
    </r>
    <r>
      <rPr>
        <sz val="9"/>
        <rFont val="游ゴシック"/>
        <family val="2"/>
      </rPr>
      <t xml:space="preserve">・前々期</t>
    </r>
    <r>
      <rPr>
        <sz val="9"/>
        <rFont val="游ゴシック"/>
        <family val="2"/>
        <charset val="1"/>
      </rPr>
      <t xml:space="preserve">20%</t>
    </r>
    <r>
      <rPr>
        <sz val="9"/>
        <rFont val="游ゴシック"/>
        <family val="2"/>
      </rPr>
      <t xml:space="preserve">）。※税考慮額は実効税率</t>
    </r>
    <r>
      <rPr>
        <sz val="9"/>
        <rFont val="游ゴシック"/>
        <family val="2"/>
        <charset val="1"/>
      </rPr>
      <t xml:space="preserve">34%</t>
    </r>
    <r>
      <rPr>
        <sz val="9"/>
        <rFont val="游ゴシック"/>
        <family val="2"/>
      </rPr>
      <t xml:space="preserve">。※営業権倍率</t>
    </r>
    <r>
      <rPr>
        <sz val="9"/>
        <rFont val="游ゴシック"/>
        <family val="2"/>
        <charset val="1"/>
      </rPr>
      <t xml:space="preserve">1</t>
    </r>
    <r>
      <rPr>
        <sz val="9"/>
        <rFont val="游ゴシック"/>
        <family val="2"/>
      </rPr>
      <t xml:space="preserve">〜</t>
    </r>
    <r>
      <rPr>
        <sz val="9"/>
        <rFont val="游ゴシック"/>
        <family val="2"/>
        <charset val="1"/>
      </rPr>
      <t xml:space="preserve">3</t>
    </r>
    <r>
      <rPr>
        <sz val="9"/>
        <rFont val="游ゴシック"/>
        <family val="2"/>
      </rPr>
      <t xml:space="preserve">倍は国内中小企業</t>
    </r>
    <r>
      <rPr>
        <sz val="9"/>
        <rFont val="游ゴシック"/>
        <family val="2"/>
        <charset val="1"/>
      </rPr>
      <t xml:space="preserve">M&amp;A</t>
    </r>
    <r>
      <rPr>
        <sz val="9"/>
        <rFont val="游ゴシック"/>
        <family val="2"/>
      </rPr>
      <t xml:space="preserve">のボリュームゾーン。
※繰越欠損金を有し課税所得の見込みが立たないため、評価差額に対する繰延税金資産は認識していない（税効果ゼロ）。
※修正額は企業概要書の調整項目合計と同一（販管費の修正＋経常的雑収入）。修正</t>
    </r>
    <r>
      <rPr>
        <sz val="9"/>
        <rFont val="游ゴシック"/>
        <family val="2"/>
        <charset val="1"/>
      </rPr>
      <t xml:space="preserve">PL</t>
    </r>
    <r>
      <rPr>
        <sz val="9"/>
        <rFont val="游ゴシック"/>
        <family val="2"/>
      </rPr>
      <t xml:space="preserve">では雑収入を営業外収益に計上しているため、修正</t>
    </r>
    <r>
      <rPr>
        <sz val="9"/>
        <rFont val="游ゴシック"/>
        <family val="2"/>
        <charset val="1"/>
      </rPr>
      <t xml:space="preserve">PL</t>
    </r>
    <r>
      <rPr>
        <sz val="9"/>
        <rFont val="游ゴシック"/>
        <family val="2"/>
      </rPr>
      <t xml:space="preserve">上の修正後営業利益との差額は当該雑収入である（修正</t>
    </r>
    <r>
      <rPr>
        <sz val="9"/>
        <rFont val="游ゴシック"/>
        <family val="2"/>
        <charset val="1"/>
      </rPr>
      <t xml:space="preserve">PL 61</t>
    </r>
    <r>
      <rPr>
        <sz val="9"/>
        <rFont val="游ゴシック"/>
        <family val="2"/>
      </rPr>
      <t xml:space="preserve">行目の橋渡しを参照）。</t>
    </r>
  </si>
  <si>
    <t xml:space="preserve">マルチプル倍率</t>
  </si>
  <si>
    <t xml:space="preserve">x4</t>
  </si>
  <si>
    <t xml:space="preserve">x5</t>
  </si>
  <si>
    <t xml:space="preserve">キャッシュライク</t>
  </si>
  <si>
    <r>
      <rPr>
        <sz val="12"/>
        <color theme="1"/>
        <rFont val="游ゴシック"/>
        <family val="3"/>
        <charset val="128"/>
      </rPr>
      <t xml:space="preserve">EV</t>
    </r>
    <r>
      <rPr>
        <sz val="12"/>
        <color theme="1"/>
        <rFont val="游ゴシック"/>
        <family val="2"/>
      </rPr>
      <t xml:space="preserve">（</t>
    </r>
    <r>
      <rPr>
        <sz val="12"/>
        <color theme="1"/>
        <rFont val="游ゴシック"/>
        <family val="3"/>
        <charset val="128"/>
      </rPr>
      <t xml:space="preserve">EBITDA×</t>
    </r>
    <r>
      <rPr>
        <sz val="12"/>
        <color theme="1"/>
        <rFont val="游ゴシック"/>
        <family val="2"/>
      </rPr>
      <t xml:space="preserve">倍率）</t>
    </r>
  </si>
  <si>
    <t xml:space="preserve">デットライク</t>
  </si>
  <si>
    <t xml:space="preserve">非流動性ディスカウント（不適用）</t>
  </si>
  <si>
    <t xml:space="preserve">ネットキャッシュ</t>
  </si>
  <si>
    <r>
      <rPr>
        <b val="true"/>
        <sz val="12"/>
        <color theme="1"/>
        <rFont val="游ゴシック"/>
        <family val="2"/>
      </rPr>
      <t xml:space="preserve">修正後</t>
    </r>
    <r>
      <rPr>
        <b val="true"/>
        <sz val="12"/>
        <color theme="1"/>
        <rFont val="游ゴシック"/>
        <family val="2"/>
        <charset val="1"/>
      </rPr>
      <t xml:space="preserve">EBITDA</t>
    </r>
  </si>
  <si>
    <r>
      <rPr>
        <b val="true"/>
        <sz val="12"/>
        <color theme="1"/>
        <rFont val="游ゴシック"/>
        <family val="2"/>
      </rPr>
      <t xml:space="preserve">基準</t>
    </r>
    <r>
      <rPr>
        <b val="true"/>
        <sz val="12"/>
        <color theme="1"/>
        <rFont val="游ゴシック"/>
        <family val="2"/>
        <charset val="1"/>
      </rPr>
      <t xml:space="preserve">EBITDA</t>
    </r>
  </si>
  <si>
    <r>
      <rPr>
        <sz val="9"/>
        <rFont val="游ゴシック"/>
        <family val="2"/>
      </rPr>
      <t xml:space="preserve">※基準</t>
    </r>
    <r>
      <rPr>
        <sz val="9"/>
        <rFont val="游ゴシック"/>
        <family val="2"/>
        <charset val="1"/>
      </rPr>
      <t xml:space="preserve">EBITDA</t>
    </r>
    <r>
      <rPr>
        <sz val="9"/>
        <rFont val="游ゴシック"/>
        <family val="2"/>
      </rPr>
      <t xml:space="preserve">＝修正後</t>
    </r>
    <r>
      <rPr>
        <sz val="9"/>
        <rFont val="游ゴシック"/>
        <family val="2"/>
        <charset val="1"/>
      </rPr>
      <t xml:space="preserve">EBITDA</t>
    </r>
    <r>
      <rPr>
        <sz val="9"/>
        <rFont val="游ゴシック"/>
        <family val="2"/>
      </rPr>
      <t xml:space="preserve">の加重平均（直近期</t>
    </r>
    <r>
      <rPr>
        <sz val="9"/>
        <rFont val="游ゴシック"/>
        <family val="2"/>
        <charset val="1"/>
      </rPr>
      <t xml:space="preserve">50%</t>
    </r>
    <r>
      <rPr>
        <sz val="9"/>
        <rFont val="游ゴシック"/>
        <family val="2"/>
      </rPr>
      <t xml:space="preserve">・前期</t>
    </r>
    <r>
      <rPr>
        <sz val="9"/>
        <rFont val="游ゴシック"/>
        <family val="2"/>
        <charset val="1"/>
      </rPr>
      <t xml:space="preserve">30%</t>
    </r>
    <r>
      <rPr>
        <sz val="9"/>
        <rFont val="游ゴシック"/>
        <family val="2"/>
      </rPr>
      <t xml:space="preserve">・前々期</t>
    </r>
    <r>
      <rPr>
        <sz val="9"/>
        <rFont val="游ゴシック"/>
        <family val="2"/>
        <charset val="1"/>
      </rPr>
      <t xml:space="preserve">20%</t>
    </r>
    <r>
      <rPr>
        <sz val="9"/>
        <rFont val="游ゴシック"/>
        <family val="2"/>
      </rPr>
      <t xml:space="preserve">）。※修正後</t>
    </r>
    <r>
      <rPr>
        <sz val="9"/>
        <rFont val="游ゴシック"/>
        <family val="2"/>
        <charset val="1"/>
      </rPr>
      <t xml:space="preserve">EBITDA</t>
    </r>
    <r>
      <rPr>
        <sz val="9"/>
        <rFont val="游ゴシック"/>
        <family val="2"/>
      </rPr>
      <t xml:space="preserve">＝修正後営業利益＋減価償却費であり、企業概要書の調整後</t>
    </r>
    <r>
      <rPr>
        <sz val="9"/>
        <rFont val="游ゴシック"/>
        <family val="2"/>
        <charset val="1"/>
      </rPr>
      <t xml:space="preserve">EBITDA</t>
    </r>
    <r>
      <rPr>
        <sz val="9"/>
        <rFont val="游ゴシック"/>
        <family val="2"/>
      </rPr>
      <t xml:space="preserve">と同一である。
※当社フォーマットの評価書は非流動性ディスカウントを適用しない（想定株式価値＝</t>
    </r>
    <r>
      <rPr>
        <sz val="9"/>
        <rFont val="游ゴシック"/>
        <family val="2"/>
        <charset val="1"/>
      </rPr>
      <t xml:space="preserve">EV</t>
    </r>
    <r>
      <rPr>
        <sz val="9"/>
        <rFont val="游ゴシック"/>
        <family val="2"/>
      </rPr>
      <t xml:space="preserve">＋ネットキャッシュ）。過去の評価書と算定方法を揃えるため、</t>
    </r>
    <r>
      <rPr>
        <sz val="9"/>
        <rFont val="游ゴシック"/>
        <family val="2"/>
        <charset val="1"/>
      </rPr>
      <t xml:space="preserve">EV</t>
    </r>
    <r>
      <rPr>
        <sz val="9"/>
        <rFont val="游ゴシック"/>
        <family val="2"/>
      </rPr>
      <t xml:space="preserve">への</t>
    </r>
    <r>
      <rPr>
        <sz val="9"/>
        <rFont val="游ゴシック"/>
        <family val="2"/>
        <charset val="1"/>
      </rPr>
      <t xml:space="preserve">30%</t>
    </r>
    <r>
      <rPr>
        <sz val="9"/>
        <rFont val="游ゴシック"/>
        <family val="2"/>
      </rPr>
      <t xml:space="preserve">控除は行っていない。</t>
    </r>
  </si>
  <si>
    <t xml:space="preserve">企業名</t>
  </si>
  <si>
    <t xml:space="preserve">所在地</t>
  </si>
  <si>
    <t xml:space="preserve">事業内容</t>
  </si>
  <si>
    <r>
      <rPr>
        <b val="true"/>
        <sz val="12"/>
        <color theme="0"/>
        <rFont val="游ゴシック"/>
        <family val="3"/>
        <charset val="128"/>
      </rPr>
      <t xml:space="preserve">EV/EVIDA</t>
    </r>
    <r>
      <rPr>
        <b val="true"/>
        <sz val="12"/>
        <color theme="0"/>
        <rFont val="游ゴシック"/>
        <family val="2"/>
      </rPr>
      <t xml:space="preserve">倍率</t>
    </r>
  </si>
  <si>
    <r>
      <rPr>
        <sz val="9"/>
        <rFont val="游ゴシック"/>
        <family val="2"/>
      </rPr>
      <t xml:space="preserve">未選定：ペット関連小売・生体販売を主要事業とする国内上場会社を想定したが、対象会社は債務超過かつ売上規模が大きく異なるため個社の倍率をそのまま適用できない。</t>
    </r>
    <r>
      <rPr>
        <sz val="9"/>
        <rFont val="游ゴシック"/>
        <family val="2"/>
        <charset val="1"/>
      </rPr>
      <t xml:space="preserve">EV/EBITDA</t>
    </r>
    <r>
      <rPr>
        <sz val="9"/>
        <rFont val="游ゴシック"/>
        <family val="2"/>
      </rPr>
      <t xml:space="preserve">倍率は中小企業</t>
    </r>
    <r>
      <rPr>
        <sz val="9"/>
        <rFont val="游ゴシック"/>
        <family val="2"/>
        <charset val="1"/>
      </rPr>
      <t xml:space="preserve">M&amp;A</t>
    </r>
    <r>
      <rPr>
        <sz val="9"/>
        <rFont val="游ゴシック"/>
        <family val="2"/>
      </rPr>
      <t xml:space="preserve">の一般的レンジ</t>
    </r>
    <r>
      <rPr>
        <sz val="9"/>
        <rFont val="游ゴシック"/>
        <family val="2"/>
        <charset val="1"/>
      </rPr>
      <t xml:space="preserve">3</t>
    </r>
    <r>
      <rPr>
        <sz val="9"/>
        <rFont val="游ゴシック"/>
        <family val="2"/>
      </rPr>
      <t xml:space="preserve">〜</t>
    </r>
    <r>
      <rPr>
        <sz val="9"/>
        <rFont val="游ゴシック"/>
        <family val="2"/>
        <charset val="1"/>
      </rPr>
      <t xml:space="preserve">5</t>
    </r>
    <r>
      <rPr>
        <sz val="9"/>
        <rFont val="游ゴシック"/>
        <family val="2"/>
      </rPr>
      <t xml:space="preserve">倍を保守的に適用した。</t>
    </r>
  </si>
  <si>
    <t xml:space="preserve">項目</t>
  </si>
  <si>
    <t xml:space="preserve">内容</t>
  </si>
  <si>
    <t xml:space="preserve">会社名</t>
  </si>
  <si>
    <r>
      <rPr>
        <sz val="12"/>
        <color theme="1"/>
        <rFont val="游ゴシック"/>
        <family val="3"/>
        <charset val="128"/>
      </rPr>
      <t xml:space="preserve">LUXAS</t>
    </r>
    <r>
      <rPr>
        <sz val="12"/>
        <color theme="1"/>
        <rFont val="游ゴシック"/>
        <family val="2"/>
      </rPr>
      <t xml:space="preserve">株式会社［ラクサス］（法人番号 </t>
    </r>
    <r>
      <rPr>
        <sz val="12"/>
        <color theme="1"/>
        <rFont val="游ゴシック"/>
        <family val="3"/>
        <charset val="128"/>
      </rPr>
      <t xml:space="preserve">4200001038172</t>
    </r>
    <r>
      <rPr>
        <sz val="12"/>
        <color theme="1"/>
        <rFont val="游ゴシック"/>
        <family val="2"/>
      </rPr>
      <t xml:space="preserve">）
</t>
    </r>
    <r>
      <rPr>
        <sz val="12"/>
        <color theme="1"/>
        <rFont val="游ゴシック"/>
        <family val="3"/>
        <charset val="128"/>
      </rPr>
      <t xml:space="preserve">https://luxas.co.jp/</t>
    </r>
    <r>
      <rPr>
        <sz val="12"/>
        <color theme="1"/>
        <rFont val="游ゴシック"/>
        <family val="2"/>
      </rPr>
      <t xml:space="preserve">　※</t>
    </r>
    <r>
      <rPr>
        <sz val="12"/>
        <color theme="1"/>
        <rFont val="游ゴシック"/>
        <family val="3"/>
        <charset val="128"/>
      </rPr>
      <t xml:space="preserve">HP</t>
    </r>
    <r>
      <rPr>
        <sz val="12"/>
        <color theme="1"/>
        <rFont val="游ゴシック"/>
        <family val="2"/>
      </rPr>
      <t xml:space="preserve">の有無・</t>
    </r>
    <r>
      <rPr>
        <sz val="12"/>
        <color theme="1"/>
        <rFont val="游ゴシック"/>
        <family val="3"/>
        <charset val="128"/>
      </rPr>
      <t xml:space="preserve">URL</t>
    </r>
    <r>
      <rPr>
        <sz val="12"/>
        <color theme="1"/>
        <rFont val="游ゴシック"/>
        <family val="2"/>
      </rPr>
      <t xml:space="preserve">は要確認</t>
    </r>
  </si>
  <si>
    <t xml:space="preserve">本社所在地</t>
  </si>
  <si>
    <r>
      <rPr>
        <sz val="12"/>
        <color theme="1"/>
        <rFont val="游ゴシック"/>
        <family val="2"/>
      </rPr>
      <t xml:space="preserve">岐阜県大垣市青柳町</t>
    </r>
    <r>
      <rPr>
        <sz val="12"/>
        <color theme="1"/>
        <rFont val="游ゴシック"/>
        <family val="2"/>
        <charset val="1"/>
      </rPr>
      <t xml:space="preserve">3</t>
    </r>
    <r>
      <rPr>
        <sz val="12"/>
        <color theme="1"/>
        <rFont val="游ゴシック"/>
        <family val="2"/>
      </rPr>
      <t xml:space="preserve">丁目</t>
    </r>
    <r>
      <rPr>
        <sz val="12"/>
        <color theme="1"/>
        <rFont val="游ゴシック"/>
        <family val="2"/>
        <charset val="1"/>
      </rPr>
      <t xml:space="preserve">227</t>
    </r>
    <r>
      <rPr>
        <sz val="12"/>
        <color theme="1"/>
        <rFont val="游ゴシック"/>
        <family val="2"/>
      </rPr>
      <t xml:space="preserve">番地</t>
    </r>
    <r>
      <rPr>
        <sz val="12"/>
        <color theme="1"/>
        <rFont val="游ゴシック"/>
        <family val="2"/>
        <charset val="1"/>
      </rPr>
      <t xml:space="preserve">2
※</t>
    </r>
    <r>
      <rPr>
        <sz val="12"/>
        <color theme="1"/>
        <rFont val="游ゴシック"/>
        <family val="2"/>
      </rPr>
      <t xml:space="preserve">代表者自宅を法人が賃借（貸主：個人／年額</t>
    </r>
    <r>
      <rPr>
        <sz val="12"/>
        <color theme="1"/>
        <rFont val="游ゴシック"/>
        <family val="2"/>
        <charset val="1"/>
      </rPr>
      <t xml:space="preserve">1,000</t>
    </r>
    <r>
      <rPr>
        <sz val="12"/>
        <color theme="1"/>
        <rFont val="游ゴシック"/>
        <family val="2"/>
      </rPr>
      <t xml:space="preserve">千円）</t>
    </r>
  </si>
  <si>
    <t xml:space="preserve">その他拠点</t>
  </si>
  <si>
    <r>
      <rPr>
        <sz val="12"/>
        <color theme="1"/>
        <rFont val="游ゴシック"/>
        <family val="2"/>
      </rPr>
      <t xml:space="preserve">直営店舗</t>
    </r>
    <r>
      <rPr>
        <sz val="12"/>
        <color theme="1"/>
        <rFont val="游ゴシック"/>
        <family val="2"/>
        <charset val="1"/>
      </rPr>
      <t xml:space="preserve">8</t>
    </r>
    <r>
      <rPr>
        <sz val="12"/>
        <color theme="1"/>
        <rFont val="游ゴシック"/>
        <family val="2"/>
      </rPr>
      <t xml:space="preserve">箇所（岐阜県</t>
    </r>
    <r>
      <rPr>
        <sz val="12"/>
        <color theme="1"/>
        <rFont val="游ゴシック"/>
        <family val="2"/>
        <charset val="1"/>
      </rPr>
      <t xml:space="preserve">3</t>
    </r>
    <r>
      <rPr>
        <sz val="12"/>
        <color theme="1"/>
        <rFont val="游ゴシック"/>
        <family val="2"/>
      </rPr>
      <t xml:space="preserve">・三重県</t>
    </r>
    <r>
      <rPr>
        <sz val="12"/>
        <color theme="1"/>
        <rFont val="游ゴシック"/>
        <family val="2"/>
        <charset val="1"/>
      </rPr>
      <t xml:space="preserve">3</t>
    </r>
    <r>
      <rPr>
        <sz val="12"/>
        <color theme="1"/>
        <rFont val="游ゴシック"/>
        <family val="2"/>
      </rPr>
      <t xml:space="preserve">・愛知県</t>
    </r>
    <r>
      <rPr>
        <sz val="12"/>
        <color theme="1"/>
        <rFont val="游ゴシック"/>
        <family val="2"/>
        <charset val="1"/>
      </rPr>
      <t xml:space="preserve">1</t>
    </r>
    <r>
      <rPr>
        <sz val="12"/>
        <color theme="1"/>
        <rFont val="游ゴシック"/>
        <family val="2"/>
      </rPr>
      <t xml:space="preserve">・大阪府</t>
    </r>
    <r>
      <rPr>
        <sz val="12"/>
        <color theme="1"/>
        <rFont val="游ゴシック"/>
        <family val="2"/>
        <charset val="1"/>
      </rPr>
      <t xml:space="preserve">1</t>
    </r>
    <r>
      <rPr>
        <sz val="12"/>
        <color theme="1"/>
        <rFont val="游ゴシック"/>
        <family val="2"/>
      </rPr>
      <t xml:space="preserve">）、
大垣管理センター、松阪管理センター
※</t>
    </r>
    <r>
      <rPr>
        <sz val="12"/>
        <color theme="1"/>
        <rFont val="游ゴシック"/>
        <family val="2"/>
        <charset val="1"/>
      </rPr>
      <t xml:space="preserve">2025</t>
    </r>
    <r>
      <rPr>
        <sz val="12"/>
        <color theme="1"/>
        <rFont val="游ゴシック"/>
        <family val="2"/>
      </rPr>
      <t xml:space="preserve">年</t>
    </r>
    <r>
      <rPr>
        <sz val="12"/>
        <color theme="1"/>
        <rFont val="游ゴシック"/>
        <family val="2"/>
        <charset val="1"/>
      </rPr>
      <t xml:space="preserve">11</t>
    </r>
    <r>
      <rPr>
        <sz val="12"/>
        <color theme="1"/>
        <rFont val="游ゴシック"/>
        <family val="2"/>
      </rPr>
      <t xml:space="preserve">月期「売上高等の事業所別内訳書」ベース</t>
    </r>
  </si>
  <si>
    <r>
      <rPr>
        <sz val="12"/>
        <color theme="1"/>
        <rFont val="游ゴシック"/>
        <family val="2"/>
      </rPr>
      <t xml:space="preserve">設立</t>
    </r>
    <r>
      <rPr>
        <sz val="12"/>
        <color theme="1"/>
        <rFont val="游ゴシック"/>
        <family val="2"/>
        <charset val="1"/>
      </rPr>
      <t xml:space="preserve">/</t>
    </r>
    <r>
      <rPr>
        <sz val="12"/>
        <color theme="1"/>
        <rFont val="游ゴシック"/>
        <family val="2"/>
      </rPr>
      <t xml:space="preserve">創業</t>
    </r>
  </si>
  <si>
    <r>
      <rPr>
        <sz val="12"/>
        <color theme="1"/>
        <rFont val="游ゴシック"/>
        <family val="3"/>
        <charset val="128"/>
      </rPr>
      <t xml:space="preserve">2019</t>
    </r>
    <r>
      <rPr>
        <sz val="12"/>
        <color theme="1"/>
        <rFont val="游ゴシック"/>
        <family val="2"/>
      </rPr>
      <t xml:space="preserve">年</t>
    </r>
    <r>
      <rPr>
        <sz val="12"/>
        <color theme="1"/>
        <rFont val="游ゴシック"/>
        <family val="3"/>
        <charset val="128"/>
      </rPr>
      <t xml:space="preserve">8</t>
    </r>
    <r>
      <rPr>
        <sz val="12"/>
        <color theme="1"/>
        <rFont val="游ゴシック"/>
        <family val="2"/>
      </rPr>
      <t xml:space="preserve">月 個人事業として創業／</t>
    </r>
    <r>
      <rPr>
        <sz val="12"/>
        <color theme="1"/>
        <rFont val="游ゴシック"/>
        <family val="3"/>
        <charset val="128"/>
      </rPr>
      <t xml:space="preserve">2020</t>
    </r>
    <r>
      <rPr>
        <sz val="12"/>
        <color theme="1"/>
        <rFont val="游ゴシック"/>
        <family val="2"/>
      </rPr>
      <t xml:space="preserve">年</t>
    </r>
    <r>
      <rPr>
        <sz val="12"/>
        <color theme="1"/>
        <rFont val="游ゴシック"/>
        <family val="3"/>
        <charset val="128"/>
      </rPr>
      <t xml:space="preserve">12</t>
    </r>
    <r>
      <rPr>
        <sz val="12"/>
        <color theme="1"/>
        <rFont val="游ゴシック"/>
        <family val="2"/>
      </rPr>
      <t xml:space="preserve">月 法人設立（第</t>
    </r>
    <r>
      <rPr>
        <sz val="12"/>
        <color theme="1"/>
        <rFont val="游ゴシック"/>
        <family val="3"/>
        <charset val="128"/>
      </rPr>
      <t xml:space="preserve">5</t>
    </r>
    <r>
      <rPr>
        <sz val="12"/>
        <color theme="1"/>
        <rFont val="游ゴシック"/>
        <family val="2"/>
      </rPr>
      <t xml:space="preserve">期）</t>
    </r>
  </si>
  <si>
    <r>
      <rPr>
        <sz val="12"/>
        <color theme="1"/>
        <rFont val="游ゴシック"/>
        <family val="3"/>
        <charset val="128"/>
      </rPr>
      <t xml:space="preserve">1,000</t>
    </r>
    <r>
      <rPr>
        <sz val="12"/>
        <color theme="1"/>
        <rFont val="游ゴシック"/>
        <family val="2"/>
      </rPr>
      <t xml:space="preserve">千円</t>
    </r>
  </si>
  <si>
    <t xml:space="preserve">代表者</t>
  </si>
  <si>
    <r>
      <rPr>
        <sz val="12"/>
        <color theme="1"/>
        <rFont val="游ゴシック"/>
        <family val="2"/>
      </rPr>
      <t xml:space="preserve">代表取締役　淺野　ゆう子（</t>
    </r>
    <r>
      <rPr>
        <sz val="12"/>
        <color theme="1"/>
        <rFont val="游ゴシック"/>
        <family val="2"/>
        <charset val="1"/>
      </rPr>
      <t xml:space="preserve">1985</t>
    </r>
    <r>
      <rPr>
        <sz val="12"/>
        <color theme="1"/>
        <rFont val="游ゴシック"/>
        <family val="2"/>
      </rPr>
      <t xml:space="preserve">年</t>
    </r>
    <r>
      <rPr>
        <sz val="12"/>
        <color theme="1"/>
        <rFont val="游ゴシック"/>
        <family val="2"/>
        <charset val="1"/>
      </rPr>
      <t xml:space="preserve">11</t>
    </r>
    <r>
      <rPr>
        <sz val="12"/>
        <color theme="1"/>
        <rFont val="游ゴシック"/>
        <family val="2"/>
      </rPr>
      <t xml:space="preserve">月生）</t>
    </r>
  </si>
  <si>
    <t xml:space="preserve">株主</t>
  </si>
  <si>
    <r>
      <rPr>
        <sz val="12"/>
        <color theme="1"/>
        <rFont val="游ゴシック"/>
        <family val="2"/>
      </rPr>
      <t xml:space="preserve">淺野　ゆう子（</t>
    </r>
    <r>
      <rPr>
        <sz val="12"/>
        <color theme="1"/>
        <rFont val="游ゴシック"/>
        <family val="2"/>
        <charset val="1"/>
      </rPr>
      <t xml:space="preserve">100</t>
    </r>
    <r>
      <rPr>
        <sz val="12"/>
        <color theme="1"/>
        <rFont val="游ゴシック"/>
        <family val="2"/>
      </rPr>
      <t xml:space="preserve">株／</t>
    </r>
    <r>
      <rPr>
        <sz val="12"/>
        <color theme="1"/>
        <rFont val="游ゴシック"/>
        <family val="2"/>
        <charset val="1"/>
      </rPr>
      <t xml:space="preserve">100%</t>
    </r>
    <r>
      <rPr>
        <sz val="12"/>
        <color theme="1"/>
        <rFont val="游ゴシック"/>
        <family val="2"/>
      </rPr>
      <t xml:space="preserve">）
※株券不発行会社、譲渡制限規定あり（株主総会承認）、設立時から変更なし</t>
    </r>
  </si>
  <si>
    <t xml:space="preserve">ペットショップ（生体販売・ペット用品販売）、トリミング、ペットホテル、
ペット保険代理店、セキュリティ機器販売</t>
  </si>
  <si>
    <t xml:space="preserve">従業員数</t>
  </si>
  <si>
    <r>
      <rPr>
        <sz val="12"/>
        <color theme="1"/>
        <rFont val="游ゴシック"/>
        <family val="3"/>
        <charset val="128"/>
      </rPr>
      <t xml:space="preserve">73</t>
    </r>
    <r>
      <rPr>
        <sz val="12"/>
        <color theme="1"/>
        <rFont val="游ゴシック"/>
        <family val="2"/>
      </rPr>
      <t xml:space="preserve">名（役員</t>
    </r>
    <r>
      <rPr>
        <sz val="12"/>
        <color theme="1"/>
        <rFont val="游ゴシック"/>
        <family val="3"/>
        <charset val="128"/>
      </rPr>
      <t xml:space="preserve">1</t>
    </r>
    <r>
      <rPr>
        <sz val="12"/>
        <color theme="1"/>
        <rFont val="游ゴシック"/>
        <family val="2"/>
      </rPr>
      <t xml:space="preserve">名、正社員</t>
    </r>
    <r>
      <rPr>
        <sz val="12"/>
        <color theme="1"/>
        <rFont val="游ゴシック"/>
        <family val="3"/>
        <charset val="128"/>
      </rPr>
      <t xml:space="preserve">20</t>
    </r>
    <r>
      <rPr>
        <sz val="12"/>
        <color theme="1"/>
        <rFont val="游ゴシック"/>
        <family val="2"/>
      </rPr>
      <t xml:space="preserve">名、アルバイト</t>
    </r>
    <r>
      <rPr>
        <sz val="12"/>
        <color theme="1"/>
        <rFont val="游ゴシック"/>
        <family val="3"/>
        <charset val="128"/>
      </rPr>
      <t xml:space="preserve">53</t>
    </r>
    <r>
      <rPr>
        <sz val="12"/>
        <color theme="1"/>
        <rFont val="游ゴシック"/>
        <family val="2"/>
      </rPr>
      <t xml:space="preserve">名）（</t>
    </r>
    <r>
      <rPr>
        <sz val="12"/>
        <color theme="1"/>
        <rFont val="游ゴシック"/>
        <family val="3"/>
        <charset val="128"/>
      </rPr>
      <t xml:space="preserve">2026</t>
    </r>
    <r>
      <rPr>
        <sz val="12"/>
        <color theme="1"/>
        <rFont val="游ゴシック"/>
        <family val="2"/>
      </rPr>
      <t xml:space="preserve">年</t>
    </r>
    <r>
      <rPr>
        <sz val="12"/>
        <color theme="1"/>
        <rFont val="游ゴシック"/>
        <family val="3"/>
        <charset val="128"/>
      </rPr>
      <t xml:space="preserve">3</t>
    </r>
    <r>
      <rPr>
        <sz val="12"/>
        <color theme="1"/>
        <rFont val="游ゴシック"/>
        <family val="2"/>
      </rPr>
      <t xml:space="preserve">月時点）</t>
    </r>
  </si>
  <si>
    <t xml:space="preserve">許認可等</t>
  </si>
  <si>
    <r>
      <rPr>
        <sz val="12"/>
        <color theme="1"/>
        <rFont val="游ゴシック"/>
        <family val="2"/>
      </rPr>
      <t xml:space="preserve">第一種動物取扱業許可（種別：販売／保管）　</t>
    </r>
    <r>
      <rPr>
        <sz val="12"/>
        <color theme="1"/>
        <rFont val="游ゴシック"/>
        <family val="2"/>
        <charset val="1"/>
      </rPr>
      <t xml:space="preserve">8</t>
    </r>
    <r>
      <rPr>
        <sz val="12"/>
        <color theme="1"/>
        <rFont val="游ゴシック"/>
        <family val="2"/>
      </rPr>
      <t xml:space="preserve">事業所で取得</t>
    </r>
  </si>
  <si>
    <r>
      <rPr>
        <sz val="12"/>
        <color theme="1"/>
        <rFont val="游ゴシック"/>
        <family val="3"/>
        <charset val="128"/>
      </rPr>
      <t xml:space="preserve">558,390</t>
    </r>
    <r>
      <rPr>
        <sz val="12"/>
        <color theme="1"/>
        <rFont val="游ゴシック"/>
        <family val="2"/>
      </rPr>
      <t xml:space="preserve">千円（</t>
    </r>
    <r>
      <rPr>
        <sz val="12"/>
        <color theme="1"/>
        <rFont val="游ゴシック"/>
        <family val="3"/>
        <charset val="128"/>
      </rPr>
      <t xml:space="preserve">2025</t>
    </r>
    <r>
      <rPr>
        <sz val="12"/>
        <color theme="1"/>
        <rFont val="游ゴシック"/>
        <family val="2"/>
      </rPr>
      <t xml:space="preserve">年</t>
    </r>
    <r>
      <rPr>
        <sz val="12"/>
        <color theme="1"/>
        <rFont val="游ゴシック"/>
        <family val="3"/>
        <charset val="128"/>
      </rPr>
      <t xml:space="preserve">11</t>
    </r>
    <r>
      <rPr>
        <sz val="12"/>
        <color theme="1"/>
        <rFont val="游ゴシック"/>
        <family val="2"/>
      </rPr>
      <t xml:space="preserve">月期）</t>
    </r>
  </si>
  <si>
    <r>
      <rPr>
        <sz val="12"/>
        <color theme="1"/>
        <rFont val="游ゴシック"/>
        <family val="2"/>
      </rPr>
      <t xml:space="preserve">調整後</t>
    </r>
    <r>
      <rPr>
        <sz val="12"/>
        <color theme="1"/>
        <rFont val="游ゴシック"/>
        <family val="2"/>
        <charset val="1"/>
      </rPr>
      <t xml:space="preserve">EBITDA</t>
    </r>
  </si>
  <si>
    <r>
      <rPr>
        <sz val="12"/>
        <color theme="1"/>
        <rFont val="游ゴシック"/>
        <family val="3"/>
        <charset val="128"/>
      </rPr>
      <t xml:space="preserve">6,681</t>
    </r>
    <r>
      <rPr>
        <sz val="12"/>
        <color theme="1"/>
        <rFont val="游ゴシック"/>
        <family val="2"/>
      </rPr>
      <t xml:space="preserve">千円（</t>
    </r>
    <r>
      <rPr>
        <sz val="12"/>
        <color theme="1"/>
        <rFont val="游ゴシック"/>
        <family val="3"/>
        <charset val="128"/>
      </rPr>
      <t xml:space="preserve">2025</t>
    </r>
    <r>
      <rPr>
        <sz val="12"/>
        <color theme="1"/>
        <rFont val="游ゴシック"/>
        <family val="2"/>
      </rPr>
      <t xml:space="preserve">年</t>
    </r>
    <r>
      <rPr>
        <sz val="12"/>
        <color theme="1"/>
        <rFont val="游ゴシック"/>
        <family val="3"/>
        <charset val="128"/>
      </rPr>
      <t xml:space="preserve">11</t>
    </r>
    <r>
      <rPr>
        <sz val="12"/>
        <color theme="1"/>
        <rFont val="游ゴシック"/>
        <family val="2"/>
      </rPr>
      <t xml:space="preserve">月期）／過去</t>
    </r>
    <r>
      <rPr>
        <sz val="12"/>
        <color theme="1"/>
        <rFont val="游ゴシック"/>
        <family val="3"/>
        <charset val="128"/>
      </rPr>
      <t xml:space="preserve">3</t>
    </r>
    <r>
      <rPr>
        <sz val="12"/>
        <color theme="1"/>
        <rFont val="游ゴシック"/>
        <family val="2"/>
      </rPr>
      <t xml:space="preserve">期平均 </t>
    </r>
    <r>
      <rPr>
        <sz val="12"/>
        <color theme="1"/>
        <rFont val="游ゴシック"/>
        <family val="3"/>
        <charset val="128"/>
      </rPr>
      <t xml:space="preserve">18,185</t>
    </r>
    <r>
      <rPr>
        <sz val="12"/>
        <color theme="1"/>
        <rFont val="游ゴシック"/>
        <family val="2"/>
      </rPr>
      <t xml:space="preserve">千円</t>
    </r>
  </si>
  <si>
    <t xml:space="preserve">譲渡理由</t>
  </si>
  <si>
    <t xml:space="preserve">成長戦略（資本力・経営基盤のある企業グループ下での多店舗展開の加速）</t>
  </si>
  <si>
    <r>
      <rPr>
        <b val="true"/>
        <sz val="11"/>
        <color rgb="FF0B3041"/>
        <rFont val="游ゴシック"/>
        <family val="2"/>
      </rPr>
      <t xml:space="preserve">進行期（</t>
    </r>
    <r>
      <rPr>
        <b val="true"/>
        <sz val="11"/>
        <color rgb="FF0B3041"/>
        <rFont val="游ゴシック"/>
        <family val="2"/>
        <charset val="1"/>
      </rPr>
      <t xml:space="preserve">2026</t>
    </r>
    <r>
      <rPr>
        <b val="true"/>
        <sz val="11"/>
        <color rgb="FF0B3041"/>
        <rFont val="游ゴシック"/>
        <family val="2"/>
      </rPr>
      <t xml:space="preserve">年</t>
    </r>
    <r>
      <rPr>
        <b val="true"/>
        <sz val="11"/>
        <color rgb="FF0B3041"/>
        <rFont val="游ゴシック"/>
        <family val="2"/>
        <charset val="1"/>
      </rPr>
      <t xml:space="preserve">11</t>
    </r>
    <r>
      <rPr>
        <b val="true"/>
        <sz val="11"/>
        <color rgb="FF0B3041"/>
        <rFont val="游ゴシック"/>
        <family val="2"/>
      </rPr>
      <t xml:space="preserve">月期）の月次推移　※</t>
    </r>
    <r>
      <rPr>
        <b val="true"/>
        <sz val="11"/>
        <color rgb="FF0B3041"/>
        <rFont val="游ゴシック"/>
        <family val="2"/>
        <charset val="1"/>
      </rPr>
      <t xml:space="preserve">2025</t>
    </r>
    <r>
      <rPr>
        <b val="true"/>
        <sz val="11"/>
        <color rgb="FF0B3041"/>
        <rFont val="游ゴシック"/>
        <family val="2"/>
      </rPr>
      <t xml:space="preserve">年</t>
    </r>
    <r>
      <rPr>
        <b val="true"/>
        <sz val="11"/>
        <color rgb="FF0B3041"/>
        <rFont val="游ゴシック"/>
        <family val="2"/>
        <charset val="1"/>
      </rPr>
      <t xml:space="preserve">12</t>
    </r>
    <r>
      <rPr>
        <b val="true"/>
        <sz val="11"/>
        <color rgb="FF0B3041"/>
        <rFont val="游ゴシック"/>
        <family val="2"/>
      </rPr>
      <t xml:space="preserve">月〜</t>
    </r>
    <r>
      <rPr>
        <b val="true"/>
        <sz val="11"/>
        <color rgb="FF0B3041"/>
        <rFont val="游ゴシック"/>
        <family val="2"/>
        <charset val="1"/>
      </rPr>
      <t xml:space="preserve">2026</t>
    </r>
    <r>
      <rPr>
        <b val="true"/>
        <sz val="11"/>
        <color rgb="FF0B3041"/>
        <rFont val="游ゴシック"/>
        <family val="2"/>
      </rPr>
      <t xml:space="preserve">年</t>
    </r>
    <r>
      <rPr>
        <b val="true"/>
        <sz val="11"/>
        <color rgb="FF0B3041"/>
        <rFont val="游ゴシック"/>
        <family val="2"/>
        <charset val="1"/>
      </rPr>
      <t xml:space="preserve">6</t>
    </r>
    <r>
      <rPr>
        <b val="true"/>
        <sz val="11"/>
        <color rgb="FF0B3041"/>
        <rFont val="游ゴシック"/>
        <family val="2"/>
      </rPr>
      <t xml:space="preserve">月の</t>
    </r>
    <r>
      <rPr>
        <b val="true"/>
        <sz val="11"/>
        <color rgb="FF0B3041"/>
        <rFont val="游ゴシック"/>
        <family val="2"/>
        <charset val="1"/>
      </rPr>
      <t xml:space="preserve">7</t>
    </r>
    <r>
      <rPr>
        <b val="true"/>
        <sz val="11"/>
        <color rgb="FF0B3041"/>
        <rFont val="游ゴシック"/>
        <family val="2"/>
      </rPr>
      <t xml:space="preserve">か月</t>
    </r>
  </si>
  <si>
    <r>
      <rPr>
        <b val="true"/>
        <sz val="9"/>
        <color rgb="FFFFFFFF"/>
        <rFont val="游ゴシック"/>
        <family val="0"/>
        <charset val="1"/>
      </rPr>
      <t xml:space="preserve">2025</t>
    </r>
    <r>
      <rPr>
        <b val="true"/>
        <sz val="9"/>
        <color rgb="FFFFFFFF"/>
        <rFont val="游ゴシック"/>
        <family val="2"/>
      </rPr>
      <t xml:space="preserve">年</t>
    </r>
    <r>
      <rPr>
        <b val="true"/>
        <sz val="9"/>
        <color rgb="FFFFFFFF"/>
        <rFont val="游ゴシック"/>
        <family val="0"/>
        <charset val="1"/>
      </rPr>
      <t xml:space="preserve">12</t>
    </r>
    <r>
      <rPr>
        <b val="true"/>
        <sz val="9"/>
        <color rgb="FFFFFFFF"/>
        <rFont val="游ゴシック"/>
        <family val="2"/>
      </rPr>
      <t xml:space="preserve">月</t>
    </r>
  </si>
  <si>
    <r>
      <rPr>
        <b val="true"/>
        <sz val="9"/>
        <color rgb="FFFFFFFF"/>
        <rFont val="游ゴシック"/>
        <family val="0"/>
        <charset val="1"/>
      </rPr>
      <t xml:space="preserve">2026</t>
    </r>
    <r>
      <rPr>
        <b val="true"/>
        <sz val="9"/>
        <color rgb="FFFFFFFF"/>
        <rFont val="游ゴシック"/>
        <family val="2"/>
      </rPr>
      <t xml:space="preserve">年</t>
    </r>
    <r>
      <rPr>
        <b val="true"/>
        <sz val="9"/>
        <color rgb="FFFFFFFF"/>
        <rFont val="游ゴシック"/>
        <family val="0"/>
        <charset val="1"/>
      </rPr>
      <t xml:space="preserve">1</t>
    </r>
    <r>
      <rPr>
        <b val="true"/>
        <sz val="9"/>
        <color rgb="FFFFFFFF"/>
        <rFont val="游ゴシック"/>
        <family val="2"/>
      </rPr>
      <t xml:space="preserve">月</t>
    </r>
  </si>
  <si>
    <r>
      <rPr>
        <b val="true"/>
        <sz val="9"/>
        <color rgb="FFFFFFFF"/>
        <rFont val="游ゴシック"/>
        <family val="0"/>
        <charset val="1"/>
      </rPr>
      <t xml:space="preserve">2026</t>
    </r>
    <r>
      <rPr>
        <b val="true"/>
        <sz val="9"/>
        <color rgb="FFFFFFFF"/>
        <rFont val="游ゴシック"/>
        <family val="2"/>
      </rPr>
      <t xml:space="preserve">年</t>
    </r>
    <r>
      <rPr>
        <b val="true"/>
        <sz val="9"/>
        <color rgb="FFFFFFFF"/>
        <rFont val="游ゴシック"/>
        <family val="0"/>
        <charset val="1"/>
      </rPr>
      <t xml:space="preserve">2</t>
    </r>
    <r>
      <rPr>
        <b val="true"/>
        <sz val="9"/>
        <color rgb="FFFFFFFF"/>
        <rFont val="游ゴシック"/>
        <family val="2"/>
      </rPr>
      <t xml:space="preserve">月</t>
    </r>
  </si>
  <si>
    <r>
      <rPr>
        <b val="true"/>
        <sz val="9"/>
        <color rgb="FFFFFFFF"/>
        <rFont val="游ゴシック"/>
        <family val="0"/>
        <charset val="1"/>
      </rPr>
      <t xml:space="preserve">2026</t>
    </r>
    <r>
      <rPr>
        <b val="true"/>
        <sz val="9"/>
        <color rgb="FFFFFFFF"/>
        <rFont val="游ゴシック"/>
        <family val="2"/>
      </rPr>
      <t xml:space="preserve">年</t>
    </r>
    <r>
      <rPr>
        <b val="true"/>
        <sz val="9"/>
        <color rgb="FFFFFFFF"/>
        <rFont val="游ゴシック"/>
        <family val="0"/>
        <charset val="1"/>
      </rPr>
      <t xml:space="preserve">3</t>
    </r>
    <r>
      <rPr>
        <b val="true"/>
        <sz val="9"/>
        <color rgb="FFFFFFFF"/>
        <rFont val="游ゴシック"/>
        <family val="2"/>
      </rPr>
      <t xml:space="preserve">月</t>
    </r>
  </si>
  <si>
    <r>
      <rPr>
        <b val="true"/>
        <sz val="9"/>
        <color rgb="FFFFFFFF"/>
        <rFont val="游ゴシック"/>
        <family val="0"/>
        <charset val="1"/>
      </rPr>
      <t xml:space="preserve">2026</t>
    </r>
    <r>
      <rPr>
        <b val="true"/>
        <sz val="9"/>
        <color rgb="FFFFFFFF"/>
        <rFont val="游ゴシック"/>
        <family val="2"/>
      </rPr>
      <t xml:space="preserve">年</t>
    </r>
    <r>
      <rPr>
        <b val="true"/>
        <sz val="9"/>
        <color rgb="FFFFFFFF"/>
        <rFont val="游ゴシック"/>
        <family val="0"/>
        <charset val="1"/>
      </rPr>
      <t xml:space="preserve">4</t>
    </r>
    <r>
      <rPr>
        <b val="true"/>
        <sz val="9"/>
        <color rgb="FFFFFFFF"/>
        <rFont val="游ゴシック"/>
        <family val="2"/>
      </rPr>
      <t xml:space="preserve">月</t>
    </r>
  </si>
  <si>
    <r>
      <rPr>
        <b val="true"/>
        <sz val="9"/>
        <color rgb="FFFFFFFF"/>
        <rFont val="游ゴシック"/>
        <family val="0"/>
        <charset val="1"/>
      </rPr>
      <t xml:space="preserve">2026</t>
    </r>
    <r>
      <rPr>
        <b val="true"/>
        <sz val="9"/>
        <color rgb="FFFFFFFF"/>
        <rFont val="游ゴシック"/>
        <family val="2"/>
      </rPr>
      <t xml:space="preserve">年</t>
    </r>
    <r>
      <rPr>
        <b val="true"/>
        <sz val="9"/>
        <color rgb="FFFFFFFF"/>
        <rFont val="游ゴシック"/>
        <family val="0"/>
        <charset val="1"/>
      </rPr>
      <t xml:space="preserve">5</t>
    </r>
    <r>
      <rPr>
        <b val="true"/>
        <sz val="9"/>
        <color rgb="FFFFFFFF"/>
        <rFont val="游ゴシック"/>
        <family val="2"/>
      </rPr>
      <t xml:space="preserve">月</t>
    </r>
  </si>
  <si>
    <r>
      <rPr>
        <b val="true"/>
        <sz val="9"/>
        <color rgb="FFFFFFFF"/>
        <rFont val="游ゴシック"/>
        <family val="0"/>
        <charset val="1"/>
      </rPr>
      <t xml:space="preserve">2026</t>
    </r>
    <r>
      <rPr>
        <b val="true"/>
        <sz val="9"/>
        <color rgb="FFFFFFFF"/>
        <rFont val="游ゴシック"/>
        <family val="2"/>
      </rPr>
      <t xml:space="preserve">年</t>
    </r>
    <r>
      <rPr>
        <b val="true"/>
        <sz val="9"/>
        <color rgb="FFFFFFFF"/>
        <rFont val="游ゴシック"/>
        <family val="0"/>
        <charset val="1"/>
      </rPr>
      <t xml:space="preserve">6</t>
    </r>
    <r>
      <rPr>
        <b val="true"/>
        <sz val="9"/>
        <color rgb="FFFFFFFF"/>
        <rFont val="游ゴシック"/>
        <family val="2"/>
      </rPr>
      <t xml:space="preserve">月</t>
    </r>
  </si>
  <si>
    <r>
      <rPr>
        <b val="true"/>
        <sz val="9"/>
        <color rgb="FFFFFFFF"/>
        <rFont val="游ゴシック"/>
        <family val="0"/>
        <charset val="1"/>
      </rPr>
      <t xml:space="preserve">7</t>
    </r>
    <r>
      <rPr>
        <b val="true"/>
        <sz val="9"/>
        <color rgb="FFFFFFFF"/>
        <rFont val="游ゴシック"/>
        <family val="2"/>
      </rPr>
      <t xml:space="preserve">か月累計</t>
    </r>
  </si>
  <si>
    <t xml:space="preserve">前年同期比</t>
  </si>
  <si>
    <t xml:space="preserve">　従業員給与</t>
  </si>
  <si>
    <t xml:space="preserve">　役員報酬</t>
  </si>
  <si>
    <t xml:space="preserve">　法定福利費</t>
  </si>
  <si>
    <t xml:space="preserve">　広告宣伝費</t>
  </si>
  <si>
    <t xml:space="preserve">　ロイヤリティ</t>
  </si>
  <si>
    <t xml:space="preserve">　地代家賃</t>
  </si>
  <si>
    <t xml:space="preserve">　租税公課</t>
  </si>
  <si>
    <t xml:space="preserve">特別損失（棚卸資産廃棄損）</t>
  </si>
  <si>
    <t xml:space="preserve">当期純利益</t>
  </si>
  <si>
    <r>
      <rPr>
        <b val="true"/>
        <sz val="10"/>
        <color rgb="FF0B3041"/>
        <rFont val="游ゴシック"/>
        <family val="2"/>
      </rPr>
      <t xml:space="preserve">【月末の主要</t>
    </r>
    <r>
      <rPr>
        <b val="true"/>
        <sz val="10"/>
        <color rgb="FF0B3041"/>
        <rFont val="游ゴシック"/>
        <family val="2"/>
        <charset val="1"/>
      </rPr>
      <t xml:space="preserve">B/S</t>
    </r>
    <r>
      <rPr>
        <b val="true"/>
        <sz val="10"/>
        <color rgb="FF0B3041"/>
        <rFont val="游ゴシック"/>
        <family val="2"/>
      </rPr>
      <t xml:space="preserve">科目】</t>
    </r>
  </si>
  <si>
    <r>
      <rPr>
        <b val="true"/>
        <sz val="9"/>
        <color rgb="FFFFFFFF"/>
        <rFont val="游ゴシック"/>
        <family val="0"/>
        <charset val="1"/>
      </rPr>
      <t xml:space="preserve">2025</t>
    </r>
    <r>
      <rPr>
        <b val="true"/>
        <sz val="9"/>
        <color rgb="FFFFFFFF"/>
        <rFont val="游ゴシック"/>
        <family val="2"/>
      </rPr>
      <t xml:space="preserve">年</t>
    </r>
    <r>
      <rPr>
        <b val="true"/>
        <sz val="9"/>
        <color rgb="FFFFFFFF"/>
        <rFont val="游ゴシック"/>
        <family val="0"/>
        <charset val="1"/>
      </rPr>
      <t xml:space="preserve">11</t>
    </r>
    <r>
      <rPr>
        <b val="true"/>
        <sz val="9"/>
        <color rgb="FFFFFFFF"/>
        <rFont val="游ゴシック"/>
        <family val="2"/>
      </rPr>
      <t xml:space="preserve">月末（決算）</t>
    </r>
  </si>
  <si>
    <r>
      <rPr>
        <b val="true"/>
        <sz val="9"/>
        <color rgb="FFFFFFFF"/>
        <rFont val="游ゴシック"/>
        <family val="0"/>
        <charset val="1"/>
      </rPr>
      <t xml:space="preserve">2025</t>
    </r>
    <r>
      <rPr>
        <b val="true"/>
        <sz val="9"/>
        <color rgb="FFFFFFFF"/>
        <rFont val="游ゴシック"/>
        <family val="2"/>
      </rPr>
      <t xml:space="preserve">年</t>
    </r>
    <r>
      <rPr>
        <b val="true"/>
        <sz val="9"/>
        <color rgb="FFFFFFFF"/>
        <rFont val="游ゴシック"/>
        <family val="0"/>
        <charset val="1"/>
      </rPr>
      <t xml:space="preserve">12</t>
    </r>
    <r>
      <rPr>
        <b val="true"/>
        <sz val="9"/>
        <color rgb="FFFFFFFF"/>
        <rFont val="游ゴシック"/>
        <family val="2"/>
      </rPr>
      <t xml:space="preserve">月末</t>
    </r>
  </si>
  <si>
    <r>
      <rPr>
        <b val="true"/>
        <sz val="9"/>
        <color rgb="FFFFFFFF"/>
        <rFont val="游ゴシック"/>
        <family val="0"/>
        <charset val="1"/>
      </rPr>
      <t xml:space="preserve">2026</t>
    </r>
    <r>
      <rPr>
        <b val="true"/>
        <sz val="9"/>
        <color rgb="FFFFFFFF"/>
        <rFont val="游ゴシック"/>
        <family val="2"/>
      </rPr>
      <t xml:space="preserve">年</t>
    </r>
    <r>
      <rPr>
        <b val="true"/>
        <sz val="9"/>
        <color rgb="FFFFFFFF"/>
        <rFont val="游ゴシック"/>
        <family val="0"/>
        <charset val="1"/>
      </rPr>
      <t xml:space="preserve">1</t>
    </r>
    <r>
      <rPr>
        <b val="true"/>
        <sz val="9"/>
        <color rgb="FFFFFFFF"/>
        <rFont val="游ゴシック"/>
        <family val="2"/>
      </rPr>
      <t xml:space="preserve">月末</t>
    </r>
  </si>
  <si>
    <r>
      <rPr>
        <b val="true"/>
        <sz val="9"/>
        <color rgb="FFFFFFFF"/>
        <rFont val="游ゴシック"/>
        <family val="0"/>
        <charset val="1"/>
      </rPr>
      <t xml:space="preserve">2026</t>
    </r>
    <r>
      <rPr>
        <b val="true"/>
        <sz val="9"/>
        <color rgb="FFFFFFFF"/>
        <rFont val="游ゴシック"/>
        <family val="2"/>
      </rPr>
      <t xml:space="preserve">年</t>
    </r>
    <r>
      <rPr>
        <b val="true"/>
        <sz val="9"/>
        <color rgb="FFFFFFFF"/>
        <rFont val="游ゴシック"/>
        <family val="0"/>
        <charset val="1"/>
      </rPr>
      <t xml:space="preserve">2</t>
    </r>
    <r>
      <rPr>
        <b val="true"/>
        <sz val="9"/>
        <color rgb="FFFFFFFF"/>
        <rFont val="游ゴシック"/>
        <family val="2"/>
      </rPr>
      <t xml:space="preserve">月末</t>
    </r>
  </si>
  <si>
    <r>
      <rPr>
        <b val="true"/>
        <sz val="9"/>
        <color rgb="FFFFFFFF"/>
        <rFont val="游ゴシック"/>
        <family val="0"/>
        <charset val="1"/>
      </rPr>
      <t xml:space="preserve">2026</t>
    </r>
    <r>
      <rPr>
        <b val="true"/>
        <sz val="9"/>
        <color rgb="FFFFFFFF"/>
        <rFont val="游ゴシック"/>
        <family val="2"/>
      </rPr>
      <t xml:space="preserve">年</t>
    </r>
    <r>
      <rPr>
        <b val="true"/>
        <sz val="9"/>
        <color rgb="FFFFFFFF"/>
        <rFont val="游ゴシック"/>
        <family val="0"/>
        <charset val="1"/>
      </rPr>
      <t xml:space="preserve">3</t>
    </r>
    <r>
      <rPr>
        <b val="true"/>
        <sz val="9"/>
        <color rgb="FFFFFFFF"/>
        <rFont val="游ゴシック"/>
        <family val="2"/>
      </rPr>
      <t xml:space="preserve">月末</t>
    </r>
  </si>
  <si>
    <r>
      <rPr>
        <b val="true"/>
        <sz val="9"/>
        <color rgb="FFFFFFFF"/>
        <rFont val="游ゴシック"/>
        <family val="0"/>
        <charset val="1"/>
      </rPr>
      <t xml:space="preserve">2026</t>
    </r>
    <r>
      <rPr>
        <b val="true"/>
        <sz val="9"/>
        <color rgb="FFFFFFFF"/>
        <rFont val="游ゴシック"/>
        <family val="2"/>
      </rPr>
      <t xml:space="preserve">年</t>
    </r>
    <r>
      <rPr>
        <b val="true"/>
        <sz val="9"/>
        <color rgb="FFFFFFFF"/>
        <rFont val="游ゴシック"/>
        <family val="0"/>
        <charset val="1"/>
      </rPr>
      <t xml:space="preserve">4</t>
    </r>
    <r>
      <rPr>
        <b val="true"/>
        <sz val="9"/>
        <color rgb="FFFFFFFF"/>
        <rFont val="游ゴシック"/>
        <family val="2"/>
      </rPr>
      <t xml:space="preserve">月末</t>
    </r>
  </si>
  <si>
    <r>
      <rPr>
        <b val="true"/>
        <sz val="9"/>
        <color rgb="FFFFFFFF"/>
        <rFont val="游ゴシック"/>
        <family val="0"/>
        <charset val="1"/>
      </rPr>
      <t xml:space="preserve">2026</t>
    </r>
    <r>
      <rPr>
        <b val="true"/>
        <sz val="9"/>
        <color rgb="FFFFFFFF"/>
        <rFont val="游ゴシック"/>
        <family val="2"/>
      </rPr>
      <t xml:space="preserve">年</t>
    </r>
    <r>
      <rPr>
        <b val="true"/>
        <sz val="9"/>
        <color rgb="FFFFFFFF"/>
        <rFont val="游ゴシック"/>
        <family val="0"/>
        <charset val="1"/>
      </rPr>
      <t xml:space="preserve">5</t>
    </r>
    <r>
      <rPr>
        <b val="true"/>
        <sz val="9"/>
        <color rgb="FFFFFFFF"/>
        <rFont val="游ゴシック"/>
        <family val="2"/>
      </rPr>
      <t xml:space="preserve">月末</t>
    </r>
  </si>
  <si>
    <r>
      <rPr>
        <b val="true"/>
        <sz val="9"/>
        <color rgb="FFFFFFFF"/>
        <rFont val="游ゴシック"/>
        <family val="0"/>
        <charset val="1"/>
      </rPr>
      <t xml:space="preserve">2026</t>
    </r>
    <r>
      <rPr>
        <b val="true"/>
        <sz val="9"/>
        <color rgb="FFFFFFFF"/>
        <rFont val="游ゴシック"/>
        <family val="2"/>
      </rPr>
      <t xml:space="preserve">年</t>
    </r>
    <r>
      <rPr>
        <b val="true"/>
        <sz val="9"/>
        <color rgb="FFFFFFFF"/>
        <rFont val="游ゴシック"/>
        <family val="0"/>
        <charset val="1"/>
      </rPr>
      <t xml:space="preserve">6</t>
    </r>
    <r>
      <rPr>
        <b val="true"/>
        <sz val="9"/>
        <color rgb="FFFFFFFF"/>
        <rFont val="游ゴシック"/>
        <family val="2"/>
      </rPr>
      <t xml:space="preserve">月末</t>
    </r>
  </si>
  <si>
    <t xml:space="preserve">現預金</t>
  </si>
  <si>
    <t xml:space="preserve">有形固定資産</t>
  </si>
  <si>
    <r>
      <rPr>
        <sz val="9"/>
        <rFont val="游ゴシック"/>
        <family val="2"/>
      </rPr>
      <t xml:space="preserve">※出所：勘定科目残高推移表 </t>
    </r>
    <r>
      <rPr>
        <sz val="9"/>
        <rFont val="游ゴシック"/>
        <family val="2"/>
        <charset val="1"/>
      </rPr>
      <t xml:space="preserve">2025</t>
    </r>
    <r>
      <rPr>
        <sz val="9"/>
        <rFont val="游ゴシック"/>
        <family val="2"/>
      </rPr>
      <t xml:space="preserve">年</t>
    </r>
    <r>
      <rPr>
        <sz val="9"/>
        <rFont val="游ゴシック"/>
        <family val="2"/>
        <charset val="1"/>
      </rPr>
      <t xml:space="preserve">12</t>
    </r>
    <r>
      <rPr>
        <sz val="9"/>
        <rFont val="游ゴシック"/>
        <family val="2"/>
      </rPr>
      <t xml:space="preserve">月〜</t>
    </r>
    <r>
      <rPr>
        <sz val="9"/>
        <rFont val="游ゴシック"/>
        <family val="2"/>
        <charset val="1"/>
      </rPr>
      <t xml:space="preserve">2026</t>
    </r>
    <r>
      <rPr>
        <sz val="9"/>
        <rFont val="游ゴシック"/>
        <family val="2"/>
      </rPr>
      <t xml:space="preserve">年</t>
    </r>
    <r>
      <rPr>
        <sz val="9"/>
        <rFont val="游ゴシック"/>
        <family val="2"/>
        <charset val="1"/>
      </rPr>
      <t xml:space="preserve">6</t>
    </r>
    <r>
      <rPr>
        <sz val="9"/>
        <rFont val="游ゴシック"/>
        <family val="2"/>
      </rPr>
      <t xml:space="preserve">月（</t>
    </r>
    <r>
      <rPr>
        <sz val="9"/>
        <rFont val="游ゴシック"/>
        <family val="2"/>
        <charset val="1"/>
      </rPr>
      <t xml:space="preserve">2026</t>
    </r>
    <r>
      <rPr>
        <sz val="9"/>
        <rFont val="游ゴシック"/>
        <family val="2"/>
      </rPr>
      <t xml:space="preserve">年</t>
    </r>
    <r>
      <rPr>
        <sz val="9"/>
        <rFont val="游ゴシック"/>
        <family val="2"/>
        <charset val="1"/>
      </rPr>
      <t xml:space="preserve">9</t>
    </r>
    <r>
      <rPr>
        <sz val="9"/>
        <rFont val="游ゴシック"/>
        <family val="2"/>
      </rPr>
      <t xml:space="preserve">月</t>
    </r>
    <r>
      <rPr>
        <sz val="9"/>
        <rFont val="游ゴシック"/>
        <family val="2"/>
        <charset val="1"/>
      </rPr>
      <t xml:space="preserve">18</t>
    </r>
    <r>
      <rPr>
        <sz val="9"/>
        <rFont val="游ゴシック"/>
        <family val="2"/>
      </rPr>
      <t xml:space="preserve">日出力）。「</t>
    </r>
    <r>
      <rPr>
        <sz val="9"/>
        <rFont val="游ゴシック"/>
        <family val="2"/>
        <charset val="1"/>
      </rPr>
      <t xml:space="preserve">2025</t>
    </r>
    <r>
      <rPr>
        <sz val="9"/>
        <rFont val="游ゴシック"/>
        <family val="2"/>
      </rPr>
      <t xml:space="preserve">年</t>
    </r>
    <r>
      <rPr>
        <sz val="9"/>
        <rFont val="游ゴシック"/>
        <family val="2"/>
        <charset val="1"/>
      </rPr>
      <t xml:space="preserve">11</t>
    </r>
    <r>
      <rPr>
        <sz val="9"/>
        <rFont val="游ゴシック"/>
        <family val="2"/>
      </rPr>
      <t xml:space="preserve">月末（決算）」列のみ第</t>
    </r>
    <r>
      <rPr>
        <sz val="9"/>
        <rFont val="游ゴシック"/>
        <family val="2"/>
        <charset val="1"/>
      </rPr>
      <t xml:space="preserve">5</t>
    </r>
    <r>
      <rPr>
        <sz val="9"/>
        <rFont val="游ゴシック"/>
        <family val="2"/>
      </rPr>
      <t xml:space="preserve">期決算報告書。
※</t>
    </r>
    <r>
      <rPr>
        <sz val="9"/>
        <rFont val="游ゴシック"/>
        <family val="2"/>
        <charset val="1"/>
      </rPr>
      <t xml:space="preserve">2026</t>
    </r>
    <r>
      <rPr>
        <sz val="9"/>
        <rFont val="游ゴシック"/>
        <family val="2"/>
      </rPr>
      <t xml:space="preserve">年</t>
    </r>
    <r>
      <rPr>
        <sz val="9"/>
        <rFont val="游ゴシック"/>
        <family val="2"/>
        <charset val="1"/>
      </rPr>
      <t xml:space="preserve">6</t>
    </r>
    <r>
      <rPr>
        <sz val="9"/>
        <rFont val="游ゴシック"/>
        <family val="2"/>
      </rPr>
      <t xml:space="preserve">月</t>
    </r>
    <r>
      <rPr>
        <sz val="9"/>
        <rFont val="游ゴシック"/>
        <family val="2"/>
        <charset val="1"/>
      </rPr>
      <t xml:space="preserve">26</t>
    </r>
    <r>
      <rPr>
        <sz val="9"/>
        <rFont val="游ゴシック"/>
        <family val="2"/>
      </rPr>
      <t xml:space="preserve">日出力の旧試算表（</t>
    </r>
    <r>
      <rPr>
        <sz val="9"/>
        <rFont val="游ゴシック"/>
        <family val="2"/>
        <charset val="1"/>
      </rPr>
      <t xml:space="preserve">2026</t>
    </r>
    <r>
      <rPr>
        <sz val="9"/>
        <rFont val="游ゴシック"/>
        <family val="2"/>
      </rPr>
      <t xml:space="preserve">年</t>
    </r>
    <r>
      <rPr>
        <sz val="9"/>
        <rFont val="游ゴシック"/>
        <family val="2"/>
        <charset val="1"/>
      </rPr>
      <t xml:space="preserve">4</t>
    </r>
    <r>
      <rPr>
        <sz val="9"/>
        <rFont val="游ゴシック"/>
        <family val="2"/>
      </rPr>
      <t xml:space="preserve">月まで）から、</t>
    </r>
    <r>
      <rPr>
        <sz val="9"/>
        <rFont val="游ゴシック"/>
        <family val="2"/>
        <charset val="1"/>
      </rPr>
      <t xml:space="preserve">2026</t>
    </r>
    <r>
      <rPr>
        <sz val="9"/>
        <rFont val="游ゴシック"/>
        <family val="2"/>
      </rPr>
      <t xml:space="preserve">年</t>
    </r>
    <r>
      <rPr>
        <sz val="9"/>
        <rFont val="游ゴシック"/>
        <family val="2"/>
        <charset val="1"/>
      </rPr>
      <t xml:space="preserve">1</t>
    </r>
    <r>
      <rPr>
        <sz val="9"/>
        <rFont val="游ゴシック"/>
        <family val="2"/>
      </rPr>
      <t xml:space="preserve">月〜</t>
    </r>
    <r>
      <rPr>
        <sz val="9"/>
        <rFont val="游ゴシック"/>
        <family val="2"/>
        <charset val="1"/>
      </rPr>
      <t xml:space="preserve">4</t>
    </r>
    <r>
      <rPr>
        <sz val="9"/>
        <rFont val="游ゴシック"/>
        <family val="2"/>
      </rPr>
      <t xml:space="preserve">月の月次が一部修正されている（販管費・営業外費用・役員借入金等）。本シートは新試算表を正としている。
※進行期の月次には減価償却費が計上されていない（販管費に「減価償却費」の科目が立っていない）。</t>
    </r>
    <r>
      <rPr>
        <sz val="9"/>
        <rFont val="游ゴシック"/>
        <family val="2"/>
        <charset val="1"/>
      </rPr>
      <t xml:space="preserve">2025</t>
    </r>
    <r>
      <rPr>
        <sz val="9"/>
        <rFont val="游ゴシック"/>
        <family val="2"/>
      </rPr>
      <t xml:space="preserve">年</t>
    </r>
    <r>
      <rPr>
        <sz val="9"/>
        <rFont val="游ゴシック"/>
        <family val="2"/>
        <charset val="1"/>
      </rPr>
      <t xml:space="preserve">11</t>
    </r>
    <r>
      <rPr>
        <sz val="9"/>
        <rFont val="游ゴシック"/>
        <family val="2"/>
      </rPr>
      <t xml:space="preserve">月期の通期実績は</t>
    </r>
    <r>
      <rPr>
        <sz val="9"/>
        <rFont val="游ゴシック"/>
        <family val="2"/>
        <charset val="1"/>
      </rPr>
      <t xml:space="preserve">6,349</t>
    </r>
    <r>
      <rPr>
        <sz val="9"/>
        <rFont val="游ゴシック"/>
        <family val="2"/>
      </rPr>
      <t xml:space="preserve">千円であり、通期ではその分だけ営業利益が減少する見込み（要確認）。
※法定福利費は</t>
    </r>
    <r>
      <rPr>
        <sz val="9"/>
        <rFont val="游ゴシック"/>
        <family val="2"/>
        <charset val="1"/>
      </rPr>
      <t xml:space="preserve">2025</t>
    </r>
    <r>
      <rPr>
        <sz val="9"/>
        <rFont val="游ゴシック"/>
        <family val="2"/>
      </rPr>
      <t xml:space="preserve">年</t>
    </r>
    <r>
      <rPr>
        <sz val="9"/>
        <rFont val="游ゴシック"/>
        <family val="2"/>
        <charset val="1"/>
      </rPr>
      <t xml:space="preserve">12</t>
    </r>
    <r>
      <rPr>
        <sz val="9"/>
        <rFont val="游ゴシック"/>
        <family val="2"/>
      </rPr>
      <t xml:space="preserve">月・</t>
    </r>
    <r>
      <rPr>
        <sz val="9"/>
        <rFont val="游ゴシック"/>
        <family val="2"/>
        <charset val="1"/>
      </rPr>
      <t xml:space="preserve">2026</t>
    </r>
    <r>
      <rPr>
        <sz val="9"/>
        <rFont val="游ゴシック"/>
        <family val="2"/>
      </rPr>
      <t xml:space="preserve">年</t>
    </r>
    <r>
      <rPr>
        <sz val="9"/>
        <rFont val="游ゴシック"/>
        <family val="2"/>
        <charset val="1"/>
      </rPr>
      <t xml:space="preserve">1</t>
    </r>
    <r>
      <rPr>
        <sz val="9"/>
        <rFont val="游ゴシック"/>
        <family val="2"/>
      </rPr>
      <t xml:space="preserve">月がマイナス計上となっており、年末調整・社会保険料の精算処理の影響と推察（仮説・要確認）。</t>
    </r>
    <r>
      <rPr>
        <sz val="9"/>
        <rFont val="游ゴシック"/>
        <family val="2"/>
        <charset val="1"/>
      </rPr>
      <t xml:space="preserve">7</t>
    </r>
    <r>
      <rPr>
        <sz val="9"/>
        <rFont val="游ゴシック"/>
        <family val="2"/>
      </rPr>
      <t xml:space="preserve">か月累計</t>
    </r>
    <r>
      <rPr>
        <sz val="9"/>
        <rFont val="游ゴシック"/>
        <family val="2"/>
        <charset val="1"/>
      </rPr>
      <t xml:space="preserve">2,779</t>
    </r>
    <r>
      <rPr>
        <sz val="9"/>
        <rFont val="游ゴシック"/>
        <family val="2"/>
      </rPr>
      <t xml:space="preserve">千円は</t>
    </r>
    <r>
      <rPr>
        <sz val="9"/>
        <rFont val="游ゴシック"/>
        <family val="2"/>
        <charset val="1"/>
      </rPr>
      <t xml:space="preserve">2025</t>
    </r>
    <r>
      <rPr>
        <sz val="9"/>
        <rFont val="游ゴシック"/>
        <family val="2"/>
      </rPr>
      <t xml:space="preserve">年</t>
    </r>
    <r>
      <rPr>
        <sz val="9"/>
        <rFont val="游ゴシック"/>
        <family val="2"/>
        <charset val="1"/>
      </rPr>
      <t xml:space="preserve">11</t>
    </r>
    <r>
      <rPr>
        <sz val="9"/>
        <rFont val="游ゴシック"/>
        <family val="2"/>
      </rPr>
      <t xml:space="preserve">月期の通期</t>
    </r>
    <r>
      <rPr>
        <sz val="9"/>
        <rFont val="游ゴシック"/>
        <family val="2"/>
        <charset val="1"/>
      </rPr>
      <t xml:space="preserve">15,295</t>
    </r>
    <r>
      <rPr>
        <sz val="9"/>
        <rFont val="游ゴシック"/>
        <family val="2"/>
      </rPr>
      <t xml:space="preserve">千円に比して低く、期中の未計上分が下期に乗る可能性がある。
※</t>
    </r>
    <r>
      <rPr>
        <sz val="9"/>
        <rFont val="游ゴシック"/>
        <family val="2"/>
        <charset val="1"/>
      </rPr>
      <t xml:space="preserve">2026</t>
    </r>
    <r>
      <rPr>
        <sz val="9"/>
        <rFont val="游ゴシック"/>
        <family val="2"/>
      </rPr>
      <t xml:space="preserve">年</t>
    </r>
    <r>
      <rPr>
        <sz val="9"/>
        <rFont val="游ゴシック"/>
        <family val="2"/>
        <charset val="1"/>
      </rPr>
      <t xml:space="preserve">5</t>
    </r>
    <r>
      <rPr>
        <sz val="9"/>
        <rFont val="游ゴシック"/>
        <family val="2"/>
      </rPr>
      <t xml:space="preserve">月の租税公課</t>
    </r>
    <r>
      <rPr>
        <sz val="9"/>
        <rFont val="游ゴシック"/>
        <family val="2"/>
        <charset val="1"/>
      </rPr>
      <t xml:space="preserve">4,969</t>
    </r>
    <r>
      <rPr>
        <sz val="9"/>
        <rFont val="游ゴシック"/>
        <family val="2"/>
      </rPr>
      <t xml:space="preserve">千円は、自動車税・固定資産税等の年次課税と推察（仮説）。同月の営業損失の主因。
※</t>
    </r>
    <r>
      <rPr>
        <sz val="9"/>
        <rFont val="游ゴシック"/>
        <family val="2"/>
        <charset val="1"/>
      </rPr>
      <t xml:space="preserve">2026</t>
    </r>
    <r>
      <rPr>
        <sz val="9"/>
        <rFont val="游ゴシック"/>
        <family val="2"/>
      </rPr>
      <t xml:space="preserve">年</t>
    </r>
    <r>
      <rPr>
        <sz val="9"/>
        <rFont val="游ゴシック"/>
        <family val="2"/>
        <charset val="1"/>
      </rPr>
      <t xml:space="preserve">3</t>
    </r>
    <r>
      <rPr>
        <sz val="9"/>
        <rFont val="游ゴシック"/>
        <family val="2"/>
      </rPr>
      <t xml:space="preserve">月に棚卸資産廃棄損</t>
    </r>
    <r>
      <rPr>
        <sz val="9"/>
        <rFont val="游ゴシック"/>
        <family val="2"/>
        <charset val="1"/>
      </rPr>
      <t xml:space="preserve">44,000</t>
    </r>
    <r>
      <rPr>
        <sz val="9"/>
        <rFont val="游ゴシック"/>
        <family val="2"/>
      </rPr>
      <t xml:space="preserve">千円を計上（他勘定振替高△</t>
    </r>
    <r>
      <rPr>
        <sz val="9"/>
        <rFont val="游ゴシック"/>
        <family val="2"/>
        <charset val="1"/>
      </rPr>
      <t xml:space="preserve">44,000</t>
    </r>
    <r>
      <rPr>
        <sz val="9"/>
        <rFont val="游ゴシック"/>
        <family val="2"/>
      </rPr>
      <t xml:space="preserve">千円）。棚卸表の「本社</t>
    </r>
    <r>
      <rPr>
        <sz val="9"/>
        <rFont val="游ゴシック"/>
        <family val="2"/>
        <charset val="1"/>
      </rPr>
      <t xml:space="preserve">32,000</t>
    </r>
    <r>
      <rPr>
        <sz val="9"/>
        <rFont val="游ゴシック"/>
        <family val="2"/>
      </rPr>
      <t xml:space="preserve">千円＋バックヤード</t>
    </r>
    <r>
      <rPr>
        <sz val="9"/>
        <rFont val="游ゴシック"/>
        <family val="2"/>
        <charset val="1"/>
      </rPr>
      <t xml:space="preserve">12,000</t>
    </r>
    <r>
      <rPr>
        <sz val="9"/>
        <rFont val="游ゴシック"/>
        <family val="2"/>
      </rPr>
      <t xml:space="preserve">千円」に一致する（棚卸明細シート参照）。
※長期借入金は月次では期首残高のまま据え置かれており、返済額は決算時に一括計上されていると推察（要確認）。</t>
    </r>
  </si>
  <si>
    <r>
      <rPr>
        <sz val="12"/>
        <color theme="0"/>
        <rFont val="游ゴシック"/>
        <family val="3"/>
        <charset val="128"/>
      </rPr>
      <t xml:space="preserve">2023</t>
    </r>
    <r>
      <rPr>
        <sz val="12"/>
        <color theme="0"/>
        <rFont val="游ゴシック"/>
        <family val="2"/>
      </rPr>
      <t xml:space="preserve">年</t>
    </r>
    <r>
      <rPr>
        <sz val="12"/>
        <color theme="0"/>
        <rFont val="游ゴシック"/>
        <family val="3"/>
        <charset val="128"/>
      </rPr>
      <t xml:space="preserve">11</t>
    </r>
    <r>
      <rPr>
        <sz val="12"/>
        <color theme="0"/>
        <rFont val="游ゴシック"/>
        <family val="2"/>
      </rPr>
      <t xml:space="preserve">月期</t>
    </r>
  </si>
  <si>
    <r>
      <rPr>
        <sz val="12"/>
        <color theme="0"/>
        <rFont val="游ゴシック"/>
        <family val="3"/>
        <charset val="128"/>
      </rPr>
      <t xml:space="preserve">2024</t>
    </r>
    <r>
      <rPr>
        <sz val="12"/>
        <color theme="0"/>
        <rFont val="游ゴシック"/>
        <family val="2"/>
      </rPr>
      <t xml:space="preserve">年</t>
    </r>
    <r>
      <rPr>
        <sz val="12"/>
        <color theme="0"/>
        <rFont val="游ゴシック"/>
        <family val="3"/>
        <charset val="128"/>
      </rPr>
      <t xml:space="preserve">11</t>
    </r>
    <r>
      <rPr>
        <sz val="12"/>
        <color theme="0"/>
        <rFont val="游ゴシック"/>
        <family val="2"/>
      </rPr>
      <t xml:space="preserve">月期</t>
    </r>
  </si>
  <si>
    <r>
      <rPr>
        <sz val="12"/>
        <color theme="0"/>
        <rFont val="游ゴシック"/>
        <family val="3"/>
        <charset val="128"/>
      </rPr>
      <t xml:space="preserve">2025</t>
    </r>
    <r>
      <rPr>
        <sz val="12"/>
        <color theme="0"/>
        <rFont val="游ゴシック"/>
        <family val="2"/>
      </rPr>
      <t xml:space="preserve">年</t>
    </r>
    <r>
      <rPr>
        <sz val="12"/>
        <color theme="0"/>
        <rFont val="游ゴシック"/>
        <family val="3"/>
        <charset val="128"/>
      </rPr>
      <t xml:space="preserve">11</t>
    </r>
    <r>
      <rPr>
        <sz val="12"/>
        <color theme="0"/>
        <rFont val="游ゴシック"/>
        <family val="2"/>
      </rPr>
      <t xml:space="preserve">月期</t>
    </r>
  </si>
  <si>
    <r>
      <rPr>
        <sz val="12"/>
        <color theme="0"/>
        <rFont val="游ゴシック"/>
        <family val="2"/>
      </rPr>
      <t xml:space="preserve">進行期</t>
    </r>
    <r>
      <rPr>
        <sz val="12"/>
        <color theme="0"/>
        <rFont val="游ゴシック"/>
        <family val="2"/>
        <charset val="1"/>
      </rPr>
      <t xml:space="preserve">(7</t>
    </r>
    <r>
      <rPr>
        <sz val="12"/>
        <color theme="0"/>
        <rFont val="游ゴシック"/>
        <family val="2"/>
      </rPr>
      <t xml:space="preserve">か月</t>
    </r>
    <r>
      <rPr>
        <sz val="12"/>
        <color theme="0"/>
        <rFont val="游ゴシック"/>
        <family val="2"/>
        <charset val="1"/>
      </rPr>
      <t xml:space="preserve">TB)</t>
    </r>
  </si>
  <si>
    <t xml:space="preserve">前期比</t>
  </si>
  <si>
    <t xml:space="preserve">利益率</t>
  </si>
  <si>
    <t xml:space="preserve">調整項目 合計</t>
  </si>
  <si>
    <t xml:space="preserve">役員報酬（退任予定）＿淺野ゆう子氏</t>
  </si>
  <si>
    <t xml:space="preserve">役員報酬（派遣想定）＿後任代表者（現行と同水準）</t>
  </si>
  <si>
    <t xml:space="preserve">社会保険料</t>
  </si>
  <si>
    <t xml:space="preserve">支払保険料＿事業関連性の低い生命保険料</t>
  </si>
  <si>
    <r>
      <rPr>
        <sz val="12"/>
        <color theme="1"/>
        <rFont val="游ゴシック"/>
        <family val="2"/>
      </rPr>
      <t xml:space="preserve">接待交際費＿適正水準</t>
    </r>
    <r>
      <rPr>
        <sz val="12"/>
        <color theme="1"/>
        <rFont val="游ゴシック"/>
        <family val="2"/>
        <charset val="1"/>
      </rPr>
      <t xml:space="preserve">4,000</t>
    </r>
    <r>
      <rPr>
        <sz val="12"/>
        <color theme="1"/>
        <rFont val="游ゴシック"/>
        <family val="2"/>
      </rPr>
      <t xml:space="preserve">千円との差額</t>
    </r>
  </si>
  <si>
    <t xml:space="preserve">非経常的販管費＿非事業用車両リース料</t>
  </si>
  <si>
    <t xml:space="preserve">経常的営業外収益＿雑収入のうち社員割引</t>
  </si>
  <si>
    <t xml:space="preserve">現場責任者人件費の役員報酬への振替</t>
  </si>
  <si>
    <t xml:space="preserve">削減可能な会議費</t>
  </si>
  <si>
    <t xml:space="preserve">削減可能な雑費</t>
  </si>
  <si>
    <t xml:space="preserve">買取予定不動産の賃料</t>
  </si>
  <si>
    <r>
      <rPr>
        <b val="true"/>
        <sz val="12"/>
        <color theme="1"/>
        <rFont val="游ゴシック"/>
        <family val="2"/>
      </rPr>
      <t xml:space="preserve">調整後</t>
    </r>
    <r>
      <rPr>
        <b val="true"/>
        <sz val="12"/>
        <color theme="1"/>
        <rFont val="游ゴシック"/>
        <family val="2"/>
        <charset val="1"/>
      </rPr>
      <t xml:space="preserve">EBITDA</t>
    </r>
  </si>
  <si>
    <r>
      <rPr>
        <b val="true"/>
        <sz val="12"/>
        <color theme="1"/>
        <rFont val="游ゴシック"/>
        <family val="2"/>
      </rPr>
      <t xml:space="preserve">調整後</t>
    </r>
    <r>
      <rPr>
        <b val="true"/>
        <sz val="12"/>
        <color theme="1"/>
        <rFont val="游ゴシック"/>
        <family val="2"/>
        <charset val="1"/>
      </rPr>
      <t xml:space="preserve">EBITDA</t>
    </r>
    <r>
      <rPr>
        <b val="true"/>
        <sz val="12"/>
        <color theme="1"/>
        <rFont val="游ゴシック"/>
        <family val="2"/>
      </rPr>
      <t xml:space="preserve">（過去</t>
    </r>
    <r>
      <rPr>
        <b val="true"/>
        <sz val="12"/>
        <color theme="1"/>
        <rFont val="游ゴシック"/>
        <family val="2"/>
        <charset val="1"/>
      </rPr>
      <t xml:space="preserve">3</t>
    </r>
    <r>
      <rPr>
        <b val="true"/>
        <sz val="12"/>
        <color theme="1"/>
        <rFont val="游ゴシック"/>
        <family val="2"/>
      </rPr>
      <t xml:space="preserve">期平均）</t>
    </r>
  </si>
  <si>
    <r>
      <rPr>
        <b val="true"/>
        <sz val="12"/>
        <color theme="1"/>
        <rFont val="游ゴシック"/>
        <family val="2"/>
      </rPr>
      <t xml:space="preserve">調整後</t>
    </r>
    <r>
      <rPr>
        <b val="true"/>
        <sz val="12"/>
        <color theme="1"/>
        <rFont val="游ゴシック"/>
        <family val="2"/>
        <charset val="1"/>
      </rPr>
      <t xml:space="preserve">EBITDA</t>
    </r>
    <r>
      <rPr>
        <b val="true"/>
        <sz val="12"/>
        <color theme="1"/>
        <rFont val="游ゴシック"/>
        <family val="2"/>
      </rPr>
      <t xml:space="preserve">（直近</t>
    </r>
    <r>
      <rPr>
        <b val="true"/>
        <sz val="12"/>
        <color theme="1"/>
        <rFont val="游ゴシック"/>
        <family val="2"/>
        <charset val="1"/>
      </rPr>
      <t xml:space="preserve">2</t>
    </r>
    <r>
      <rPr>
        <b val="true"/>
        <sz val="12"/>
        <color theme="1"/>
        <rFont val="游ゴシック"/>
        <family val="2"/>
      </rPr>
      <t xml:space="preserve">期平均）</t>
    </r>
  </si>
  <si>
    <r>
      <rPr>
        <sz val="9"/>
        <rFont val="游ゴシック"/>
        <family val="2"/>
      </rPr>
      <t xml:space="preserve">【調整の考え方】</t>
    </r>
    <r>
      <rPr>
        <sz val="9"/>
        <rFont val="游ゴシック"/>
        <family val="2"/>
        <charset val="1"/>
      </rPr>
      <t xml:space="preserve">M&amp;A</t>
    </r>
    <r>
      <rPr>
        <sz val="9"/>
        <rFont val="游ゴシック"/>
        <family val="2"/>
      </rPr>
      <t xml:space="preserve">実行後に継続的に発生しない費用を戻し入れ、継続的に必要となる費用を控除。代表者（淺野ゆう子氏）は引継完了後に退任、現場責任者（淺野崇氏）が役員に就任し現行と同水準の役員報酬を受ける前提とした。進行期は月次で減価償却費が未計上のため調整後</t>
    </r>
    <r>
      <rPr>
        <sz val="9"/>
        <rFont val="游ゴシック"/>
        <family val="2"/>
        <charset val="1"/>
      </rPr>
      <t xml:space="preserve">EBITDA</t>
    </r>
    <r>
      <rPr>
        <sz val="9"/>
        <rFont val="游ゴシック"/>
        <family val="2"/>
      </rPr>
      <t xml:space="preserve">は算定していない（要確認）。</t>
    </r>
  </si>
  <si>
    <r>
      <rPr>
        <sz val="9"/>
        <rFont val="游ゴシック"/>
        <family val="2"/>
      </rPr>
      <t xml:space="preserve">進行期（</t>
    </r>
    <r>
      <rPr>
        <sz val="9"/>
        <rFont val="游ゴシック"/>
        <family val="2"/>
        <charset val="1"/>
      </rPr>
      <t xml:space="preserve">2026</t>
    </r>
    <r>
      <rPr>
        <sz val="9"/>
        <rFont val="游ゴシック"/>
        <family val="2"/>
      </rPr>
      <t xml:space="preserve">年</t>
    </r>
    <r>
      <rPr>
        <sz val="9"/>
        <rFont val="游ゴシック"/>
        <family val="2"/>
        <charset val="1"/>
      </rPr>
      <t xml:space="preserve">6</t>
    </r>
    <r>
      <rPr>
        <sz val="9"/>
        <rFont val="游ゴシック"/>
        <family val="2"/>
      </rPr>
      <t xml:space="preserve">月末</t>
    </r>
    <r>
      <rPr>
        <sz val="9"/>
        <rFont val="游ゴシック"/>
        <family val="2"/>
        <charset val="1"/>
      </rPr>
      <t xml:space="preserve">TB</t>
    </r>
    <r>
      <rPr>
        <sz val="9"/>
        <rFont val="游ゴシック"/>
        <family val="2"/>
      </rPr>
      <t xml:space="preserve">）</t>
    </r>
  </si>
  <si>
    <t xml:space="preserve">流動資産</t>
  </si>
  <si>
    <t xml:space="preserve">流動負債</t>
  </si>
  <si>
    <t xml:space="preserve">在庫</t>
  </si>
  <si>
    <t xml:space="preserve">その他</t>
  </si>
  <si>
    <t xml:space="preserve">固定資産</t>
  </si>
  <si>
    <t xml:space="preserve">固定負債</t>
  </si>
  <si>
    <t xml:space="preserve">建物附属設備</t>
  </si>
  <si>
    <t xml:space="preserve">利益剰余金</t>
  </si>
  <si>
    <r>
      <rPr>
        <sz val="9"/>
        <rFont val="游ゴシック"/>
        <family val="2"/>
      </rPr>
      <t xml:space="preserve">※進行期は</t>
    </r>
    <r>
      <rPr>
        <sz val="9"/>
        <rFont val="游ゴシック"/>
        <family val="2"/>
        <charset val="1"/>
      </rPr>
      <t xml:space="preserve">2026</t>
    </r>
    <r>
      <rPr>
        <sz val="9"/>
        <rFont val="游ゴシック"/>
        <family val="2"/>
      </rPr>
      <t xml:space="preserve">年</t>
    </r>
    <r>
      <rPr>
        <sz val="9"/>
        <rFont val="游ゴシック"/>
        <family val="2"/>
        <charset val="1"/>
      </rPr>
      <t xml:space="preserve">6</t>
    </r>
    <r>
      <rPr>
        <sz val="9"/>
        <rFont val="游ゴシック"/>
        <family val="2"/>
      </rPr>
      <t xml:space="preserve">月末（</t>
    </r>
    <r>
      <rPr>
        <sz val="9"/>
        <rFont val="游ゴシック"/>
        <family val="2"/>
        <charset val="1"/>
      </rPr>
      <t xml:space="preserve">7</t>
    </r>
    <r>
      <rPr>
        <sz val="9"/>
        <rFont val="游ゴシック"/>
        <family val="2"/>
      </rPr>
      <t xml:space="preserve">か月）の試算表ベース。決算整理（減価償却・棚卸評価等）は未了。</t>
    </r>
  </si>
  <si>
    <t xml:space="preserve">店舗別売上高（決算書「売上高等の事業所別内訳書」ベース）</t>
  </si>
  <si>
    <t xml:space="preserve">事業所名</t>
  </si>
  <si>
    <t xml:space="preserve">業態</t>
  </si>
  <si>
    <r>
      <rPr>
        <b val="true"/>
        <sz val="9"/>
        <color rgb="FFFFFFFF"/>
        <rFont val="游ゴシック"/>
        <family val="0"/>
        <charset val="1"/>
      </rPr>
      <t xml:space="preserve">2023</t>
    </r>
    <r>
      <rPr>
        <b val="true"/>
        <sz val="9"/>
        <color rgb="FFFFFFFF"/>
        <rFont val="游ゴシック"/>
        <family val="2"/>
      </rPr>
      <t xml:space="preserve">年</t>
    </r>
    <r>
      <rPr>
        <b val="true"/>
        <sz val="9"/>
        <color rgb="FFFFFFFF"/>
        <rFont val="游ゴシック"/>
        <family val="0"/>
        <charset val="1"/>
      </rPr>
      <t xml:space="preserve">11</t>
    </r>
    <r>
      <rPr>
        <b val="true"/>
        <sz val="9"/>
        <color rgb="FFFFFFFF"/>
        <rFont val="游ゴシック"/>
        <family val="2"/>
      </rPr>
      <t xml:space="preserve">月期</t>
    </r>
  </si>
  <si>
    <t xml:space="preserve">構成比</t>
  </si>
  <si>
    <r>
      <rPr>
        <b val="true"/>
        <sz val="9"/>
        <color rgb="FFFFFFFF"/>
        <rFont val="游ゴシック"/>
        <family val="0"/>
        <charset val="1"/>
      </rPr>
      <t xml:space="preserve">2024</t>
    </r>
    <r>
      <rPr>
        <b val="true"/>
        <sz val="9"/>
        <color rgb="FFFFFFFF"/>
        <rFont val="游ゴシック"/>
        <family val="2"/>
      </rPr>
      <t xml:space="preserve">年</t>
    </r>
    <r>
      <rPr>
        <b val="true"/>
        <sz val="9"/>
        <color rgb="FFFFFFFF"/>
        <rFont val="游ゴシック"/>
        <family val="0"/>
        <charset val="1"/>
      </rPr>
      <t xml:space="preserve">11</t>
    </r>
    <r>
      <rPr>
        <b val="true"/>
        <sz val="9"/>
        <color rgb="FFFFFFFF"/>
        <rFont val="游ゴシック"/>
        <family val="2"/>
      </rPr>
      <t xml:space="preserve">月期</t>
    </r>
  </si>
  <si>
    <r>
      <rPr>
        <b val="true"/>
        <sz val="9"/>
        <color rgb="FFFFFFFF"/>
        <rFont val="游ゴシック"/>
        <family val="0"/>
        <charset val="1"/>
      </rPr>
      <t xml:space="preserve">2025</t>
    </r>
    <r>
      <rPr>
        <b val="true"/>
        <sz val="9"/>
        <color rgb="FFFFFFFF"/>
        <rFont val="游ゴシック"/>
        <family val="2"/>
      </rPr>
      <t xml:space="preserve">年</t>
    </r>
    <r>
      <rPr>
        <b val="true"/>
        <sz val="9"/>
        <color rgb="FFFFFFFF"/>
        <rFont val="游ゴシック"/>
        <family val="0"/>
        <charset val="1"/>
      </rPr>
      <t xml:space="preserve">11</t>
    </r>
    <r>
      <rPr>
        <b val="true"/>
        <sz val="9"/>
        <color rgb="FFFFFFFF"/>
        <rFont val="游ゴシック"/>
        <family val="2"/>
      </rPr>
      <t xml:space="preserve">月期</t>
    </r>
  </si>
  <si>
    <r>
      <rPr>
        <b val="true"/>
        <sz val="9"/>
        <color rgb="FFFFFFFF"/>
        <rFont val="游ゴシック"/>
        <family val="2"/>
      </rPr>
      <t xml:space="preserve">進行期</t>
    </r>
    <r>
      <rPr>
        <b val="true"/>
        <sz val="9"/>
        <color rgb="FFFFFFFF"/>
        <rFont val="游ゴシック"/>
        <family val="2"/>
        <charset val="1"/>
      </rPr>
      <t xml:space="preserve">7</t>
    </r>
    <r>
      <rPr>
        <b val="true"/>
        <sz val="9"/>
        <color rgb="FFFFFFFF"/>
        <rFont val="游ゴシック"/>
        <family val="2"/>
      </rPr>
      <t xml:space="preserve">か月
</t>
    </r>
    <r>
      <rPr>
        <b val="true"/>
        <sz val="9"/>
        <color rgb="FFFFFFFF"/>
        <rFont val="游ゴシック"/>
        <family val="2"/>
        <charset val="1"/>
      </rPr>
      <t xml:space="preserve">(25/12</t>
    </r>
    <r>
      <rPr>
        <b val="true"/>
        <sz val="9"/>
        <color rgb="FFFFFFFF"/>
        <rFont val="游ゴシック"/>
        <family val="2"/>
      </rPr>
      <t xml:space="preserve">〜</t>
    </r>
    <r>
      <rPr>
        <b val="true"/>
        <sz val="9"/>
        <color rgb="FFFFFFFF"/>
        <rFont val="游ゴシック"/>
        <family val="2"/>
        <charset val="1"/>
      </rPr>
      <t xml:space="preserve">26/6)</t>
    </r>
  </si>
  <si>
    <r>
      <rPr>
        <b val="true"/>
        <sz val="9"/>
        <color rgb="FFFFFFFF"/>
        <rFont val="游ゴシック"/>
        <family val="2"/>
      </rPr>
      <t xml:space="preserve">期末棚卸高
</t>
    </r>
    <r>
      <rPr>
        <b val="true"/>
        <sz val="9"/>
        <color rgb="FFFFFFFF"/>
        <rFont val="游ゴシック"/>
        <family val="2"/>
        <charset val="1"/>
      </rPr>
      <t xml:space="preserve">(25/11</t>
    </r>
    <r>
      <rPr>
        <b val="true"/>
        <sz val="9"/>
        <color rgb="FFFFFFFF"/>
        <rFont val="游ゴシック"/>
        <family val="2"/>
      </rPr>
      <t xml:space="preserve">期</t>
    </r>
    <r>
      <rPr>
        <b val="true"/>
        <sz val="9"/>
        <color rgb="FFFFFFFF"/>
        <rFont val="游ゴシック"/>
        <family val="2"/>
        <charset val="1"/>
      </rPr>
      <t xml:space="preserve">)</t>
    </r>
  </si>
  <si>
    <r>
      <rPr>
        <b val="true"/>
        <sz val="9"/>
        <color rgb="FFFFFFFF"/>
        <rFont val="游ゴシック"/>
        <family val="2"/>
      </rPr>
      <t xml:space="preserve">期末従事
員数</t>
    </r>
    <r>
      <rPr>
        <b val="true"/>
        <sz val="9"/>
        <color rgb="FFFFFFFF"/>
        <rFont val="游ゴシック"/>
        <family val="2"/>
        <charset val="1"/>
      </rPr>
      <t xml:space="preserve">(</t>
    </r>
    <r>
      <rPr>
        <b val="true"/>
        <sz val="9"/>
        <color rgb="FFFFFFFF"/>
        <rFont val="游ゴシック"/>
        <family val="2"/>
      </rPr>
      <t xml:space="preserve">名</t>
    </r>
    <r>
      <rPr>
        <b val="true"/>
        <sz val="9"/>
        <color rgb="FFFFFFFF"/>
        <rFont val="游ゴシック"/>
        <family val="2"/>
        <charset val="1"/>
      </rPr>
      <t xml:space="preserve">)</t>
    </r>
  </si>
  <si>
    <t xml:space="preserve">本社（セキュリティ事業）</t>
  </si>
  <si>
    <t xml:space="preserve">非店舗</t>
  </si>
  <si>
    <t xml:space="preserve">岐阜県大垣市</t>
  </si>
  <si>
    <t xml:space="preserve">本社（サービス・物販）</t>
  </si>
  <si>
    <t xml:space="preserve">ワンラブ カインズホーム明和店</t>
  </si>
  <si>
    <r>
      <rPr>
        <sz val="9"/>
        <rFont val="游ゴシック"/>
        <family val="0"/>
        <charset val="1"/>
      </rPr>
      <t xml:space="preserve">FC</t>
    </r>
    <r>
      <rPr>
        <sz val="9"/>
        <rFont val="游ゴシック"/>
        <family val="2"/>
      </rPr>
      <t xml:space="preserve">／インショップ</t>
    </r>
  </si>
  <si>
    <t xml:space="preserve">三重県多気郡明和町</t>
  </si>
  <si>
    <t xml:space="preserve">ワンラブ バローミタス伊勢店</t>
  </si>
  <si>
    <t xml:space="preserve">三重県伊勢市</t>
  </si>
  <si>
    <t xml:space="preserve">ワンラブ ホームセンターバロー久居店</t>
  </si>
  <si>
    <t xml:space="preserve">三重県津市</t>
  </si>
  <si>
    <r>
      <rPr>
        <sz val="9"/>
        <rFont val="游ゴシック"/>
        <family val="2"/>
      </rPr>
      <t xml:space="preserve">ワンラブ アクアウォーク大垣店 ※</t>
    </r>
    <r>
      <rPr>
        <sz val="9"/>
        <rFont val="游ゴシック"/>
        <family val="2"/>
        <charset val="1"/>
      </rPr>
      <t xml:space="preserve">2026</t>
    </r>
    <r>
      <rPr>
        <sz val="9"/>
        <rFont val="游ゴシック"/>
        <family val="2"/>
      </rPr>
      <t xml:space="preserve">年</t>
    </r>
    <r>
      <rPr>
        <sz val="9"/>
        <rFont val="游ゴシック"/>
        <family val="2"/>
        <charset val="1"/>
      </rPr>
      <t xml:space="preserve">2</t>
    </r>
    <r>
      <rPr>
        <sz val="9"/>
        <rFont val="游ゴシック"/>
        <family val="2"/>
      </rPr>
      <t xml:space="preserve">月撤退</t>
    </r>
  </si>
  <si>
    <r>
      <rPr>
        <sz val="9"/>
        <rFont val="游ゴシック"/>
        <family val="2"/>
      </rPr>
      <t xml:space="preserve">ワンラブ ペットプラザ岐阜店 ※</t>
    </r>
    <r>
      <rPr>
        <sz val="9"/>
        <rFont val="游ゴシック"/>
        <family val="2"/>
        <charset val="1"/>
      </rPr>
      <t xml:space="preserve">2026</t>
    </r>
    <r>
      <rPr>
        <sz val="9"/>
        <rFont val="游ゴシック"/>
        <family val="2"/>
      </rPr>
      <t xml:space="preserve">年</t>
    </r>
    <r>
      <rPr>
        <sz val="9"/>
        <rFont val="游ゴシック"/>
        <family val="2"/>
        <charset val="1"/>
      </rPr>
      <t xml:space="preserve">1</t>
    </r>
    <r>
      <rPr>
        <sz val="9"/>
        <rFont val="游ゴシック"/>
        <family val="2"/>
      </rPr>
      <t xml:space="preserve">月撤退</t>
    </r>
  </si>
  <si>
    <t xml:space="preserve">岐阜県岐阜市</t>
  </si>
  <si>
    <t xml:space="preserve">ワンラブ ドン・キホーテ緑店</t>
  </si>
  <si>
    <t xml:space="preserve">愛知県名古屋市緑区</t>
  </si>
  <si>
    <r>
      <rPr>
        <sz val="9"/>
        <rFont val="游ゴシック"/>
        <family val="2"/>
      </rPr>
      <t xml:space="preserve">ワンラブ コメリパワー中志段味店 ※</t>
    </r>
    <r>
      <rPr>
        <sz val="9"/>
        <rFont val="游ゴシック"/>
        <family val="2"/>
        <charset val="1"/>
      </rPr>
      <t xml:space="preserve">2024</t>
    </r>
    <r>
      <rPr>
        <sz val="9"/>
        <rFont val="游ゴシック"/>
        <family val="2"/>
      </rPr>
      <t xml:space="preserve">年</t>
    </r>
    <r>
      <rPr>
        <sz val="9"/>
        <rFont val="游ゴシック"/>
        <family val="2"/>
        <charset val="1"/>
      </rPr>
      <t xml:space="preserve">6</t>
    </r>
    <r>
      <rPr>
        <sz val="9"/>
        <rFont val="游ゴシック"/>
        <family val="2"/>
      </rPr>
      <t xml:space="preserve">月譲渡</t>
    </r>
  </si>
  <si>
    <t xml:space="preserve">愛知県名古屋市守山区</t>
  </si>
  <si>
    <t xml:space="preserve">おっきなもふもふ応援隊 岐阜総本店</t>
  </si>
  <si>
    <t xml:space="preserve">大型犬専門／路面店</t>
  </si>
  <si>
    <t xml:space="preserve">岐阜県羽島郡岐南町</t>
  </si>
  <si>
    <t xml:space="preserve">おっきなもふもふ応援隊 大阪総本店</t>
  </si>
  <si>
    <t xml:space="preserve">大阪府茨木市</t>
  </si>
  <si>
    <t xml:space="preserve">デザイナーズワン株式会社（仕入先預け在庫）</t>
  </si>
  <si>
    <t xml:space="preserve">愛知県一宮市</t>
  </si>
  <si>
    <r>
      <rPr>
        <sz val="9"/>
        <rFont val="游ゴシック"/>
        <family val="2"/>
      </rPr>
      <t xml:space="preserve">※出所：第</t>
    </r>
    <r>
      <rPr>
        <sz val="9"/>
        <rFont val="游ゴシック"/>
        <family val="2"/>
        <charset val="1"/>
      </rPr>
      <t xml:space="preserve">3</t>
    </r>
    <r>
      <rPr>
        <sz val="9"/>
        <rFont val="游ゴシック"/>
        <family val="2"/>
      </rPr>
      <t xml:space="preserve">期〜第</t>
    </r>
    <r>
      <rPr>
        <sz val="9"/>
        <rFont val="游ゴシック"/>
        <family val="2"/>
        <charset val="1"/>
      </rPr>
      <t xml:space="preserve">5</t>
    </r>
    <r>
      <rPr>
        <sz val="9"/>
        <rFont val="游ゴシック"/>
        <family val="2"/>
      </rPr>
      <t xml:space="preserve">期 決算報告書「売上高等の事業所別内訳書」、および店舗別（部門別）勘定科目残高推移表 </t>
    </r>
    <r>
      <rPr>
        <sz val="9"/>
        <rFont val="游ゴシック"/>
        <family val="2"/>
        <charset val="1"/>
      </rPr>
      <t xml:space="preserve">2025</t>
    </r>
    <r>
      <rPr>
        <sz val="9"/>
        <rFont val="游ゴシック"/>
        <family val="2"/>
      </rPr>
      <t xml:space="preserve">年</t>
    </r>
    <r>
      <rPr>
        <sz val="9"/>
        <rFont val="游ゴシック"/>
        <family val="2"/>
        <charset val="1"/>
      </rPr>
      <t xml:space="preserve">12</t>
    </r>
    <r>
      <rPr>
        <sz val="9"/>
        <rFont val="游ゴシック"/>
        <family val="2"/>
      </rPr>
      <t xml:space="preserve">月〜</t>
    </r>
    <r>
      <rPr>
        <sz val="9"/>
        <rFont val="游ゴシック"/>
        <family val="2"/>
        <charset val="1"/>
      </rPr>
      <t xml:space="preserve">2026</t>
    </r>
    <r>
      <rPr>
        <sz val="9"/>
        <rFont val="游ゴシック"/>
        <family val="2"/>
      </rPr>
      <t xml:space="preserve">年</t>
    </r>
    <r>
      <rPr>
        <sz val="9"/>
        <rFont val="游ゴシック"/>
        <family val="2"/>
        <charset val="1"/>
      </rPr>
      <t xml:space="preserve">6</t>
    </r>
    <r>
      <rPr>
        <sz val="9"/>
        <rFont val="游ゴシック"/>
        <family val="2"/>
      </rPr>
      <t xml:space="preserve">月。各期の</t>
    </r>
    <r>
      <rPr>
        <sz val="9"/>
        <rFont val="游ゴシック"/>
        <family val="2"/>
        <charset val="1"/>
      </rPr>
      <t xml:space="preserve">PL</t>
    </r>
    <r>
      <rPr>
        <sz val="9"/>
        <rFont val="游ゴシック"/>
        <family val="2"/>
      </rPr>
      <t xml:space="preserve">売上高（</t>
    </r>
    <r>
      <rPr>
        <sz val="9"/>
        <rFont val="游ゴシック"/>
        <family val="2"/>
        <charset val="1"/>
      </rPr>
      <t xml:space="preserve">474,428</t>
    </r>
    <r>
      <rPr>
        <sz val="9"/>
        <rFont val="游ゴシック"/>
        <family val="2"/>
      </rPr>
      <t xml:space="preserve">／</t>
    </r>
    <r>
      <rPr>
        <sz val="9"/>
        <rFont val="游ゴシック"/>
        <family val="2"/>
        <charset val="1"/>
      </rPr>
      <t xml:space="preserve">539,035</t>
    </r>
    <r>
      <rPr>
        <sz val="9"/>
        <rFont val="游ゴシック"/>
        <family val="2"/>
      </rPr>
      <t xml:space="preserve">／</t>
    </r>
    <r>
      <rPr>
        <sz val="9"/>
        <rFont val="游ゴシック"/>
        <family val="2"/>
        <charset val="1"/>
      </rPr>
      <t xml:space="preserve">558,390</t>
    </r>
    <r>
      <rPr>
        <sz val="9"/>
        <rFont val="游ゴシック"/>
        <family val="2"/>
      </rPr>
      <t xml:space="preserve">／</t>
    </r>
    <r>
      <rPr>
        <sz val="9"/>
        <rFont val="游ゴシック"/>
        <family val="2"/>
        <charset val="1"/>
      </rPr>
      <t xml:space="preserve">279,153</t>
    </r>
    <r>
      <rPr>
        <sz val="9"/>
        <rFont val="游ゴシック"/>
        <family val="2"/>
      </rPr>
      <t xml:space="preserve">千円）と一致することを確認済。
※コメリパワー中志段味店は</t>
    </r>
    <r>
      <rPr>
        <sz val="9"/>
        <rFont val="游ゴシック"/>
        <family val="2"/>
        <charset val="1"/>
      </rPr>
      <t xml:space="preserve">2024</t>
    </r>
    <r>
      <rPr>
        <sz val="9"/>
        <rFont val="游ゴシック"/>
        <family val="2"/>
      </rPr>
      <t xml:space="preserve">年</t>
    </r>
    <r>
      <rPr>
        <sz val="9"/>
        <rFont val="游ゴシック"/>
        <family val="2"/>
        <charset val="1"/>
      </rPr>
      <t xml:space="preserve">6</t>
    </r>
    <r>
      <rPr>
        <sz val="9"/>
        <rFont val="游ゴシック"/>
        <family val="2"/>
      </rPr>
      <t xml:space="preserve">月に譲渡。ドン・キホーテ緑店は</t>
    </r>
    <r>
      <rPr>
        <sz val="9"/>
        <rFont val="游ゴシック"/>
        <family val="2"/>
        <charset val="1"/>
      </rPr>
      <t xml:space="preserve">2024</t>
    </r>
    <r>
      <rPr>
        <sz val="9"/>
        <rFont val="游ゴシック"/>
        <family val="2"/>
      </rPr>
      <t xml:space="preserve">年</t>
    </r>
    <r>
      <rPr>
        <sz val="9"/>
        <rFont val="游ゴシック"/>
        <family val="2"/>
        <charset val="1"/>
      </rPr>
      <t xml:space="preserve">7</t>
    </r>
    <r>
      <rPr>
        <sz val="9"/>
        <rFont val="游ゴシック"/>
        <family val="2"/>
      </rPr>
      <t xml:space="preserve">月、おっきなもふもふ応援隊 大阪総本店は</t>
    </r>
    <r>
      <rPr>
        <sz val="9"/>
        <rFont val="游ゴシック"/>
        <family val="2"/>
        <charset val="1"/>
      </rPr>
      <t xml:space="preserve">2024</t>
    </r>
    <r>
      <rPr>
        <sz val="9"/>
        <rFont val="游ゴシック"/>
        <family val="2"/>
      </rPr>
      <t xml:space="preserve">年</t>
    </r>
    <r>
      <rPr>
        <sz val="9"/>
        <rFont val="游ゴシック"/>
        <family val="2"/>
        <charset val="1"/>
      </rPr>
      <t xml:space="preserve">10</t>
    </r>
    <r>
      <rPr>
        <sz val="9"/>
        <rFont val="游ゴシック"/>
        <family val="2"/>
      </rPr>
      <t xml:space="preserve">月に開店。
※ペットプラザ岐阜店は</t>
    </r>
    <r>
      <rPr>
        <sz val="9"/>
        <rFont val="游ゴシック"/>
        <family val="2"/>
        <charset val="1"/>
      </rPr>
      <t xml:space="preserve">2026</t>
    </r>
    <r>
      <rPr>
        <sz val="9"/>
        <rFont val="游ゴシック"/>
        <family val="2"/>
      </rPr>
      <t xml:space="preserve">年</t>
    </r>
    <r>
      <rPr>
        <sz val="9"/>
        <rFont val="游ゴシック"/>
        <family val="2"/>
        <charset val="1"/>
      </rPr>
      <t xml:space="preserve">1</t>
    </r>
    <r>
      <rPr>
        <sz val="9"/>
        <rFont val="游ゴシック"/>
        <family val="2"/>
      </rPr>
      <t xml:space="preserve">月、アクアウォーク大垣店は</t>
    </r>
    <r>
      <rPr>
        <sz val="9"/>
        <rFont val="游ゴシック"/>
        <family val="2"/>
        <charset val="1"/>
      </rPr>
      <t xml:space="preserve">2026</t>
    </r>
    <r>
      <rPr>
        <sz val="9"/>
        <rFont val="游ゴシック"/>
        <family val="2"/>
      </rPr>
      <t xml:space="preserve">年</t>
    </r>
    <r>
      <rPr>
        <sz val="9"/>
        <rFont val="游ゴシック"/>
        <family val="2"/>
        <charset val="1"/>
      </rPr>
      <t xml:space="preserve">2</t>
    </r>
    <r>
      <rPr>
        <sz val="9"/>
        <rFont val="游ゴシック"/>
        <family val="2"/>
      </rPr>
      <t xml:space="preserve">月をもって売上計上が終了しており、両店が撤退した</t>
    </r>
    <r>
      <rPr>
        <sz val="9"/>
        <rFont val="游ゴシック"/>
        <family val="2"/>
        <charset val="1"/>
      </rPr>
      <t xml:space="preserve">2</t>
    </r>
    <r>
      <rPr>
        <sz val="9"/>
        <rFont val="游ゴシック"/>
        <family val="2"/>
      </rPr>
      <t xml:space="preserve">店舗である（店舗別試算表および従業員名簿の在籍状況により確認）。</t>
    </r>
    <r>
      <rPr>
        <sz val="9"/>
        <rFont val="游ゴシック"/>
        <family val="2"/>
        <charset val="1"/>
      </rPr>
      <t xml:space="preserve">2026</t>
    </r>
    <r>
      <rPr>
        <sz val="9"/>
        <rFont val="游ゴシック"/>
        <family val="2"/>
      </rPr>
      <t xml:space="preserve">年</t>
    </r>
    <r>
      <rPr>
        <sz val="9"/>
        <rFont val="游ゴシック"/>
        <family val="2"/>
        <charset val="1"/>
      </rPr>
      <t xml:space="preserve">3</t>
    </r>
    <r>
      <rPr>
        <sz val="9"/>
        <rFont val="游ゴシック"/>
        <family val="2"/>
      </rPr>
      <t xml:space="preserve">月以降の稼働店舗は</t>
    </r>
    <r>
      <rPr>
        <sz val="9"/>
        <rFont val="游ゴシック"/>
        <family val="2"/>
        <charset val="1"/>
      </rPr>
      <t xml:space="preserve">6</t>
    </r>
    <r>
      <rPr>
        <sz val="9"/>
        <rFont val="游ゴシック"/>
        <family val="2"/>
      </rPr>
      <t xml:space="preserve">店舗。
※本社（サービス・物販）の進行期</t>
    </r>
    <r>
      <rPr>
        <sz val="9"/>
        <rFont val="游ゴシック"/>
        <family val="2"/>
        <charset val="1"/>
      </rPr>
      <t xml:space="preserve">13,650</t>
    </r>
    <r>
      <rPr>
        <sz val="9"/>
        <rFont val="游ゴシック"/>
        <family val="2"/>
      </rPr>
      <t xml:space="preserve">千円は月額約</t>
    </r>
    <r>
      <rPr>
        <sz val="9"/>
        <rFont val="游ゴシック"/>
        <family val="2"/>
        <charset val="1"/>
      </rPr>
      <t xml:space="preserve">195</t>
    </r>
    <r>
      <rPr>
        <sz val="9"/>
        <rFont val="游ゴシック"/>
        <family val="2"/>
      </rPr>
      <t xml:space="preserve">万円で計上されており、ペット保険の代理店手数料と推察される（仮説・要確認）。</t>
    </r>
  </si>
  <si>
    <r>
      <rPr>
        <b val="true"/>
        <sz val="11"/>
        <color rgb="FF0B3041"/>
        <rFont val="游ゴシック"/>
        <family val="2"/>
      </rPr>
      <t xml:space="preserve">店舗別（部門別）損益　進行期</t>
    </r>
    <r>
      <rPr>
        <b val="true"/>
        <sz val="11"/>
        <color rgb="FF0B3041"/>
        <rFont val="游ゴシック"/>
        <family val="2"/>
        <charset val="1"/>
      </rPr>
      <t xml:space="preserve">7</t>
    </r>
    <r>
      <rPr>
        <b val="true"/>
        <sz val="11"/>
        <color rgb="FF0B3041"/>
        <rFont val="游ゴシック"/>
        <family val="2"/>
      </rPr>
      <t xml:space="preserve">か月累計（</t>
    </r>
    <r>
      <rPr>
        <b val="true"/>
        <sz val="11"/>
        <color rgb="FF0B3041"/>
        <rFont val="游ゴシック"/>
        <family val="2"/>
        <charset val="1"/>
      </rPr>
      <t xml:space="preserve">2025</t>
    </r>
    <r>
      <rPr>
        <b val="true"/>
        <sz val="11"/>
        <color rgb="FF0B3041"/>
        <rFont val="游ゴシック"/>
        <family val="2"/>
      </rPr>
      <t xml:space="preserve">年</t>
    </r>
    <r>
      <rPr>
        <b val="true"/>
        <sz val="11"/>
        <color rgb="FF0B3041"/>
        <rFont val="游ゴシック"/>
        <family val="2"/>
        <charset val="1"/>
      </rPr>
      <t xml:space="preserve">12</t>
    </r>
    <r>
      <rPr>
        <b val="true"/>
        <sz val="11"/>
        <color rgb="FF0B3041"/>
        <rFont val="游ゴシック"/>
        <family val="2"/>
      </rPr>
      <t xml:space="preserve">月〜</t>
    </r>
    <r>
      <rPr>
        <b val="true"/>
        <sz val="11"/>
        <color rgb="FF0B3041"/>
        <rFont val="游ゴシック"/>
        <family val="2"/>
        <charset val="1"/>
      </rPr>
      <t xml:space="preserve">2026</t>
    </r>
    <r>
      <rPr>
        <b val="true"/>
        <sz val="11"/>
        <color rgb="FF0B3041"/>
        <rFont val="游ゴシック"/>
        <family val="2"/>
      </rPr>
      <t xml:space="preserve">年</t>
    </r>
    <r>
      <rPr>
        <b val="true"/>
        <sz val="11"/>
        <color rgb="FF0B3041"/>
        <rFont val="游ゴシック"/>
        <family val="2"/>
        <charset val="1"/>
      </rPr>
      <t xml:space="preserve">6</t>
    </r>
    <r>
      <rPr>
        <b val="true"/>
        <sz val="11"/>
        <color rgb="FF0B3041"/>
        <rFont val="游ゴシック"/>
        <family val="2"/>
      </rPr>
      <t xml:space="preserve">月）</t>
    </r>
  </si>
  <si>
    <t xml:space="preserve">部門</t>
  </si>
  <si>
    <t xml:space="preserve">状況</t>
  </si>
  <si>
    <t xml:space="preserve">粗利率</t>
  </si>
  <si>
    <t xml:space="preserve">販管費</t>
  </si>
  <si>
    <t xml:space="preserve">営業利益率</t>
  </si>
  <si>
    <t xml:space="preserve">稼働中</t>
  </si>
  <si>
    <r>
      <rPr>
        <b val="true"/>
        <sz val="9"/>
        <rFont val="游ゴシック"/>
        <family val="2"/>
      </rPr>
      <t xml:space="preserve">【稼働</t>
    </r>
    <r>
      <rPr>
        <b val="true"/>
        <sz val="9"/>
        <rFont val="游ゴシック"/>
        <family val="2"/>
        <charset val="1"/>
      </rPr>
      <t xml:space="preserve">6</t>
    </r>
    <r>
      <rPr>
        <b val="true"/>
        <sz val="9"/>
        <rFont val="游ゴシック"/>
        <family val="2"/>
      </rPr>
      <t xml:space="preserve">店舗 小計】</t>
    </r>
  </si>
  <si>
    <t xml:space="preserve">ワンラブ アクアウォーク大垣店</t>
  </si>
  <si>
    <r>
      <rPr>
        <sz val="9"/>
        <rFont val="游ゴシック"/>
        <family val="0"/>
        <charset val="1"/>
      </rPr>
      <t xml:space="preserve">2026</t>
    </r>
    <r>
      <rPr>
        <sz val="9"/>
        <rFont val="游ゴシック"/>
        <family val="2"/>
      </rPr>
      <t xml:space="preserve">年</t>
    </r>
    <r>
      <rPr>
        <sz val="9"/>
        <rFont val="游ゴシック"/>
        <family val="0"/>
        <charset val="1"/>
      </rPr>
      <t xml:space="preserve">2</t>
    </r>
    <r>
      <rPr>
        <sz val="9"/>
        <rFont val="游ゴシック"/>
        <family val="2"/>
      </rPr>
      <t xml:space="preserve">月に撤退</t>
    </r>
  </si>
  <si>
    <t xml:space="preserve">ワンラブ ペットプラザ岐阜店</t>
  </si>
  <si>
    <r>
      <rPr>
        <sz val="9"/>
        <rFont val="游ゴシック"/>
        <family val="0"/>
        <charset val="1"/>
      </rPr>
      <t xml:space="preserve">2026</t>
    </r>
    <r>
      <rPr>
        <sz val="9"/>
        <rFont val="游ゴシック"/>
        <family val="2"/>
      </rPr>
      <t xml:space="preserve">年</t>
    </r>
    <r>
      <rPr>
        <sz val="9"/>
        <rFont val="游ゴシック"/>
        <family val="0"/>
        <charset val="1"/>
      </rPr>
      <t xml:space="preserve">1</t>
    </r>
    <r>
      <rPr>
        <sz val="9"/>
        <rFont val="游ゴシック"/>
        <family val="2"/>
      </rPr>
      <t xml:space="preserve">月に撤退</t>
    </r>
  </si>
  <si>
    <t xml:space="preserve">セキュリティ事業</t>
  </si>
  <si>
    <t xml:space="preserve">大垣管理センター</t>
  </si>
  <si>
    <r>
      <rPr>
        <sz val="9"/>
        <rFont val="游ゴシック"/>
        <family val="0"/>
        <charset val="1"/>
      </rPr>
      <t xml:space="preserve">2026</t>
    </r>
    <r>
      <rPr>
        <sz val="9"/>
        <rFont val="游ゴシック"/>
        <family val="2"/>
      </rPr>
      <t xml:space="preserve">年</t>
    </r>
    <r>
      <rPr>
        <sz val="9"/>
        <rFont val="游ゴシック"/>
        <family val="0"/>
        <charset val="1"/>
      </rPr>
      <t xml:space="preserve">2</t>
    </r>
    <r>
      <rPr>
        <sz val="9"/>
        <rFont val="游ゴシック"/>
        <family val="2"/>
      </rPr>
      <t xml:space="preserve">月に閉鎖</t>
    </r>
  </si>
  <si>
    <t xml:space="preserve">共通部門（本社）</t>
  </si>
  <si>
    <t xml:space="preserve">【合計】</t>
  </si>
  <si>
    <r>
      <rPr>
        <sz val="9"/>
        <rFont val="游ゴシック"/>
        <family val="2"/>
      </rPr>
      <t xml:space="preserve">※出所：店舗別（部門別）勘定科目残高推移表 </t>
    </r>
    <r>
      <rPr>
        <sz val="9"/>
        <rFont val="游ゴシック"/>
        <family val="2"/>
        <charset val="1"/>
      </rPr>
      <t xml:space="preserve">2025</t>
    </r>
    <r>
      <rPr>
        <sz val="9"/>
        <rFont val="游ゴシック"/>
        <family val="2"/>
      </rPr>
      <t xml:space="preserve">年</t>
    </r>
    <r>
      <rPr>
        <sz val="9"/>
        <rFont val="游ゴシック"/>
        <family val="2"/>
        <charset val="1"/>
      </rPr>
      <t xml:space="preserve">12</t>
    </r>
    <r>
      <rPr>
        <sz val="9"/>
        <rFont val="游ゴシック"/>
        <family val="2"/>
      </rPr>
      <t xml:space="preserve">月〜</t>
    </r>
    <r>
      <rPr>
        <sz val="9"/>
        <rFont val="游ゴシック"/>
        <family val="2"/>
        <charset val="1"/>
      </rPr>
      <t xml:space="preserve">2026</t>
    </r>
    <r>
      <rPr>
        <sz val="9"/>
        <rFont val="游ゴシック"/>
        <family val="2"/>
      </rPr>
      <t xml:space="preserve">年</t>
    </r>
    <r>
      <rPr>
        <sz val="9"/>
        <rFont val="游ゴシック"/>
        <family val="2"/>
        <charset val="1"/>
      </rPr>
      <t xml:space="preserve">6</t>
    </r>
    <r>
      <rPr>
        <sz val="9"/>
        <rFont val="游ゴシック"/>
        <family val="2"/>
      </rPr>
      <t xml:space="preserve">月（</t>
    </r>
    <r>
      <rPr>
        <sz val="9"/>
        <rFont val="游ゴシック"/>
        <family val="2"/>
        <charset val="1"/>
      </rPr>
      <t xml:space="preserve">2026</t>
    </r>
    <r>
      <rPr>
        <sz val="9"/>
        <rFont val="游ゴシック"/>
        <family val="2"/>
      </rPr>
      <t xml:space="preserve">年</t>
    </r>
    <r>
      <rPr>
        <sz val="9"/>
        <rFont val="游ゴシック"/>
        <family val="2"/>
        <charset val="1"/>
      </rPr>
      <t xml:space="preserve">9</t>
    </r>
    <r>
      <rPr>
        <sz val="9"/>
        <rFont val="游ゴシック"/>
        <family val="2"/>
      </rPr>
      <t xml:space="preserve">月</t>
    </r>
    <r>
      <rPr>
        <sz val="9"/>
        <rFont val="游ゴシック"/>
        <family val="2"/>
        <charset val="1"/>
      </rPr>
      <t xml:space="preserve">18</t>
    </r>
    <r>
      <rPr>
        <sz val="9"/>
        <rFont val="游ゴシック"/>
        <family val="2"/>
      </rPr>
      <t xml:space="preserve">日出力）。部門別の合計は全社の試算表（売上高</t>
    </r>
    <r>
      <rPr>
        <sz val="9"/>
        <rFont val="游ゴシック"/>
        <family val="2"/>
        <charset val="1"/>
      </rPr>
      <t xml:space="preserve">279,153</t>
    </r>
    <r>
      <rPr>
        <sz val="9"/>
        <rFont val="游ゴシック"/>
        <family val="2"/>
      </rPr>
      <t xml:space="preserve">千円・営業利益</t>
    </r>
    <r>
      <rPr>
        <sz val="9"/>
        <rFont val="游ゴシック"/>
        <family val="2"/>
        <charset val="1"/>
      </rPr>
      <t xml:space="preserve">6,637</t>
    </r>
    <r>
      <rPr>
        <sz val="9"/>
        <rFont val="游ゴシック"/>
        <family val="2"/>
      </rPr>
      <t xml:space="preserve">千円）と一致することを確認済。
※店舗別の営業利益は本社費を配賦する前の「店舗貢献利益」であり、本社費等は共通部門に一括計上されている。
※共通部門の売上</t>
    </r>
    <r>
      <rPr>
        <sz val="9"/>
        <rFont val="游ゴシック"/>
        <family val="2"/>
        <charset val="1"/>
      </rPr>
      <t xml:space="preserve">13,650</t>
    </r>
    <r>
      <rPr>
        <sz val="9"/>
        <rFont val="游ゴシック"/>
        <family val="2"/>
      </rPr>
      <t xml:space="preserve">千円は、月額約</t>
    </r>
    <r>
      <rPr>
        <sz val="9"/>
        <rFont val="游ゴシック"/>
        <family val="2"/>
        <charset val="1"/>
      </rPr>
      <t xml:space="preserve">195</t>
    </r>
    <r>
      <rPr>
        <sz val="9"/>
        <rFont val="游ゴシック"/>
        <family val="2"/>
      </rPr>
      <t xml:space="preserve">万円で計上されているサービス売上高であり、ペット保険の代理店手数料と推察される（仮説・要確認）。
※共通部門の売上原価</t>
    </r>
    <r>
      <rPr>
        <sz val="9"/>
        <rFont val="游ゴシック"/>
        <family val="2"/>
        <charset val="1"/>
      </rPr>
      <t xml:space="preserve">46,604</t>
    </r>
    <r>
      <rPr>
        <sz val="9"/>
        <rFont val="游ゴシック"/>
        <family val="2"/>
      </rPr>
      <t xml:space="preserve">千円は、本社で仕入れた商品（</t>
    </r>
    <r>
      <rPr>
        <sz val="9"/>
        <rFont val="游ゴシック"/>
        <family val="2"/>
        <charset val="1"/>
      </rPr>
      <t xml:space="preserve">92,274</t>
    </r>
    <r>
      <rPr>
        <sz val="9"/>
        <rFont val="游ゴシック"/>
        <family val="2"/>
      </rPr>
      <t xml:space="preserve">千円のうち</t>
    </r>
    <r>
      <rPr>
        <sz val="9"/>
        <rFont val="游ゴシック"/>
        <family val="2"/>
        <charset val="1"/>
      </rPr>
      <t xml:space="preserve">40,994</t>
    </r>
    <r>
      <rPr>
        <sz val="9"/>
        <rFont val="游ゴシック"/>
        <family val="2"/>
      </rPr>
      <t xml:space="preserve">千円）および外注費</t>
    </r>
    <r>
      <rPr>
        <sz val="9"/>
        <rFont val="游ゴシック"/>
        <family val="2"/>
        <charset val="1"/>
      </rPr>
      <t xml:space="preserve">5,610</t>
    </r>
    <r>
      <rPr>
        <sz val="9"/>
        <rFont val="游ゴシック"/>
        <family val="2"/>
      </rPr>
      <t xml:space="preserve">千円が各店舗へ振り替えられずに共通部門に残っているものと推察される（仮説・要確認）。このため店舗別の粗利・営業利益は実力値より過大に表示されている可能性があり、解釈には留意を要する。
※明和店の販管費には松阪管理センターの人件費が含まれていると推察される（棚卸表でも松阪管理センターの在庫</t>
    </r>
    <r>
      <rPr>
        <sz val="9"/>
        <rFont val="游ゴシック"/>
        <family val="2"/>
        <charset val="1"/>
      </rPr>
      <t xml:space="preserve">19,669</t>
    </r>
    <r>
      <rPr>
        <sz val="9"/>
        <rFont val="游ゴシック"/>
        <family val="2"/>
      </rPr>
      <t xml:space="preserve">千円が明和店に含めて計上されている）。
※大垣管理センターは</t>
    </r>
    <r>
      <rPr>
        <sz val="9"/>
        <rFont val="游ゴシック"/>
        <family val="2"/>
        <charset val="1"/>
      </rPr>
      <t xml:space="preserve">2026</t>
    </r>
    <r>
      <rPr>
        <sz val="9"/>
        <rFont val="游ゴシック"/>
        <family val="2"/>
      </rPr>
      <t xml:space="preserve">年</t>
    </r>
    <r>
      <rPr>
        <sz val="9"/>
        <rFont val="游ゴシック"/>
        <family val="2"/>
        <charset val="1"/>
      </rPr>
      <t xml:space="preserve">2</t>
    </r>
    <r>
      <rPr>
        <sz val="9"/>
        <rFont val="游ゴシック"/>
        <family val="2"/>
      </rPr>
      <t xml:space="preserve">月以降、費用のマイナス計上（振替）のみとなっている。</t>
    </r>
  </si>
  <si>
    <r>
      <rPr>
        <b val="true"/>
        <sz val="11"/>
        <color rgb="FF0B3041"/>
        <rFont val="游ゴシック"/>
        <family val="2"/>
      </rPr>
      <t xml:space="preserve">店舗別（部門別）販管費の内訳　進行期</t>
    </r>
    <r>
      <rPr>
        <b val="true"/>
        <sz val="11"/>
        <color rgb="FF0B3041"/>
        <rFont val="游ゴシック"/>
        <family val="2"/>
        <charset val="1"/>
      </rPr>
      <t xml:space="preserve">7</t>
    </r>
    <r>
      <rPr>
        <b val="true"/>
        <sz val="11"/>
        <color rgb="FF0B3041"/>
        <rFont val="游ゴシック"/>
        <family val="2"/>
      </rPr>
      <t xml:space="preserve">か月累計（</t>
    </r>
    <r>
      <rPr>
        <b val="true"/>
        <sz val="11"/>
        <color rgb="FF0B3041"/>
        <rFont val="游ゴシック"/>
        <family val="2"/>
        <charset val="1"/>
      </rPr>
      <t xml:space="preserve">2025</t>
    </r>
    <r>
      <rPr>
        <b val="true"/>
        <sz val="11"/>
        <color rgb="FF0B3041"/>
        <rFont val="游ゴシック"/>
        <family val="2"/>
      </rPr>
      <t xml:space="preserve">年</t>
    </r>
    <r>
      <rPr>
        <b val="true"/>
        <sz val="11"/>
        <color rgb="FF0B3041"/>
        <rFont val="游ゴシック"/>
        <family val="2"/>
        <charset val="1"/>
      </rPr>
      <t xml:space="preserve">12</t>
    </r>
    <r>
      <rPr>
        <b val="true"/>
        <sz val="11"/>
        <color rgb="FF0B3041"/>
        <rFont val="游ゴシック"/>
        <family val="2"/>
      </rPr>
      <t xml:space="preserve">月〜</t>
    </r>
    <r>
      <rPr>
        <b val="true"/>
        <sz val="11"/>
        <color rgb="FF0B3041"/>
        <rFont val="游ゴシック"/>
        <family val="2"/>
        <charset val="1"/>
      </rPr>
      <t xml:space="preserve">2026</t>
    </r>
    <r>
      <rPr>
        <b val="true"/>
        <sz val="11"/>
        <color rgb="FF0B3041"/>
        <rFont val="游ゴシック"/>
        <family val="2"/>
      </rPr>
      <t xml:space="preserve">年</t>
    </r>
    <r>
      <rPr>
        <b val="true"/>
        <sz val="11"/>
        <color rgb="FF0B3041"/>
        <rFont val="游ゴシック"/>
        <family val="2"/>
        <charset val="1"/>
      </rPr>
      <t xml:space="preserve">6</t>
    </r>
    <r>
      <rPr>
        <b val="true"/>
        <sz val="11"/>
        <color rgb="FF0B3041"/>
        <rFont val="游ゴシック"/>
        <family val="2"/>
      </rPr>
      <t xml:space="preserve">月）</t>
    </r>
  </si>
  <si>
    <t xml:space="preserve">人件費計</t>
  </si>
  <si>
    <t xml:space="preserve">人件費率</t>
  </si>
  <si>
    <t xml:space="preserve">販管費計</t>
  </si>
  <si>
    <t xml:space="preserve">販管費率</t>
  </si>
  <si>
    <r>
      <rPr>
        <sz val="9"/>
        <rFont val="游ゴシック"/>
        <family val="2"/>
      </rPr>
      <t xml:space="preserve">※出所：店舗別（部門別）勘定科目残高推移表 </t>
    </r>
    <r>
      <rPr>
        <sz val="9"/>
        <rFont val="游ゴシック"/>
        <family val="2"/>
        <charset val="1"/>
      </rPr>
      <t xml:space="preserve">2025</t>
    </r>
    <r>
      <rPr>
        <sz val="9"/>
        <rFont val="游ゴシック"/>
        <family val="2"/>
      </rPr>
      <t xml:space="preserve">年</t>
    </r>
    <r>
      <rPr>
        <sz val="9"/>
        <rFont val="游ゴシック"/>
        <family val="2"/>
        <charset val="1"/>
      </rPr>
      <t xml:space="preserve">12</t>
    </r>
    <r>
      <rPr>
        <sz val="9"/>
        <rFont val="游ゴシック"/>
        <family val="2"/>
      </rPr>
      <t xml:space="preserve">月〜</t>
    </r>
    <r>
      <rPr>
        <sz val="9"/>
        <rFont val="游ゴシック"/>
        <family val="2"/>
        <charset val="1"/>
      </rPr>
      <t xml:space="preserve">2026</t>
    </r>
    <r>
      <rPr>
        <sz val="9"/>
        <rFont val="游ゴシック"/>
        <family val="2"/>
      </rPr>
      <t xml:space="preserve">年</t>
    </r>
    <r>
      <rPr>
        <sz val="9"/>
        <rFont val="游ゴシック"/>
        <family val="2"/>
        <charset val="1"/>
      </rPr>
      <t xml:space="preserve">6</t>
    </r>
    <r>
      <rPr>
        <sz val="9"/>
        <rFont val="游ゴシック"/>
        <family val="2"/>
      </rPr>
      <t xml:space="preserve">月（</t>
    </r>
    <r>
      <rPr>
        <sz val="9"/>
        <rFont val="游ゴシック"/>
        <family val="2"/>
        <charset val="1"/>
      </rPr>
      <t xml:space="preserve">2026</t>
    </r>
    <r>
      <rPr>
        <sz val="9"/>
        <rFont val="游ゴシック"/>
        <family val="2"/>
      </rPr>
      <t xml:space="preserve">年</t>
    </r>
    <r>
      <rPr>
        <sz val="9"/>
        <rFont val="游ゴシック"/>
        <family val="2"/>
        <charset val="1"/>
      </rPr>
      <t xml:space="preserve">9</t>
    </r>
    <r>
      <rPr>
        <sz val="9"/>
        <rFont val="游ゴシック"/>
        <family val="2"/>
      </rPr>
      <t xml:space="preserve">月</t>
    </r>
    <r>
      <rPr>
        <sz val="9"/>
        <rFont val="游ゴシック"/>
        <family val="2"/>
        <charset val="1"/>
      </rPr>
      <t xml:space="preserve">18</t>
    </r>
    <r>
      <rPr>
        <sz val="9"/>
        <rFont val="游ゴシック"/>
        <family val="2"/>
      </rPr>
      <t xml:space="preserve">日出力・</t>
    </r>
    <r>
      <rPr>
        <sz val="9"/>
        <rFont val="游ゴシック"/>
        <family val="2"/>
        <charset val="1"/>
      </rPr>
      <t xml:space="preserve">11</t>
    </r>
    <r>
      <rPr>
        <sz val="9"/>
        <rFont val="游ゴシック"/>
        <family val="2"/>
      </rPr>
      <t xml:space="preserve">部門）。従業員給与・法定福利費・役員報酬・ロイヤリティ・地代家賃・広告宣伝費・支払手数料の各科目について、</t>
    </r>
    <r>
      <rPr>
        <sz val="9"/>
        <rFont val="游ゴシック"/>
        <family val="2"/>
        <charset val="1"/>
      </rPr>
      <t xml:space="preserve">11</t>
    </r>
    <r>
      <rPr>
        <sz val="9"/>
        <rFont val="游ゴシック"/>
        <family val="2"/>
      </rPr>
      <t xml:space="preserve">部門の合計が全社</t>
    </r>
    <r>
      <rPr>
        <sz val="9"/>
        <rFont val="游ゴシック"/>
        <family val="2"/>
        <charset val="1"/>
      </rPr>
      <t xml:space="preserve">PL</t>
    </r>
    <r>
      <rPr>
        <sz val="9"/>
        <rFont val="游ゴシック"/>
        <family val="2"/>
      </rPr>
      <t xml:space="preserve">（</t>
    </r>
    <r>
      <rPr>
        <sz val="9"/>
        <rFont val="游ゴシック"/>
        <family val="2"/>
        <charset val="1"/>
      </rPr>
      <t xml:space="preserve">64,179,726</t>
    </r>
    <r>
      <rPr>
        <sz val="9"/>
        <rFont val="游ゴシック"/>
        <family val="2"/>
      </rPr>
      <t xml:space="preserve">／</t>
    </r>
    <r>
      <rPr>
        <sz val="9"/>
        <rFont val="游ゴシック"/>
        <family val="2"/>
        <charset val="1"/>
      </rPr>
      <t xml:space="preserve">2,778,916</t>
    </r>
    <r>
      <rPr>
        <sz val="9"/>
        <rFont val="游ゴシック"/>
        <family val="2"/>
      </rPr>
      <t xml:space="preserve">／</t>
    </r>
    <r>
      <rPr>
        <sz val="9"/>
        <rFont val="游ゴシック"/>
        <family val="2"/>
        <charset val="1"/>
      </rPr>
      <t xml:space="preserve">6,300,000</t>
    </r>
    <r>
      <rPr>
        <sz val="9"/>
        <rFont val="游ゴシック"/>
        <family val="2"/>
      </rPr>
      <t xml:space="preserve">／</t>
    </r>
    <r>
      <rPr>
        <sz val="9"/>
        <rFont val="游ゴシック"/>
        <family val="2"/>
        <charset val="1"/>
      </rPr>
      <t xml:space="preserve">14,193,011</t>
    </r>
    <r>
      <rPr>
        <sz val="9"/>
        <rFont val="游ゴシック"/>
        <family val="2"/>
      </rPr>
      <t xml:space="preserve">／</t>
    </r>
    <r>
      <rPr>
        <sz val="9"/>
        <rFont val="游ゴシック"/>
        <family val="2"/>
        <charset val="1"/>
      </rPr>
      <t xml:space="preserve">19,879,129</t>
    </r>
    <r>
      <rPr>
        <sz val="9"/>
        <rFont val="游ゴシック"/>
        <family val="2"/>
      </rPr>
      <t xml:space="preserve">／</t>
    </r>
    <r>
      <rPr>
        <sz val="9"/>
        <rFont val="游ゴシック"/>
        <family val="2"/>
        <charset val="1"/>
      </rPr>
      <t xml:space="preserve">15,163,208</t>
    </r>
    <r>
      <rPr>
        <sz val="9"/>
        <rFont val="游ゴシック"/>
        <family val="2"/>
      </rPr>
      <t xml:space="preserve">／</t>
    </r>
    <r>
      <rPr>
        <sz val="9"/>
        <rFont val="游ゴシック"/>
        <family val="2"/>
        <charset val="1"/>
      </rPr>
      <t xml:space="preserve">6,927,603</t>
    </r>
    <r>
      <rPr>
        <sz val="9"/>
        <rFont val="游ゴシック"/>
        <family val="2"/>
      </rPr>
      <t xml:space="preserve">円）と一致することを確認済。
※「その他」は販管費計から上記各科目を控除した差額（旅費交通費・厚生費・リース料・通信費・水道光熱費・租税公課・接待交際費・保険料・備品消耗品費・管理諸費・雑費等）。
※法定福利費は本社（共通部門）に一括計上したうえで各店舗へマイナス計上（振替）する処理がとられており、店舗側は各店ともマイナス残高となる。したがって店舗別の販管費は社会保険料負担分だけ過少に表示されている点に留意を要する（店舗計△</t>
    </r>
    <r>
      <rPr>
        <sz val="9"/>
        <rFont val="游ゴシック"/>
        <family val="2"/>
        <charset val="1"/>
      </rPr>
      <t xml:space="preserve">6,449</t>
    </r>
    <r>
      <rPr>
        <sz val="9"/>
        <rFont val="游ゴシック"/>
        <family val="2"/>
      </rPr>
      <t xml:space="preserve">千円）。
※ロイヤリティはワンラブ</t>
    </r>
    <r>
      <rPr>
        <sz val="9"/>
        <rFont val="游ゴシック"/>
        <family val="2"/>
        <charset val="1"/>
      </rPr>
      <t xml:space="preserve">FC</t>
    </r>
    <r>
      <rPr>
        <sz val="9"/>
        <rFont val="游ゴシック"/>
        <family val="2"/>
      </rPr>
      <t xml:space="preserve">加盟店のうち明和・伊勢・久居・大垣・岐阜の</t>
    </r>
    <r>
      <rPr>
        <sz val="9"/>
        <rFont val="游ゴシック"/>
        <family val="2"/>
        <charset val="1"/>
      </rPr>
      <t xml:space="preserve">5</t>
    </r>
    <r>
      <rPr>
        <sz val="9"/>
        <rFont val="游ゴシック"/>
        <family val="2"/>
      </rPr>
      <t xml:space="preserve">店のみが負担し、ドン・キホーテ緑店は負担がない一方で地代家賃</t>
    </r>
    <r>
      <rPr>
        <sz val="9"/>
        <rFont val="游ゴシック"/>
        <family val="2"/>
        <charset val="1"/>
      </rPr>
      <t xml:space="preserve">5,407</t>
    </r>
    <r>
      <rPr>
        <sz val="9"/>
        <rFont val="游ゴシック"/>
        <family val="2"/>
      </rPr>
      <t xml:space="preserve">千円（売上高比</t>
    </r>
    <r>
      <rPr>
        <sz val="9"/>
        <rFont val="游ゴシック"/>
        <family val="2"/>
        <charset val="1"/>
      </rPr>
      <t xml:space="preserve">14.6%</t>
    </r>
    <r>
      <rPr>
        <sz val="9"/>
        <rFont val="游ゴシック"/>
        <family val="2"/>
      </rPr>
      <t xml:space="preserve">）を負担している。緑店のみ契約形態が異なる理由は要確認。
※広告宣伝費は</t>
    </r>
    <r>
      <rPr>
        <sz val="9"/>
        <rFont val="游ゴシック"/>
        <family val="2"/>
        <charset val="1"/>
      </rPr>
      <t xml:space="preserve">FC</t>
    </r>
    <r>
      <rPr>
        <sz val="9"/>
        <rFont val="游ゴシック"/>
        <family val="2"/>
      </rPr>
      <t xml:space="preserve">加盟店で月額</t>
    </r>
    <r>
      <rPr>
        <sz val="9"/>
        <rFont val="游ゴシック"/>
        <family val="2"/>
        <charset val="1"/>
      </rPr>
      <t xml:space="preserve">220</t>
    </r>
    <r>
      <rPr>
        <sz val="9"/>
        <rFont val="游ゴシック"/>
        <family val="2"/>
      </rPr>
      <t xml:space="preserve">千円（緑店は</t>
    </r>
    <r>
      <rPr>
        <sz val="9"/>
        <rFont val="游ゴシック"/>
        <family val="2"/>
        <charset val="1"/>
      </rPr>
      <t xml:space="preserve">110</t>
    </r>
    <r>
      <rPr>
        <sz val="9"/>
        <rFont val="游ゴシック"/>
        <family val="2"/>
      </rPr>
      <t xml:space="preserve">千円）の定額計上。路面店</t>
    </r>
    <r>
      <rPr>
        <sz val="9"/>
        <rFont val="游ゴシック"/>
        <family val="2"/>
        <charset val="1"/>
      </rPr>
      <t xml:space="preserve">2</t>
    </r>
    <r>
      <rPr>
        <sz val="9"/>
        <rFont val="游ゴシック"/>
        <family val="2"/>
      </rPr>
      <t xml:space="preserve">店は月額</t>
    </r>
    <r>
      <rPr>
        <sz val="9"/>
        <rFont val="游ゴシック"/>
        <family val="2"/>
        <charset val="1"/>
      </rPr>
      <t xml:space="preserve">300</t>
    </r>
    <r>
      <rPr>
        <sz val="9"/>
        <rFont val="游ゴシック"/>
        <family val="2"/>
      </rPr>
      <t xml:space="preserve">〜</t>
    </r>
    <r>
      <rPr>
        <sz val="9"/>
        <rFont val="游ゴシック"/>
        <family val="2"/>
        <charset val="1"/>
      </rPr>
      <t xml:space="preserve">360</t>
    </r>
    <r>
      <rPr>
        <sz val="9"/>
        <rFont val="游ゴシック"/>
        <family val="2"/>
      </rPr>
      <t xml:space="preserve">千円程度で、こちらも概ね定額である。</t>
    </r>
  </si>
  <si>
    <r>
      <rPr>
        <b val="true"/>
        <sz val="11"/>
        <color rgb="FF0B3041"/>
        <rFont val="游ゴシック"/>
        <family val="2"/>
      </rPr>
      <t xml:space="preserve">棚卸資産の内訳（</t>
    </r>
    <r>
      <rPr>
        <b val="true"/>
        <sz val="11"/>
        <color rgb="FF0B3041"/>
        <rFont val="游ゴシック"/>
        <family val="2"/>
        <charset val="1"/>
      </rPr>
      <t xml:space="preserve">2025</t>
    </r>
    <r>
      <rPr>
        <b val="true"/>
        <sz val="11"/>
        <color rgb="FF0B3041"/>
        <rFont val="游ゴシック"/>
        <family val="2"/>
      </rPr>
      <t xml:space="preserve">年</t>
    </r>
    <r>
      <rPr>
        <b val="true"/>
        <sz val="11"/>
        <color rgb="FF0B3041"/>
        <rFont val="游ゴシック"/>
        <family val="2"/>
        <charset val="1"/>
      </rPr>
      <t xml:space="preserve">12</t>
    </r>
    <r>
      <rPr>
        <b val="true"/>
        <sz val="11"/>
        <color rgb="FF0B3041"/>
        <rFont val="游ゴシック"/>
        <family val="2"/>
      </rPr>
      <t xml:space="preserve">月</t>
    </r>
    <r>
      <rPr>
        <b val="true"/>
        <sz val="11"/>
        <color rgb="FF0B3041"/>
        <rFont val="游ゴシック"/>
        <family val="2"/>
        <charset val="1"/>
      </rPr>
      <t xml:space="preserve">1</t>
    </r>
    <r>
      <rPr>
        <b val="true"/>
        <sz val="11"/>
        <color rgb="FF0B3041"/>
        <rFont val="游ゴシック"/>
        <family val="2"/>
      </rPr>
      <t xml:space="preserve">日時点＝</t>
    </r>
    <r>
      <rPr>
        <b val="true"/>
        <sz val="11"/>
        <color rgb="FF0B3041"/>
        <rFont val="游ゴシック"/>
        <family val="2"/>
        <charset val="1"/>
      </rPr>
      <t xml:space="preserve">2025</t>
    </r>
    <r>
      <rPr>
        <b val="true"/>
        <sz val="11"/>
        <color rgb="FF0B3041"/>
        <rFont val="游ゴシック"/>
        <family val="2"/>
      </rPr>
      <t xml:space="preserve">年</t>
    </r>
    <r>
      <rPr>
        <b val="true"/>
        <sz val="11"/>
        <color rgb="FF0B3041"/>
        <rFont val="游ゴシック"/>
        <family val="2"/>
        <charset val="1"/>
      </rPr>
      <t xml:space="preserve">11</t>
    </r>
    <r>
      <rPr>
        <b val="true"/>
        <sz val="11"/>
        <color rgb="FF0B3041"/>
        <rFont val="游ゴシック"/>
        <family val="2"/>
      </rPr>
      <t xml:space="preserve">月期末）</t>
    </r>
  </si>
  <si>
    <r>
      <rPr>
        <sz val="9"/>
        <rFont val="游ゴシック Medium"/>
        <family val="0"/>
        <charset val="1"/>
      </rPr>
      <t xml:space="preserve">(</t>
    </r>
    <r>
      <rPr>
        <sz val="9"/>
        <rFont val="游ゴシック"/>
        <family val="2"/>
      </rPr>
      <t xml:space="preserve">単位：千円／税抜</t>
    </r>
    <r>
      <rPr>
        <sz val="9"/>
        <rFont val="游ゴシック Medium"/>
        <family val="0"/>
        <charset val="1"/>
      </rPr>
      <t xml:space="preserve">)</t>
    </r>
  </si>
  <si>
    <t xml:space="preserve">拠点</t>
  </si>
  <si>
    <t xml:space="preserve">生体：アクア</t>
  </si>
  <si>
    <t xml:space="preserve">生体：小動物</t>
  </si>
  <si>
    <t xml:space="preserve">生体：犬猫</t>
  </si>
  <si>
    <t xml:space="preserve">生体 小計</t>
  </si>
  <si>
    <t xml:space="preserve">物販</t>
  </si>
  <si>
    <t xml:space="preserve">決算書の計上額</t>
  </si>
  <si>
    <r>
      <rPr>
        <sz val="9"/>
        <rFont val="游ゴシック"/>
        <family val="2"/>
      </rPr>
      <t xml:space="preserve">決算書上は松阪管理センター分</t>
    </r>
    <r>
      <rPr>
        <sz val="9"/>
        <rFont val="游ゴシック"/>
        <family val="2"/>
        <charset val="1"/>
      </rPr>
      <t xml:space="preserve">19,669,000</t>
    </r>
    <r>
      <rPr>
        <sz val="9"/>
        <rFont val="游ゴシック"/>
        <family val="2"/>
      </rPr>
      <t xml:space="preserve">円を含めて計上</t>
    </r>
  </si>
  <si>
    <t xml:space="preserve">　松阪管理センター</t>
  </si>
  <si>
    <t xml:space="preserve">明和店に含めて計上</t>
  </si>
  <si>
    <r>
      <rPr>
        <sz val="9"/>
        <rFont val="游ゴシック Medium"/>
        <family val="0"/>
        <charset val="1"/>
      </rPr>
      <t xml:space="preserve">2026</t>
    </r>
    <r>
      <rPr>
        <sz val="9"/>
        <rFont val="游ゴシック"/>
        <family val="2"/>
      </rPr>
      <t xml:space="preserve">年</t>
    </r>
    <r>
      <rPr>
        <sz val="9"/>
        <rFont val="游ゴシック Medium"/>
        <family val="0"/>
        <charset val="1"/>
      </rPr>
      <t xml:space="preserve">2</t>
    </r>
    <r>
      <rPr>
        <sz val="9"/>
        <rFont val="游ゴシック"/>
        <family val="2"/>
      </rPr>
      <t xml:space="preserve">月に撤退</t>
    </r>
  </si>
  <si>
    <r>
      <rPr>
        <sz val="9"/>
        <rFont val="游ゴシック Medium"/>
        <family val="0"/>
        <charset val="1"/>
      </rPr>
      <t xml:space="preserve">2026</t>
    </r>
    <r>
      <rPr>
        <sz val="9"/>
        <rFont val="游ゴシック"/>
        <family val="2"/>
      </rPr>
      <t xml:space="preserve">年</t>
    </r>
    <r>
      <rPr>
        <sz val="9"/>
        <rFont val="游ゴシック Medium"/>
        <family val="0"/>
        <charset val="1"/>
      </rPr>
      <t xml:space="preserve">1</t>
    </r>
    <r>
      <rPr>
        <sz val="9"/>
        <rFont val="游ゴシック"/>
        <family val="2"/>
      </rPr>
      <t xml:space="preserve">月に撤退</t>
    </r>
  </si>
  <si>
    <r>
      <rPr>
        <sz val="9"/>
        <rFont val="游ゴシック"/>
        <family val="2"/>
      </rPr>
      <t xml:space="preserve">決算書上は中志段味店分</t>
    </r>
    <r>
      <rPr>
        <sz val="9"/>
        <rFont val="游ゴシック"/>
        <family val="2"/>
        <charset val="1"/>
      </rPr>
      <t xml:space="preserve">108,013</t>
    </r>
    <r>
      <rPr>
        <sz val="9"/>
        <rFont val="游ゴシック"/>
        <family val="2"/>
      </rPr>
      <t xml:space="preserve">円を含めて計上</t>
    </r>
  </si>
  <si>
    <t xml:space="preserve">　ワンラブ コメリパワー中志段味店</t>
  </si>
  <si>
    <r>
      <rPr>
        <sz val="9"/>
        <rFont val="游ゴシック Medium"/>
        <family val="0"/>
        <charset val="1"/>
      </rPr>
      <t xml:space="preserve">2024</t>
    </r>
    <r>
      <rPr>
        <sz val="9"/>
        <rFont val="游ゴシック"/>
        <family val="2"/>
      </rPr>
      <t xml:space="preserve">年</t>
    </r>
    <r>
      <rPr>
        <sz val="9"/>
        <rFont val="游ゴシック Medium"/>
        <family val="0"/>
        <charset val="1"/>
      </rPr>
      <t xml:space="preserve">6</t>
    </r>
    <r>
      <rPr>
        <sz val="9"/>
        <rFont val="游ゴシック"/>
        <family val="2"/>
      </rPr>
      <t xml:space="preserve">月に譲渡済</t>
    </r>
  </si>
  <si>
    <t xml:space="preserve">【店舗合計】</t>
  </si>
  <si>
    <t xml:space="preserve">本社</t>
  </si>
  <si>
    <r>
      <rPr>
        <sz val="9"/>
        <rFont val="游ゴシック Medium"/>
        <family val="0"/>
        <charset val="1"/>
      </rPr>
      <t xml:space="preserve">2026</t>
    </r>
    <r>
      <rPr>
        <sz val="9"/>
        <rFont val="游ゴシック"/>
        <family val="2"/>
      </rPr>
      <t xml:space="preserve">年</t>
    </r>
    <r>
      <rPr>
        <sz val="9"/>
        <rFont val="游ゴシック Medium"/>
        <family val="0"/>
        <charset val="1"/>
      </rPr>
      <t xml:space="preserve">3</t>
    </r>
    <r>
      <rPr>
        <sz val="9"/>
        <rFont val="游ゴシック"/>
        <family val="2"/>
      </rPr>
      <t xml:space="preserve">月に廃棄損を計上</t>
    </r>
  </si>
  <si>
    <t xml:space="preserve">バックヤード</t>
  </si>
  <si>
    <t xml:space="preserve">外部保管分</t>
  </si>
  <si>
    <t xml:space="preserve">仕入先デザイナーズワン㈱への預け在庫</t>
  </si>
  <si>
    <t xml:space="preserve">【全社合計】</t>
  </si>
  <si>
    <r>
      <rPr>
        <sz val="9"/>
        <rFont val="游ゴシック"/>
        <family val="2"/>
      </rPr>
      <t xml:space="preserve">※出所：対象会社作成「棚卸表 </t>
    </r>
    <r>
      <rPr>
        <sz val="9"/>
        <rFont val="游ゴシック"/>
        <family val="2"/>
        <charset val="1"/>
      </rPr>
      <t xml:space="preserve">2025</t>
    </r>
    <r>
      <rPr>
        <sz val="9"/>
        <rFont val="游ゴシック"/>
        <family val="2"/>
      </rPr>
      <t xml:space="preserve">年</t>
    </r>
    <r>
      <rPr>
        <sz val="9"/>
        <rFont val="游ゴシック"/>
        <family val="2"/>
        <charset val="1"/>
      </rPr>
      <t xml:space="preserve">12</t>
    </r>
    <r>
      <rPr>
        <sz val="9"/>
        <rFont val="游ゴシック"/>
        <family val="2"/>
      </rPr>
      <t xml:space="preserve">月</t>
    </r>
    <r>
      <rPr>
        <sz val="9"/>
        <rFont val="游ゴシック"/>
        <family val="2"/>
        <charset val="1"/>
      </rPr>
      <t xml:space="preserve">1</t>
    </r>
    <r>
      <rPr>
        <sz val="9"/>
        <rFont val="游ゴシック"/>
        <family val="2"/>
      </rPr>
      <t xml:space="preserve">日時点（最終版）」。全社合計</t>
    </r>
    <r>
      <rPr>
        <sz val="9"/>
        <rFont val="游ゴシック"/>
        <family val="2"/>
        <charset val="1"/>
      </rPr>
      <t xml:space="preserve">106,017,284</t>
    </r>
    <r>
      <rPr>
        <sz val="9"/>
        <rFont val="游ゴシック"/>
        <family val="2"/>
      </rPr>
      <t xml:space="preserve">円は第</t>
    </r>
    <r>
      <rPr>
        <sz val="9"/>
        <rFont val="游ゴシック"/>
        <family val="2"/>
        <charset val="1"/>
      </rPr>
      <t xml:space="preserve">5</t>
    </r>
    <r>
      <rPr>
        <sz val="9"/>
        <rFont val="游ゴシック"/>
        <family val="2"/>
      </rPr>
      <t xml:space="preserve">期決算書の商品残高と一致する。
※本社</t>
    </r>
    <r>
      <rPr>
        <sz val="9"/>
        <rFont val="游ゴシック"/>
        <family val="2"/>
        <charset val="1"/>
      </rPr>
      <t xml:space="preserve">32,000</t>
    </r>
    <r>
      <rPr>
        <sz val="9"/>
        <rFont val="游ゴシック"/>
        <family val="2"/>
      </rPr>
      <t xml:space="preserve">千円＋バックヤード</t>
    </r>
    <r>
      <rPr>
        <sz val="9"/>
        <rFont val="游ゴシック"/>
        <family val="2"/>
        <charset val="1"/>
      </rPr>
      <t xml:space="preserve">12,000</t>
    </r>
    <r>
      <rPr>
        <sz val="9"/>
        <rFont val="游ゴシック"/>
        <family val="2"/>
      </rPr>
      <t xml:space="preserve">千円＝</t>
    </r>
    <r>
      <rPr>
        <sz val="9"/>
        <rFont val="游ゴシック"/>
        <family val="2"/>
        <charset val="1"/>
      </rPr>
      <t xml:space="preserve">44,000</t>
    </r>
    <r>
      <rPr>
        <sz val="9"/>
        <rFont val="游ゴシック"/>
        <family val="2"/>
      </rPr>
      <t xml:space="preserve">千円は、進行期の</t>
    </r>
    <r>
      <rPr>
        <sz val="9"/>
        <rFont val="游ゴシック"/>
        <family val="2"/>
        <charset val="1"/>
      </rPr>
      <t xml:space="preserve">2026</t>
    </r>
    <r>
      <rPr>
        <sz val="9"/>
        <rFont val="游ゴシック"/>
        <family val="2"/>
      </rPr>
      <t xml:space="preserve">年</t>
    </r>
    <r>
      <rPr>
        <sz val="9"/>
        <rFont val="游ゴシック"/>
        <family val="2"/>
        <charset val="1"/>
      </rPr>
      <t xml:space="preserve">3</t>
    </r>
    <r>
      <rPr>
        <sz val="9"/>
        <rFont val="游ゴシック"/>
        <family val="2"/>
      </rPr>
      <t xml:space="preserve">月に棚卸資産廃棄損として全額を特別損失に計上している。
※外部保管分</t>
    </r>
    <r>
      <rPr>
        <sz val="9"/>
        <rFont val="游ゴシック"/>
        <family val="2"/>
        <charset val="1"/>
      </rPr>
      <t xml:space="preserve">10,000</t>
    </r>
    <r>
      <rPr>
        <sz val="9"/>
        <rFont val="游ゴシック"/>
        <family val="2"/>
      </rPr>
      <t xml:space="preserve">千円は仕入先デザイナーズワン株式会社（代表者の親族が経営）への預け在庫。</t>
    </r>
    <r>
      <rPr>
        <sz val="9"/>
        <rFont val="游ゴシック"/>
        <family val="2"/>
        <charset val="1"/>
      </rPr>
      <t xml:space="preserve">2026</t>
    </r>
    <r>
      <rPr>
        <sz val="9"/>
        <rFont val="游ゴシック"/>
        <family val="2"/>
      </rPr>
      <t xml:space="preserve">年</t>
    </r>
    <r>
      <rPr>
        <sz val="9"/>
        <rFont val="游ゴシック"/>
        <family val="2"/>
        <charset val="1"/>
      </rPr>
      <t xml:space="preserve">6</t>
    </r>
    <r>
      <rPr>
        <sz val="9"/>
        <rFont val="游ゴシック"/>
        <family val="2"/>
      </rPr>
      <t xml:space="preserve">月末の商品残高</t>
    </r>
    <r>
      <rPr>
        <sz val="9"/>
        <rFont val="游ゴシック"/>
        <family val="2"/>
        <charset val="1"/>
      </rPr>
      <t xml:space="preserve">58,446</t>
    </r>
    <r>
      <rPr>
        <sz val="9"/>
        <rFont val="游ゴシック"/>
        <family val="2"/>
      </rPr>
      <t xml:space="preserve">千円のうち同額が含まれているかは要確認。
※「決算書の計上額」は第</t>
    </r>
    <r>
      <rPr>
        <sz val="9"/>
        <rFont val="游ゴシック"/>
        <family val="2"/>
        <charset val="1"/>
      </rPr>
      <t xml:space="preserve">5</t>
    </r>
    <r>
      <rPr>
        <sz val="9"/>
        <rFont val="游ゴシック"/>
        <family val="2"/>
      </rPr>
      <t xml:space="preserve">期決算報告書「売上高等の事業所別内訳書」の期末棚卸高。松阪管理センターは明和店に、中志段味店は緑店に含めて計上されている。</t>
    </r>
  </si>
  <si>
    <t xml:space="preserve">得意先</t>
  </si>
  <si>
    <t xml:space="preserve">取引内容</t>
  </si>
  <si>
    <t xml:space="preserve">業種等</t>
  </si>
  <si>
    <t xml:space="preserve">一般個人顧客（店舗販売）</t>
  </si>
  <si>
    <t xml:space="preserve">生体・ペット用品・トリミング・ペットホテル・ペット保険</t>
  </si>
  <si>
    <t xml:space="preserve">個人</t>
  </si>
  <si>
    <t xml:space="preserve">店舗での個人向け販売。得意先別の売上集計は行っていないため、事業所別内訳書の合計から下記セキュリティ事業を控除して算定</t>
  </si>
  <si>
    <t xml:space="preserve">セキュリティ機器販売先</t>
  </si>
  <si>
    <t xml:space="preserve">セキュリティ機器の販売・保守</t>
  </si>
  <si>
    <t xml:space="preserve">法人・個人</t>
  </si>
  <si>
    <t xml:space="preserve">代表者配偶者（淺野崇氏）が個人で開始した事業を法人が承継。現在は一部顧客にのみ対応で実質休眠</t>
  </si>
  <si>
    <r>
      <rPr>
        <sz val="9"/>
        <rFont val="游ゴシック"/>
        <family val="2"/>
      </rPr>
      <t xml:space="preserve">※本件は個人向け販売が売上の大宗を占め、得意先別売上高は把握していない（要確認）。</t>
    </r>
    <r>
      <rPr>
        <sz val="9"/>
        <rFont val="游ゴシック"/>
        <family val="2"/>
        <charset val="1"/>
      </rPr>
      <t xml:space="preserve">2025</t>
    </r>
    <r>
      <rPr>
        <sz val="9"/>
        <rFont val="游ゴシック"/>
        <family val="2"/>
      </rPr>
      <t xml:space="preserve">年</t>
    </r>
    <r>
      <rPr>
        <sz val="9"/>
        <rFont val="游ゴシック"/>
        <family val="2"/>
        <charset val="1"/>
      </rPr>
      <t xml:space="preserve">11</t>
    </r>
    <r>
      <rPr>
        <sz val="9"/>
        <rFont val="游ゴシック"/>
        <family val="2"/>
      </rPr>
      <t xml:space="preserve">月期末の売上債権先は ㈲ワンラブ </t>
    </r>
    <r>
      <rPr>
        <sz val="9"/>
        <rFont val="游ゴシック"/>
        <family val="2"/>
        <charset val="1"/>
      </rPr>
      <t xml:space="preserve">17,373</t>
    </r>
    <r>
      <rPr>
        <sz val="9"/>
        <rFont val="游ゴシック"/>
        <family val="2"/>
      </rPr>
      <t xml:space="preserve">千円／りそなカード㈱ </t>
    </r>
    <r>
      <rPr>
        <sz val="9"/>
        <rFont val="游ゴシック"/>
        <family val="2"/>
        <charset val="1"/>
      </rPr>
      <t xml:space="preserve">5,910</t>
    </r>
    <r>
      <rPr>
        <sz val="9"/>
        <rFont val="游ゴシック"/>
        <family val="2"/>
      </rPr>
      <t xml:space="preserve">千円／シティックスカード㈱ </t>
    </r>
    <r>
      <rPr>
        <sz val="9"/>
        <rFont val="游ゴシック"/>
        <family val="2"/>
        <charset val="1"/>
      </rPr>
      <t xml:space="preserve">3,109</t>
    </r>
    <r>
      <rPr>
        <sz val="9"/>
        <rFont val="游ゴシック"/>
        <family val="2"/>
      </rPr>
      <t xml:space="preserve">千円／</t>
    </r>
    <r>
      <rPr>
        <sz val="9"/>
        <rFont val="游ゴシック"/>
        <family val="2"/>
        <charset val="1"/>
      </rPr>
      <t xml:space="preserve">PayPay</t>
    </r>
    <r>
      <rPr>
        <sz val="9"/>
        <rFont val="游ゴシック"/>
        <family val="2"/>
      </rPr>
      <t xml:space="preserve">㈱ </t>
    </r>
    <r>
      <rPr>
        <sz val="9"/>
        <rFont val="游ゴシック"/>
        <family val="2"/>
        <charset val="1"/>
      </rPr>
      <t xml:space="preserve">821</t>
    </r>
    <r>
      <rPr>
        <sz val="9"/>
        <rFont val="游ゴシック"/>
        <family val="2"/>
      </rPr>
      <t xml:space="preserve">千円／ポケットカード㈱ </t>
    </r>
    <r>
      <rPr>
        <sz val="9"/>
        <rFont val="游ゴシック"/>
        <family val="2"/>
        <charset val="1"/>
      </rPr>
      <t xml:space="preserve">415</t>
    </r>
    <r>
      <rPr>
        <sz val="9"/>
        <rFont val="游ゴシック"/>
        <family val="2"/>
      </rPr>
      <t xml:space="preserve">千円（計</t>
    </r>
    <r>
      <rPr>
        <sz val="9"/>
        <rFont val="游ゴシック"/>
        <family val="2"/>
        <charset val="1"/>
      </rPr>
      <t xml:space="preserve">27,628</t>
    </r>
    <r>
      <rPr>
        <sz val="9"/>
        <rFont val="游ゴシック"/>
        <family val="2"/>
      </rPr>
      <t xml:space="preserve">千円）。</t>
    </r>
  </si>
  <si>
    <t xml:space="preserve">仕入先</t>
  </si>
  <si>
    <t xml:space="preserve">仕入内容</t>
  </si>
  <si>
    <t xml:space="preserve">仕入高</t>
  </si>
  <si>
    <t xml:space="preserve">ジャペル株式会社</t>
  </si>
  <si>
    <t xml:space="preserve">生体・飼育用品等</t>
  </si>
  <si>
    <t xml:space="preserve">愛知県春日井市</t>
  </si>
  <si>
    <r>
      <rPr>
        <sz val="12"/>
        <color theme="1"/>
        <rFont val="游ゴシック"/>
        <family val="2"/>
      </rPr>
      <t xml:space="preserve">肥料・飼料卸売業。仕入高の約</t>
    </r>
    <r>
      <rPr>
        <sz val="12"/>
        <color theme="1"/>
        <rFont val="游ゴシック"/>
        <family val="2"/>
        <charset val="1"/>
      </rPr>
      <t xml:space="preserve">6</t>
    </r>
    <r>
      <rPr>
        <sz val="12"/>
        <color theme="1"/>
        <rFont val="游ゴシック"/>
        <family val="2"/>
      </rPr>
      <t xml:space="preserve">割を占める最大の仕入先</t>
    </r>
  </si>
  <si>
    <t xml:space="preserve">有限会社ワンラブ</t>
  </si>
  <si>
    <t xml:space="preserve">愛知県名古屋市</t>
  </si>
  <si>
    <t xml:space="preserve">フランチャイズ本部。仕入に関する取引契約を締結。生体はワンラブがオークション会場で仕入れ、マイクロチップ埋込・ワクチン等の処理後に当社へ供給</t>
  </si>
  <si>
    <t xml:space="preserve">個人ブリーダー（複数）</t>
  </si>
  <si>
    <t xml:space="preserve">生体</t>
  </si>
  <si>
    <t xml:space="preserve">大型犬専門店の展開に伴い直接仕入を拡大</t>
  </si>
  <si>
    <t xml:space="preserve">デザイナーズワン株式会社</t>
  </si>
  <si>
    <r>
      <rPr>
        <sz val="12"/>
        <color theme="1"/>
        <rFont val="游ゴシック"/>
        <family val="2"/>
      </rPr>
      <t xml:space="preserve">代表者の親族が経営する会社。当社が営業権を保有（簿価</t>
    </r>
    <r>
      <rPr>
        <sz val="12"/>
        <color theme="1"/>
        <rFont val="游ゴシック"/>
        <family val="2"/>
        <charset val="1"/>
      </rPr>
      <t xml:space="preserve">1,500</t>
    </r>
    <r>
      <rPr>
        <sz val="12"/>
        <color theme="1"/>
        <rFont val="游ゴシック"/>
        <family val="2"/>
      </rPr>
      <t xml:space="preserve">千円）。大垣・松阪の両管理センターで同社の生体管理を受託</t>
    </r>
  </si>
  <si>
    <r>
      <rPr>
        <sz val="12"/>
        <color theme="1"/>
        <rFont val="游ゴシック"/>
        <family val="2"/>
      </rPr>
      <t xml:space="preserve">その他約</t>
    </r>
    <r>
      <rPr>
        <sz val="12"/>
        <color theme="1"/>
        <rFont val="游ゴシック"/>
        <family val="2"/>
        <charset val="1"/>
      </rPr>
      <t xml:space="preserve">50</t>
    </r>
    <r>
      <rPr>
        <sz val="12"/>
        <color theme="1"/>
        <rFont val="游ゴシック"/>
        <family val="2"/>
      </rPr>
      <t xml:space="preserve">社（個人含む）</t>
    </r>
  </si>
  <si>
    <r>
      <rPr>
        <sz val="9"/>
        <rFont val="游ゴシック"/>
        <family val="2"/>
      </rPr>
      <t xml:space="preserve">※出所：対象会社提供の既存会社説明資料（対象会社提供の総勘定元帳より「商品仕入高」を集計）。</t>
    </r>
    <r>
      <rPr>
        <sz val="9"/>
        <rFont val="游ゴシック"/>
        <family val="2"/>
        <charset val="1"/>
      </rPr>
      <t xml:space="preserve">PL</t>
    </r>
    <r>
      <rPr>
        <sz val="9"/>
        <rFont val="游ゴシック"/>
        <family val="2"/>
      </rPr>
      <t xml:space="preserve">上の商品仕入高（</t>
    </r>
    <r>
      <rPr>
        <sz val="9"/>
        <rFont val="游ゴシック"/>
        <family val="2"/>
        <charset val="1"/>
      </rPr>
      <t xml:space="preserve">183,854</t>
    </r>
    <r>
      <rPr>
        <sz val="9"/>
        <rFont val="游ゴシック"/>
        <family val="2"/>
      </rPr>
      <t xml:space="preserve">／</t>
    </r>
    <r>
      <rPr>
        <sz val="9"/>
        <rFont val="游ゴシック"/>
        <family val="2"/>
        <charset val="1"/>
      </rPr>
      <t xml:space="preserve">220,801</t>
    </r>
    <r>
      <rPr>
        <sz val="9"/>
        <rFont val="游ゴシック"/>
        <family val="2"/>
      </rPr>
      <t xml:space="preserve">／</t>
    </r>
    <r>
      <rPr>
        <sz val="9"/>
        <rFont val="游ゴシック"/>
        <family val="2"/>
        <charset val="1"/>
      </rPr>
      <t xml:space="preserve">182,243</t>
    </r>
    <r>
      <rPr>
        <sz val="9"/>
        <rFont val="游ゴシック"/>
        <family val="2"/>
      </rPr>
      <t xml:space="preserve">千円）と一致することを確認済。</t>
    </r>
  </si>
  <si>
    <t xml:space="preserve">外注先</t>
  </si>
  <si>
    <t xml:space="preserve">外注内容</t>
  </si>
  <si>
    <t xml:space="preserve">要確認（内訳未受領）</t>
  </si>
  <si>
    <t xml:space="preserve">トリミング・生体管理等の外部委託と推察</t>
  </si>
  <si>
    <t xml:space="preserve">売上原価の「外注費」総額。取引先別の内訳は未受領のため要確認</t>
  </si>
  <si>
    <t xml:space="preserve">役職</t>
  </si>
  <si>
    <r>
      <rPr>
        <b val="true"/>
        <sz val="12"/>
        <color theme="0"/>
        <rFont val="游ゴシック"/>
        <family val="2"/>
      </rPr>
      <t xml:space="preserve">役員報酬
（</t>
    </r>
    <r>
      <rPr>
        <b val="true"/>
        <sz val="12"/>
        <color theme="0"/>
        <rFont val="游ゴシック"/>
        <family val="2"/>
        <charset val="1"/>
      </rPr>
      <t xml:space="preserve">2025</t>
    </r>
    <r>
      <rPr>
        <b val="true"/>
        <sz val="12"/>
        <color theme="0"/>
        <rFont val="游ゴシック"/>
        <family val="2"/>
      </rPr>
      <t xml:space="preserve">年</t>
    </r>
    <r>
      <rPr>
        <b val="true"/>
        <sz val="12"/>
        <color theme="0"/>
        <rFont val="游ゴシック"/>
        <family val="2"/>
        <charset val="1"/>
      </rPr>
      <t xml:space="preserve">11</t>
    </r>
    <r>
      <rPr>
        <b val="true"/>
        <sz val="12"/>
        <color theme="0"/>
        <rFont val="游ゴシック"/>
        <family val="2"/>
      </rPr>
      <t xml:space="preserve">月期）</t>
    </r>
  </si>
  <si>
    <t xml:space="preserve">保有株式数</t>
  </si>
  <si>
    <t xml:space="preserve">保有割合</t>
  </si>
  <si>
    <t xml:space="preserve">淺野　ゆう子</t>
  </si>
  <si>
    <t xml:space="preserve">代表取締役</t>
  </si>
  <si>
    <t xml:space="preserve">本件依頼者。引継完了後、退任予定</t>
  </si>
  <si>
    <r>
      <rPr>
        <sz val="9"/>
        <rFont val="游ゴシック"/>
        <family val="2"/>
      </rPr>
      <t xml:space="preserve">※株券不発行会社。譲渡制限規定あり（株主総会承認）。設立（</t>
    </r>
    <r>
      <rPr>
        <sz val="9"/>
        <rFont val="游ゴシック"/>
        <family val="2"/>
        <charset val="1"/>
      </rPr>
      <t xml:space="preserve">2020</t>
    </r>
    <r>
      <rPr>
        <sz val="9"/>
        <rFont val="游ゴシック"/>
        <family val="2"/>
      </rPr>
      <t xml:space="preserve">年</t>
    </r>
    <r>
      <rPr>
        <sz val="9"/>
        <rFont val="游ゴシック"/>
        <family val="2"/>
        <charset val="1"/>
      </rPr>
      <t xml:space="preserve">12</t>
    </r>
    <r>
      <rPr>
        <sz val="9"/>
        <rFont val="游ゴシック"/>
        <family val="2"/>
      </rPr>
      <t xml:space="preserve">月）以降、株主の変動なし。</t>
    </r>
  </si>
  <si>
    <t xml:space="preserve">代表者との関係</t>
  </si>
  <si>
    <t xml:space="preserve">業務範囲</t>
  </si>
  <si>
    <t xml:space="preserve">本人</t>
  </si>
  <si>
    <t xml:space="preserve">経理全般、金融機関対応</t>
  </si>
  <si>
    <t xml:space="preserve">引継完了後、退任予定</t>
  </si>
  <si>
    <r>
      <rPr>
        <sz val="9"/>
        <rFont val="游ゴシック"/>
        <family val="2"/>
      </rPr>
      <t xml:space="preserve">※取締役会・監査役はいずれも非設置。役員は代表取締役</t>
    </r>
    <r>
      <rPr>
        <sz val="9"/>
        <rFont val="游ゴシック"/>
        <family val="2"/>
        <charset val="1"/>
      </rPr>
      <t xml:space="preserve">1</t>
    </r>
    <r>
      <rPr>
        <sz val="9"/>
        <rFont val="游ゴシック"/>
        <family val="2"/>
      </rPr>
      <t xml:space="preserve">名のみ。
※現場責任者の淺野　崇氏（代表者の配偶者・</t>
    </r>
    <r>
      <rPr>
        <sz val="9"/>
        <rFont val="游ゴシック"/>
        <family val="2"/>
        <charset val="1"/>
      </rPr>
      <t xml:space="preserve">1980</t>
    </r>
    <r>
      <rPr>
        <sz val="9"/>
        <rFont val="游ゴシック"/>
        <family val="2"/>
      </rPr>
      <t xml:space="preserve">年</t>
    </r>
    <r>
      <rPr>
        <sz val="9"/>
        <rFont val="游ゴシック"/>
        <family val="2"/>
        <charset val="1"/>
      </rPr>
      <t xml:space="preserve">10</t>
    </r>
    <r>
      <rPr>
        <sz val="9"/>
        <rFont val="游ゴシック"/>
        <family val="2"/>
      </rPr>
      <t xml:space="preserve">月生）は役員ではなく従業員（</t>
    </r>
    <r>
      <rPr>
        <sz val="9"/>
        <rFont val="游ゴシック"/>
        <family val="2"/>
        <charset val="1"/>
      </rPr>
      <t xml:space="preserve">2025</t>
    </r>
    <r>
      <rPr>
        <sz val="9"/>
        <rFont val="游ゴシック"/>
        <family val="2"/>
      </rPr>
      <t xml:space="preserve">年</t>
    </r>
    <r>
      <rPr>
        <sz val="9"/>
        <rFont val="游ゴシック"/>
        <family val="2"/>
        <charset val="1"/>
      </rPr>
      <t xml:space="preserve">11</t>
    </r>
    <r>
      <rPr>
        <sz val="9"/>
        <rFont val="游ゴシック"/>
        <family val="2"/>
      </rPr>
      <t xml:space="preserve">月期 給与</t>
    </r>
    <r>
      <rPr>
        <sz val="9"/>
        <rFont val="游ゴシック"/>
        <family val="2"/>
        <charset val="1"/>
      </rPr>
      <t xml:space="preserve">7,000</t>
    </r>
    <r>
      <rPr>
        <sz val="9"/>
        <rFont val="游ゴシック"/>
        <family val="2"/>
      </rPr>
      <t xml:space="preserve">千円）。経営業務・人材育成・店舗管理を担い、ドン・キホーテ緑店および大垣管理センターの動物取扱責任者を兼務するキーパーソン。本件は既知で、譲渡後の継続関与を前提としている（要確認）。</t>
    </r>
  </si>
  <si>
    <t xml:space="preserve">イニシャル</t>
  </si>
  <si>
    <t xml:space="preserve">雇用形態</t>
  </si>
  <si>
    <t xml:space="preserve">性別</t>
  </si>
  <si>
    <t xml:space="preserve">年齢
（歳）</t>
  </si>
  <si>
    <t xml:space="preserve">勤続年数</t>
  </si>
  <si>
    <t xml:space="preserve">部署・店舗</t>
  </si>
  <si>
    <t xml:space="preserve">淺野 ゆう子</t>
  </si>
  <si>
    <t xml:space="preserve">役員</t>
  </si>
  <si>
    <t xml:space="preserve">女</t>
  </si>
  <si>
    <t xml:space="preserve">40</t>
  </si>
  <si>
    <t xml:space="preserve">経理全般・金融機関対応</t>
  </si>
  <si>
    <t xml:space="preserve">淺野 崇</t>
  </si>
  <si>
    <t xml:space="preserve">男</t>
  </si>
  <si>
    <t xml:space="preserve">45</t>
  </si>
  <si>
    <t xml:space="preserve">現場責任者</t>
  </si>
  <si>
    <t xml:space="preserve">経営業務・人材育成・店舗管理。緑店・大垣管理センターの動物取扱責任者を兼務</t>
  </si>
  <si>
    <t xml:space="preserve">H.Y</t>
  </si>
  <si>
    <t xml:space="preserve">正社員</t>
  </si>
  <si>
    <t xml:space="preserve">26</t>
  </si>
  <si>
    <r>
      <rPr>
        <sz val="9"/>
        <rFont val="游ゴシック"/>
        <family val="0"/>
        <charset val="1"/>
      </rPr>
      <t xml:space="preserve">1</t>
    </r>
    <r>
      <rPr>
        <sz val="9"/>
        <rFont val="游ゴシック"/>
        <family val="2"/>
      </rPr>
      <t xml:space="preserve">年</t>
    </r>
    <r>
      <rPr>
        <sz val="9"/>
        <rFont val="游ゴシック"/>
        <family val="0"/>
        <charset val="1"/>
      </rPr>
      <t xml:space="preserve">0</t>
    </r>
    <r>
      <rPr>
        <sz val="9"/>
        <rFont val="游ゴシック"/>
        <family val="2"/>
      </rPr>
      <t xml:space="preserve">か月</t>
    </r>
  </si>
  <si>
    <t xml:space="preserve">T.M</t>
  </si>
  <si>
    <t xml:space="preserve">23</t>
  </si>
  <si>
    <t xml:space="preserve">A.N</t>
  </si>
  <si>
    <t xml:space="preserve">21</t>
  </si>
  <si>
    <r>
      <rPr>
        <sz val="9"/>
        <rFont val="游ゴシック"/>
        <family val="0"/>
        <charset val="1"/>
      </rPr>
      <t xml:space="preserve">0</t>
    </r>
    <r>
      <rPr>
        <sz val="9"/>
        <rFont val="游ゴシック"/>
        <family val="2"/>
      </rPr>
      <t xml:space="preserve">年</t>
    </r>
    <r>
      <rPr>
        <sz val="9"/>
        <rFont val="游ゴシック"/>
        <family val="0"/>
        <charset val="1"/>
      </rPr>
      <t xml:space="preserve">6</t>
    </r>
    <r>
      <rPr>
        <sz val="9"/>
        <rFont val="游ゴシック"/>
        <family val="2"/>
      </rPr>
      <t xml:space="preserve">か月</t>
    </r>
  </si>
  <si>
    <t xml:space="preserve">W.A</t>
  </si>
  <si>
    <t xml:space="preserve">アルバイト</t>
  </si>
  <si>
    <t xml:space="preserve">29</t>
  </si>
  <si>
    <r>
      <rPr>
        <sz val="9"/>
        <rFont val="游ゴシック"/>
        <family val="0"/>
        <charset val="1"/>
      </rPr>
      <t xml:space="preserve">1</t>
    </r>
    <r>
      <rPr>
        <sz val="9"/>
        <rFont val="游ゴシック"/>
        <family val="2"/>
      </rPr>
      <t xml:space="preserve">年</t>
    </r>
    <r>
      <rPr>
        <sz val="9"/>
        <rFont val="游ゴシック"/>
        <family val="0"/>
        <charset val="1"/>
      </rPr>
      <t xml:space="preserve">7</t>
    </r>
    <r>
      <rPr>
        <sz val="9"/>
        <rFont val="游ゴシック"/>
        <family val="2"/>
      </rPr>
      <t xml:space="preserve">か月</t>
    </r>
  </si>
  <si>
    <t xml:space="preserve">K.R</t>
  </si>
  <si>
    <t xml:space="preserve">25</t>
  </si>
  <si>
    <r>
      <rPr>
        <sz val="9"/>
        <rFont val="游ゴシック"/>
        <family val="0"/>
        <charset val="1"/>
      </rPr>
      <t xml:space="preserve">1</t>
    </r>
    <r>
      <rPr>
        <sz val="9"/>
        <rFont val="游ゴシック"/>
        <family val="2"/>
      </rPr>
      <t xml:space="preserve">年</t>
    </r>
    <r>
      <rPr>
        <sz val="9"/>
        <rFont val="游ゴシック"/>
        <family val="0"/>
        <charset val="1"/>
      </rPr>
      <t xml:space="preserve">4</t>
    </r>
    <r>
      <rPr>
        <sz val="9"/>
        <rFont val="游ゴシック"/>
        <family val="2"/>
      </rPr>
      <t xml:space="preserve">か月</t>
    </r>
  </si>
  <si>
    <t xml:space="preserve">M.C</t>
  </si>
  <si>
    <t xml:space="preserve">41</t>
  </si>
  <si>
    <r>
      <rPr>
        <sz val="9"/>
        <rFont val="游ゴシック"/>
        <family val="0"/>
        <charset val="1"/>
      </rPr>
      <t xml:space="preserve">0</t>
    </r>
    <r>
      <rPr>
        <sz val="9"/>
        <rFont val="游ゴシック"/>
        <family val="2"/>
      </rPr>
      <t xml:space="preserve">年</t>
    </r>
    <r>
      <rPr>
        <sz val="9"/>
        <rFont val="游ゴシック"/>
        <family val="0"/>
        <charset val="1"/>
      </rPr>
      <t xml:space="preserve">7</t>
    </r>
    <r>
      <rPr>
        <sz val="9"/>
        <rFont val="游ゴシック"/>
        <family val="2"/>
      </rPr>
      <t xml:space="preserve">か月</t>
    </r>
  </si>
  <si>
    <t xml:space="preserve">N.M</t>
  </si>
  <si>
    <t xml:space="preserve">31</t>
  </si>
  <si>
    <r>
      <rPr>
        <sz val="9"/>
        <rFont val="游ゴシック"/>
        <family val="0"/>
        <charset val="1"/>
      </rPr>
      <t xml:space="preserve">6</t>
    </r>
    <r>
      <rPr>
        <sz val="9"/>
        <rFont val="游ゴシック"/>
        <family val="2"/>
      </rPr>
      <t xml:space="preserve">年</t>
    </r>
    <r>
      <rPr>
        <sz val="9"/>
        <rFont val="游ゴシック"/>
        <family val="0"/>
        <charset val="1"/>
      </rPr>
      <t xml:space="preserve">5</t>
    </r>
    <r>
      <rPr>
        <sz val="9"/>
        <rFont val="游ゴシック"/>
        <family val="2"/>
      </rPr>
      <t xml:space="preserve">か月</t>
    </r>
  </si>
  <si>
    <t xml:space="preserve">O.T</t>
  </si>
  <si>
    <t xml:space="preserve">63</t>
  </si>
  <si>
    <r>
      <rPr>
        <sz val="9"/>
        <rFont val="游ゴシック"/>
        <family val="0"/>
        <charset val="1"/>
      </rPr>
      <t xml:space="preserve">5</t>
    </r>
    <r>
      <rPr>
        <sz val="9"/>
        <rFont val="游ゴシック"/>
        <family val="2"/>
      </rPr>
      <t xml:space="preserve">年</t>
    </r>
    <r>
      <rPr>
        <sz val="9"/>
        <rFont val="游ゴシック"/>
        <family val="0"/>
        <charset val="1"/>
      </rPr>
      <t xml:space="preserve">9</t>
    </r>
    <r>
      <rPr>
        <sz val="9"/>
        <rFont val="游ゴシック"/>
        <family val="2"/>
      </rPr>
      <t xml:space="preserve">か月</t>
    </r>
  </si>
  <si>
    <t xml:space="preserve">O.M</t>
  </si>
  <si>
    <t xml:space="preserve">51</t>
  </si>
  <si>
    <t xml:space="preserve">T.A</t>
  </si>
  <si>
    <t xml:space="preserve">32</t>
  </si>
  <si>
    <r>
      <rPr>
        <sz val="9"/>
        <rFont val="游ゴシック"/>
        <family val="0"/>
        <charset val="1"/>
      </rPr>
      <t xml:space="preserve">3</t>
    </r>
    <r>
      <rPr>
        <sz val="9"/>
        <rFont val="游ゴシック"/>
        <family val="2"/>
      </rPr>
      <t xml:space="preserve">年</t>
    </r>
    <r>
      <rPr>
        <sz val="9"/>
        <rFont val="游ゴシック"/>
        <family val="0"/>
        <charset val="1"/>
      </rPr>
      <t xml:space="preserve">4</t>
    </r>
    <r>
      <rPr>
        <sz val="9"/>
        <rFont val="游ゴシック"/>
        <family val="2"/>
      </rPr>
      <t xml:space="preserve">か月</t>
    </r>
  </si>
  <si>
    <t xml:space="preserve">O.H</t>
  </si>
  <si>
    <t xml:space="preserve">24</t>
  </si>
  <si>
    <r>
      <rPr>
        <sz val="9"/>
        <rFont val="游ゴシック"/>
        <family val="0"/>
        <charset val="1"/>
      </rPr>
      <t xml:space="preserve">2</t>
    </r>
    <r>
      <rPr>
        <sz val="9"/>
        <rFont val="游ゴシック"/>
        <family val="2"/>
      </rPr>
      <t xml:space="preserve">年</t>
    </r>
    <r>
      <rPr>
        <sz val="9"/>
        <rFont val="游ゴシック"/>
        <family val="0"/>
        <charset val="1"/>
      </rPr>
      <t xml:space="preserve">2</t>
    </r>
    <r>
      <rPr>
        <sz val="9"/>
        <rFont val="游ゴシック"/>
        <family val="2"/>
      </rPr>
      <t xml:space="preserve">か月</t>
    </r>
  </si>
  <si>
    <t xml:space="preserve">H.M</t>
  </si>
  <si>
    <t xml:space="preserve">20</t>
  </si>
  <si>
    <r>
      <rPr>
        <sz val="9"/>
        <rFont val="游ゴシック"/>
        <family val="0"/>
        <charset val="1"/>
      </rPr>
      <t xml:space="preserve">1</t>
    </r>
    <r>
      <rPr>
        <sz val="9"/>
        <rFont val="游ゴシック"/>
        <family val="2"/>
      </rPr>
      <t xml:space="preserve">年</t>
    </r>
    <r>
      <rPr>
        <sz val="9"/>
        <rFont val="游ゴシック"/>
        <family val="0"/>
        <charset val="1"/>
      </rPr>
      <t xml:space="preserve">2</t>
    </r>
    <r>
      <rPr>
        <sz val="9"/>
        <rFont val="游ゴシック"/>
        <family val="2"/>
      </rPr>
      <t xml:space="preserve">か月</t>
    </r>
  </si>
  <si>
    <t xml:space="preserve">K.K</t>
  </si>
  <si>
    <r>
      <rPr>
        <sz val="9"/>
        <rFont val="游ゴシック"/>
        <family val="0"/>
        <charset val="1"/>
      </rPr>
      <t xml:space="preserve">0</t>
    </r>
    <r>
      <rPr>
        <sz val="9"/>
        <rFont val="游ゴシック"/>
        <family val="2"/>
      </rPr>
      <t xml:space="preserve">年</t>
    </r>
    <r>
      <rPr>
        <sz val="9"/>
        <rFont val="游ゴシック"/>
        <family val="0"/>
        <charset val="1"/>
      </rPr>
      <t xml:space="preserve">5</t>
    </r>
    <r>
      <rPr>
        <sz val="9"/>
        <rFont val="游ゴシック"/>
        <family val="2"/>
      </rPr>
      <t xml:space="preserve">か月</t>
    </r>
  </si>
  <si>
    <t xml:space="preserve">W.T</t>
  </si>
  <si>
    <t xml:space="preserve">28</t>
  </si>
  <si>
    <r>
      <rPr>
        <sz val="9"/>
        <rFont val="游ゴシック"/>
        <family val="0"/>
        <charset val="1"/>
      </rPr>
      <t xml:space="preserve">0</t>
    </r>
    <r>
      <rPr>
        <sz val="9"/>
        <rFont val="游ゴシック"/>
        <family val="2"/>
      </rPr>
      <t xml:space="preserve">年</t>
    </r>
    <r>
      <rPr>
        <sz val="9"/>
        <rFont val="游ゴシック"/>
        <family val="0"/>
        <charset val="1"/>
      </rPr>
      <t xml:space="preserve">4</t>
    </r>
    <r>
      <rPr>
        <sz val="9"/>
        <rFont val="游ゴシック"/>
        <family val="2"/>
      </rPr>
      <t xml:space="preserve">か月</t>
    </r>
  </si>
  <si>
    <t xml:space="preserve">O.N</t>
  </si>
  <si>
    <t xml:space="preserve">43</t>
  </si>
  <si>
    <t xml:space="preserve">22</t>
  </si>
  <si>
    <r>
      <rPr>
        <sz val="9"/>
        <rFont val="游ゴシック"/>
        <family val="0"/>
        <charset val="1"/>
      </rPr>
      <t xml:space="preserve">0</t>
    </r>
    <r>
      <rPr>
        <sz val="9"/>
        <rFont val="游ゴシック"/>
        <family val="2"/>
      </rPr>
      <t xml:space="preserve">年</t>
    </r>
    <r>
      <rPr>
        <sz val="9"/>
        <rFont val="游ゴシック"/>
        <family val="0"/>
        <charset val="1"/>
      </rPr>
      <t xml:space="preserve">10</t>
    </r>
    <r>
      <rPr>
        <sz val="9"/>
        <rFont val="游ゴシック"/>
        <family val="2"/>
      </rPr>
      <t xml:space="preserve">か月</t>
    </r>
  </si>
  <si>
    <t xml:space="preserve">N.Y</t>
  </si>
  <si>
    <t xml:space="preserve">K.M</t>
  </si>
  <si>
    <t xml:space="preserve">33</t>
  </si>
  <si>
    <t xml:space="preserve">K.Y</t>
  </si>
  <si>
    <r>
      <rPr>
        <sz val="9"/>
        <rFont val="游ゴシック"/>
        <family val="0"/>
        <charset val="1"/>
      </rPr>
      <t xml:space="preserve">0</t>
    </r>
    <r>
      <rPr>
        <sz val="9"/>
        <rFont val="游ゴシック"/>
        <family val="2"/>
      </rPr>
      <t xml:space="preserve">年</t>
    </r>
    <r>
      <rPr>
        <sz val="9"/>
        <rFont val="游ゴシック"/>
        <family val="0"/>
        <charset val="1"/>
      </rPr>
      <t xml:space="preserve">11</t>
    </r>
    <r>
      <rPr>
        <sz val="9"/>
        <rFont val="游ゴシック"/>
        <family val="2"/>
      </rPr>
      <t xml:space="preserve">か月</t>
    </r>
  </si>
  <si>
    <t xml:space="preserve">K.A</t>
  </si>
  <si>
    <r>
      <rPr>
        <sz val="9"/>
        <rFont val="游ゴシック"/>
        <family val="0"/>
        <charset val="1"/>
      </rPr>
      <t xml:space="preserve">2</t>
    </r>
    <r>
      <rPr>
        <sz val="9"/>
        <rFont val="游ゴシック"/>
        <family val="2"/>
      </rPr>
      <t xml:space="preserve">年</t>
    </r>
    <r>
      <rPr>
        <sz val="9"/>
        <rFont val="游ゴシック"/>
        <family val="0"/>
        <charset val="1"/>
      </rPr>
      <t xml:space="preserve">8</t>
    </r>
    <r>
      <rPr>
        <sz val="9"/>
        <rFont val="游ゴシック"/>
        <family val="2"/>
      </rPr>
      <t xml:space="preserve">か月</t>
    </r>
  </si>
  <si>
    <t xml:space="preserve">O.Y</t>
  </si>
  <si>
    <t xml:space="preserve">53</t>
  </si>
  <si>
    <r>
      <rPr>
        <sz val="9"/>
        <rFont val="游ゴシック"/>
        <family val="0"/>
        <charset val="1"/>
      </rPr>
      <t xml:space="preserve">5</t>
    </r>
    <r>
      <rPr>
        <sz val="9"/>
        <rFont val="游ゴシック"/>
        <family val="2"/>
      </rPr>
      <t xml:space="preserve">年</t>
    </r>
    <r>
      <rPr>
        <sz val="9"/>
        <rFont val="游ゴシック"/>
        <family val="0"/>
        <charset val="1"/>
      </rPr>
      <t xml:space="preserve">3</t>
    </r>
    <r>
      <rPr>
        <sz val="9"/>
        <rFont val="游ゴシック"/>
        <family val="2"/>
      </rPr>
      <t xml:space="preserve">か月</t>
    </r>
  </si>
  <si>
    <t xml:space="preserve">Y.Y</t>
  </si>
  <si>
    <t xml:space="preserve">K.E</t>
  </si>
  <si>
    <t xml:space="preserve">S.K</t>
  </si>
  <si>
    <t xml:space="preserve">O.F</t>
  </si>
  <si>
    <r>
      <rPr>
        <sz val="9"/>
        <rFont val="游ゴシック"/>
        <family val="0"/>
        <charset val="1"/>
      </rPr>
      <t xml:space="preserve">0</t>
    </r>
    <r>
      <rPr>
        <sz val="9"/>
        <rFont val="游ゴシック"/>
        <family val="2"/>
      </rPr>
      <t xml:space="preserve">年</t>
    </r>
    <r>
      <rPr>
        <sz val="9"/>
        <rFont val="游ゴシック"/>
        <family val="0"/>
        <charset val="1"/>
      </rPr>
      <t xml:space="preserve">1</t>
    </r>
    <r>
      <rPr>
        <sz val="9"/>
        <rFont val="游ゴシック"/>
        <family val="2"/>
      </rPr>
      <t xml:space="preserve">か月</t>
    </r>
  </si>
  <si>
    <t xml:space="preserve">T.K</t>
  </si>
  <si>
    <t xml:space="preserve">44</t>
  </si>
  <si>
    <r>
      <rPr>
        <sz val="9"/>
        <rFont val="游ゴシック"/>
        <family val="0"/>
        <charset val="1"/>
      </rPr>
      <t xml:space="preserve">0</t>
    </r>
    <r>
      <rPr>
        <sz val="9"/>
        <rFont val="游ゴシック"/>
        <family val="2"/>
      </rPr>
      <t xml:space="preserve">年</t>
    </r>
    <r>
      <rPr>
        <sz val="9"/>
        <rFont val="游ゴシック"/>
        <family val="0"/>
        <charset val="1"/>
      </rPr>
      <t xml:space="preserve">0</t>
    </r>
    <r>
      <rPr>
        <sz val="9"/>
        <rFont val="游ゴシック"/>
        <family val="2"/>
      </rPr>
      <t xml:space="preserve">か月</t>
    </r>
  </si>
  <si>
    <t xml:space="preserve">M.E</t>
  </si>
  <si>
    <t xml:space="preserve">57</t>
  </si>
  <si>
    <r>
      <rPr>
        <sz val="9"/>
        <rFont val="游ゴシック"/>
        <family val="0"/>
        <charset val="1"/>
      </rPr>
      <t xml:space="preserve">3</t>
    </r>
    <r>
      <rPr>
        <sz val="9"/>
        <rFont val="游ゴシック"/>
        <family val="2"/>
      </rPr>
      <t xml:space="preserve">年</t>
    </r>
    <r>
      <rPr>
        <sz val="9"/>
        <rFont val="游ゴシック"/>
        <family val="0"/>
        <charset val="1"/>
      </rPr>
      <t xml:space="preserve">2</t>
    </r>
    <r>
      <rPr>
        <sz val="9"/>
        <rFont val="游ゴシック"/>
        <family val="2"/>
      </rPr>
      <t xml:space="preserve">か月</t>
    </r>
  </si>
  <si>
    <t xml:space="preserve">S.S</t>
  </si>
  <si>
    <r>
      <rPr>
        <sz val="9"/>
        <rFont val="游ゴシック"/>
        <family val="0"/>
        <charset val="1"/>
      </rPr>
      <t xml:space="preserve">3</t>
    </r>
    <r>
      <rPr>
        <sz val="9"/>
        <rFont val="游ゴシック"/>
        <family val="2"/>
      </rPr>
      <t xml:space="preserve">年</t>
    </r>
    <r>
      <rPr>
        <sz val="9"/>
        <rFont val="游ゴシック"/>
        <family val="0"/>
        <charset val="1"/>
      </rPr>
      <t xml:space="preserve">9</t>
    </r>
    <r>
      <rPr>
        <sz val="9"/>
        <rFont val="游ゴシック"/>
        <family val="2"/>
      </rPr>
      <t xml:space="preserve">か月</t>
    </r>
  </si>
  <si>
    <r>
      <rPr>
        <sz val="9"/>
        <rFont val="游ゴシック"/>
        <family val="0"/>
        <charset val="1"/>
      </rPr>
      <t xml:space="preserve">2</t>
    </r>
    <r>
      <rPr>
        <sz val="9"/>
        <rFont val="游ゴシック"/>
        <family val="2"/>
      </rPr>
      <t xml:space="preserve">年</t>
    </r>
    <r>
      <rPr>
        <sz val="9"/>
        <rFont val="游ゴシック"/>
        <family val="0"/>
        <charset val="1"/>
      </rPr>
      <t xml:space="preserve">0</t>
    </r>
    <r>
      <rPr>
        <sz val="9"/>
        <rFont val="游ゴシック"/>
        <family val="2"/>
      </rPr>
      <t xml:space="preserve">か月</t>
    </r>
  </si>
  <si>
    <t xml:space="preserve">M.R</t>
  </si>
  <si>
    <r>
      <rPr>
        <sz val="9"/>
        <rFont val="游ゴシック"/>
        <family val="0"/>
        <charset val="1"/>
      </rPr>
      <t xml:space="preserve">1</t>
    </r>
    <r>
      <rPr>
        <sz val="9"/>
        <rFont val="游ゴシック"/>
        <family val="2"/>
      </rPr>
      <t xml:space="preserve">年</t>
    </r>
    <r>
      <rPr>
        <sz val="9"/>
        <rFont val="游ゴシック"/>
        <family val="0"/>
        <charset val="1"/>
      </rPr>
      <t xml:space="preserve">6</t>
    </r>
    <r>
      <rPr>
        <sz val="9"/>
        <rFont val="游ゴシック"/>
        <family val="2"/>
      </rPr>
      <t xml:space="preserve">か月</t>
    </r>
  </si>
  <si>
    <t xml:space="preserve">O.A</t>
  </si>
  <si>
    <r>
      <rPr>
        <sz val="9"/>
        <rFont val="游ゴシック"/>
        <family val="0"/>
        <charset val="1"/>
      </rPr>
      <t xml:space="preserve">1</t>
    </r>
    <r>
      <rPr>
        <sz val="9"/>
        <rFont val="游ゴシック"/>
        <family val="2"/>
      </rPr>
      <t xml:space="preserve">年</t>
    </r>
    <r>
      <rPr>
        <sz val="9"/>
        <rFont val="游ゴシック"/>
        <family val="0"/>
        <charset val="1"/>
      </rPr>
      <t xml:space="preserve">3</t>
    </r>
    <r>
      <rPr>
        <sz val="9"/>
        <rFont val="游ゴシック"/>
        <family val="2"/>
      </rPr>
      <t xml:space="preserve">か月</t>
    </r>
  </si>
  <si>
    <t xml:space="preserve">H.I</t>
  </si>
  <si>
    <t xml:space="preserve">39</t>
  </si>
  <si>
    <t xml:space="preserve">N.H</t>
  </si>
  <si>
    <t xml:space="preserve">42</t>
  </si>
  <si>
    <r>
      <rPr>
        <sz val="9"/>
        <rFont val="游ゴシック"/>
        <family val="0"/>
        <charset val="1"/>
      </rPr>
      <t xml:space="preserve">0</t>
    </r>
    <r>
      <rPr>
        <sz val="9"/>
        <rFont val="游ゴシック"/>
        <family val="2"/>
      </rPr>
      <t xml:space="preserve">年</t>
    </r>
    <r>
      <rPr>
        <sz val="9"/>
        <rFont val="游ゴシック"/>
        <family val="0"/>
        <charset val="1"/>
      </rPr>
      <t xml:space="preserve">2</t>
    </r>
    <r>
      <rPr>
        <sz val="9"/>
        <rFont val="游ゴシック"/>
        <family val="2"/>
      </rPr>
      <t xml:space="preserve">か月</t>
    </r>
  </si>
  <si>
    <r>
      <rPr>
        <sz val="9"/>
        <rFont val="游ゴシック"/>
        <family val="0"/>
        <charset val="1"/>
      </rPr>
      <t xml:space="preserve">4</t>
    </r>
    <r>
      <rPr>
        <sz val="9"/>
        <rFont val="游ゴシック"/>
        <family val="2"/>
      </rPr>
      <t xml:space="preserve">年</t>
    </r>
    <r>
      <rPr>
        <sz val="9"/>
        <rFont val="游ゴシック"/>
        <family val="0"/>
        <charset val="1"/>
      </rPr>
      <t xml:space="preserve">9</t>
    </r>
    <r>
      <rPr>
        <sz val="9"/>
        <rFont val="游ゴシック"/>
        <family val="2"/>
      </rPr>
      <t xml:space="preserve">か月</t>
    </r>
  </si>
  <si>
    <t xml:space="preserve">H.K</t>
  </si>
  <si>
    <t xml:space="preserve">36</t>
  </si>
  <si>
    <r>
      <rPr>
        <sz val="9"/>
        <rFont val="游ゴシック"/>
        <family val="0"/>
        <charset val="1"/>
      </rPr>
      <t xml:space="preserve">5</t>
    </r>
    <r>
      <rPr>
        <sz val="9"/>
        <rFont val="游ゴシック"/>
        <family val="2"/>
      </rPr>
      <t xml:space="preserve">年</t>
    </r>
    <r>
      <rPr>
        <sz val="9"/>
        <rFont val="游ゴシック"/>
        <family val="0"/>
        <charset val="1"/>
      </rPr>
      <t xml:space="preserve">0</t>
    </r>
    <r>
      <rPr>
        <sz val="9"/>
        <rFont val="游ゴシック"/>
        <family val="2"/>
      </rPr>
      <t xml:space="preserve">か月</t>
    </r>
  </si>
  <si>
    <t xml:space="preserve">27</t>
  </si>
  <si>
    <t xml:space="preserve">K.S</t>
  </si>
  <si>
    <r>
      <rPr>
        <sz val="9"/>
        <rFont val="游ゴシック"/>
        <family val="0"/>
        <charset val="1"/>
      </rPr>
      <t xml:space="preserve">1</t>
    </r>
    <r>
      <rPr>
        <sz val="9"/>
        <rFont val="游ゴシック"/>
        <family val="2"/>
      </rPr>
      <t xml:space="preserve">年</t>
    </r>
    <r>
      <rPr>
        <sz val="9"/>
        <rFont val="游ゴシック"/>
        <family val="0"/>
        <charset val="1"/>
      </rPr>
      <t xml:space="preserve">11</t>
    </r>
    <r>
      <rPr>
        <sz val="9"/>
        <rFont val="游ゴシック"/>
        <family val="2"/>
      </rPr>
      <t xml:space="preserve">か月</t>
    </r>
  </si>
  <si>
    <t xml:space="preserve">N.A</t>
  </si>
  <si>
    <t xml:space="preserve">19</t>
  </si>
  <si>
    <t xml:space="preserve">I.K</t>
  </si>
  <si>
    <t xml:space="preserve">54</t>
  </si>
  <si>
    <t xml:space="preserve">T.Y</t>
  </si>
  <si>
    <t xml:space="preserve">松阪管理センター</t>
  </si>
  <si>
    <t xml:space="preserve">I.M</t>
  </si>
  <si>
    <t xml:space="preserve">34</t>
  </si>
  <si>
    <r>
      <rPr>
        <b val="true"/>
        <sz val="9"/>
        <rFont val="游ゴシック"/>
        <family val="0"/>
        <charset val="1"/>
      </rPr>
      <t xml:space="preserve">49</t>
    </r>
    <r>
      <rPr>
        <b val="true"/>
        <sz val="9"/>
        <rFont val="游ゴシック"/>
        <family val="2"/>
      </rPr>
      <t xml:space="preserve">名</t>
    </r>
  </si>
  <si>
    <r>
      <rPr>
        <sz val="9"/>
        <rFont val="游ゴシック"/>
        <family val="2"/>
      </rPr>
      <t xml:space="preserve">※出所：対象会社提供「従業員名簿（全従業員</t>
    </r>
    <r>
      <rPr>
        <sz val="9"/>
        <rFont val="游ゴシック"/>
        <family val="2"/>
        <charset val="1"/>
      </rPr>
      <t xml:space="preserve">195</t>
    </r>
    <r>
      <rPr>
        <sz val="9"/>
        <rFont val="游ゴシック"/>
        <family val="2"/>
      </rPr>
      <t xml:space="preserve">名）」。退職年月日の入力がない</t>
    </r>
    <r>
      <rPr>
        <sz val="9"/>
        <rFont val="游ゴシック"/>
        <family val="2"/>
        <charset val="1"/>
      </rPr>
      <t xml:space="preserve">49</t>
    </r>
    <r>
      <rPr>
        <sz val="9"/>
        <rFont val="游ゴシック"/>
        <family val="2"/>
      </rPr>
      <t xml:space="preserve">名を在籍者として集計。
※イニシャルは役員</t>
    </r>
    <r>
      <rPr>
        <sz val="9"/>
        <rFont val="游ゴシック"/>
        <family val="2"/>
        <charset val="1"/>
      </rPr>
      <t xml:space="preserve">2</t>
    </r>
    <r>
      <rPr>
        <sz val="9"/>
        <rFont val="游ゴシック"/>
        <family val="2"/>
      </rPr>
      <t xml:space="preserve">名のみ実名、その他は氏名フリガナの頭文字で匿名化している。氏名・生年月日・住所を含む個票を受領済であり、買手候補への開示は本ページの匿名化後の内容による。
※年齢・勤続年数は</t>
    </r>
    <r>
      <rPr>
        <sz val="9"/>
        <rFont val="游ゴシック"/>
        <family val="2"/>
        <charset val="1"/>
      </rPr>
      <t xml:space="preserve">2026</t>
    </r>
    <r>
      <rPr>
        <sz val="9"/>
        <rFont val="游ゴシック"/>
        <family val="2"/>
      </rPr>
      <t xml:space="preserve">年</t>
    </r>
    <r>
      <rPr>
        <sz val="9"/>
        <rFont val="游ゴシック"/>
        <family val="2"/>
        <charset val="1"/>
      </rPr>
      <t xml:space="preserve">9</t>
    </r>
    <r>
      <rPr>
        <sz val="9"/>
        <rFont val="游ゴシック"/>
        <family val="2"/>
      </rPr>
      <t xml:space="preserve">月</t>
    </r>
    <r>
      <rPr>
        <sz val="9"/>
        <rFont val="游ゴシック"/>
        <family val="2"/>
        <charset val="1"/>
      </rPr>
      <t xml:space="preserve">23</t>
    </r>
    <r>
      <rPr>
        <sz val="9"/>
        <rFont val="游ゴシック"/>
        <family val="2"/>
      </rPr>
      <t xml:space="preserve">日時点。役員</t>
    </r>
    <r>
      <rPr>
        <sz val="9"/>
        <rFont val="游ゴシック"/>
        <family val="2"/>
        <charset val="1"/>
      </rPr>
      <t xml:space="preserve">2</t>
    </r>
    <r>
      <rPr>
        <sz val="9"/>
        <rFont val="游ゴシック"/>
        <family val="2"/>
      </rPr>
      <t xml:space="preserve">名は入社日の登録がないため勤続年数の集計対象外。
※事業所単位の動物取扱責任者の配置状況は「部署・店舗別の集計」ブロックおよび概要書</t>
    </r>
    <r>
      <rPr>
        <sz val="9"/>
        <rFont val="游ゴシック"/>
        <family val="2"/>
        <charset val="1"/>
      </rPr>
      <t xml:space="preserve">P.22</t>
    </r>
    <r>
      <rPr>
        <sz val="9"/>
        <rFont val="游ゴシック"/>
        <family val="2"/>
      </rPr>
      <t xml:space="preserve">に記載している。
※役職は代表取締役・現場責任者以外に登録がない（要確認）。給与情報は本ページには記載していない。</t>
    </r>
  </si>
  <si>
    <t xml:space="preserve">【部署・店舗別の集計】</t>
  </si>
  <si>
    <t xml:space="preserve">正社員等（名）</t>
  </si>
  <si>
    <t xml:space="preserve">アルバイト（名）</t>
  </si>
  <si>
    <t xml:space="preserve">合計（名）</t>
  </si>
  <si>
    <t xml:space="preserve">平均年齢（歳）</t>
  </si>
  <si>
    <t xml:space="preserve">平均勤続年数（年）</t>
  </si>
  <si>
    <t xml:space="preserve">契約形態</t>
  </si>
  <si>
    <r>
      <rPr>
        <b val="true"/>
        <sz val="12"/>
        <color theme="0"/>
        <rFont val="游ゴシック"/>
        <family val="2"/>
      </rPr>
      <t xml:space="preserve">延床面積
</t>
    </r>
    <r>
      <rPr>
        <b val="true"/>
        <sz val="12"/>
        <color theme="0"/>
        <rFont val="游ゴシック"/>
        <family val="2"/>
        <charset val="1"/>
      </rPr>
      <t xml:space="preserve">(</t>
    </r>
    <r>
      <rPr>
        <b val="true"/>
        <sz val="12"/>
        <color theme="0"/>
        <rFont val="游ゴシック"/>
        <family val="2"/>
      </rPr>
      <t xml:space="preserve">㎡</t>
    </r>
    <r>
      <rPr>
        <b val="true"/>
        <sz val="12"/>
        <color theme="0"/>
        <rFont val="游ゴシック"/>
        <family val="2"/>
        <charset val="1"/>
      </rPr>
      <t xml:space="preserve">)</t>
    </r>
  </si>
  <si>
    <r>
      <rPr>
        <b val="true"/>
        <sz val="12"/>
        <color theme="0"/>
        <rFont val="游ゴシック"/>
        <family val="2"/>
      </rPr>
      <t xml:space="preserve">月間賃料
</t>
    </r>
    <r>
      <rPr>
        <b val="true"/>
        <sz val="12"/>
        <color theme="0"/>
        <rFont val="游ゴシック"/>
        <family val="2"/>
        <charset val="1"/>
      </rPr>
      <t xml:space="preserve">(</t>
    </r>
    <r>
      <rPr>
        <b val="true"/>
        <sz val="12"/>
        <color theme="0"/>
        <rFont val="游ゴシック"/>
        <family val="2"/>
      </rPr>
      <t xml:space="preserve">千円</t>
    </r>
    <r>
      <rPr>
        <b val="true"/>
        <sz val="12"/>
        <color theme="0"/>
        <rFont val="游ゴシック"/>
        <family val="2"/>
        <charset val="1"/>
      </rPr>
      <t xml:space="preserve">)</t>
    </r>
  </si>
  <si>
    <r>
      <rPr>
        <b val="true"/>
        <sz val="12"/>
        <color theme="0"/>
        <rFont val="游ゴシック"/>
        <family val="2"/>
      </rPr>
      <t xml:space="preserve">敷金
</t>
    </r>
    <r>
      <rPr>
        <b val="true"/>
        <sz val="12"/>
        <color theme="0"/>
        <rFont val="游ゴシック"/>
        <family val="2"/>
        <charset val="1"/>
      </rPr>
      <t xml:space="preserve">(</t>
    </r>
    <r>
      <rPr>
        <b val="true"/>
        <sz val="12"/>
        <color theme="0"/>
        <rFont val="游ゴシック"/>
        <family val="2"/>
      </rPr>
      <t xml:space="preserve">千円</t>
    </r>
    <r>
      <rPr>
        <b val="true"/>
        <sz val="12"/>
        <color theme="0"/>
        <rFont val="游ゴシック"/>
        <family val="2"/>
        <charset val="1"/>
      </rPr>
      <t xml:space="preserve">)</t>
    </r>
  </si>
  <si>
    <t xml:space="preserve">アクセス</t>
  </si>
  <si>
    <r>
      <rPr>
        <sz val="12"/>
        <color theme="1"/>
        <rFont val="游ゴシック"/>
        <family val="2"/>
      </rPr>
      <t xml:space="preserve">岐阜県大垣市青柳町</t>
    </r>
    <r>
      <rPr>
        <sz val="12"/>
        <color theme="1"/>
        <rFont val="游ゴシック"/>
        <family val="2"/>
        <charset val="1"/>
      </rPr>
      <t xml:space="preserve">3</t>
    </r>
    <r>
      <rPr>
        <sz val="12"/>
        <color theme="1"/>
        <rFont val="游ゴシック"/>
        <family val="2"/>
      </rPr>
      <t xml:space="preserve">丁目</t>
    </r>
    <r>
      <rPr>
        <sz val="12"/>
        <color theme="1"/>
        <rFont val="游ゴシック"/>
        <family val="2"/>
        <charset val="1"/>
      </rPr>
      <t xml:space="preserve">227</t>
    </r>
    <r>
      <rPr>
        <sz val="12"/>
        <color theme="1"/>
        <rFont val="游ゴシック"/>
        <family val="2"/>
      </rPr>
      <t xml:space="preserve">番地</t>
    </r>
    <r>
      <rPr>
        <sz val="12"/>
        <color theme="1"/>
        <rFont val="游ゴシック"/>
        <family val="2"/>
        <charset val="1"/>
      </rPr>
      <t xml:space="preserve">2
</t>
    </r>
    <r>
      <rPr>
        <sz val="12"/>
        <color theme="1"/>
        <rFont val="游ゴシック"/>
        <family val="2"/>
      </rPr>
      <t xml:space="preserve">（本社／登記上の本店・代表者自宅）</t>
    </r>
  </si>
  <si>
    <t xml:space="preserve">賃貸借
（貸主：個人）</t>
  </si>
  <si>
    <r>
      <rPr>
        <sz val="12"/>
        <color theme="1"/>
        <rFont val="游ゴシック"/>
        <family val="3"/>
        <charset val="128"/>
      </rPr>
      <t xml:space="preserve">JR</t>
    </r>
    <r>
      <rPr>
        <sz val="12"/>
        <color theme="1"/>
        <rFont val="游ゴシック"/>
        <family val="2"/>
      </rPr>
      <t xml:space="preserve">東海道本線「大垣駅」より車で約</t>
    </r>
    <r>
      <rPr>
        <sz val="12"/>
        <color theme="1"/>
        <rFont val="游ゴシック"/>
        <family val="3"/>
        <charset val="128"/>
      </rPr>
      <t xml:space="preserve">8</t>
    </r>
    <r>
      <rPr>
        <sz val="12"/>
        <color theme="1"/>
        <rFont val="游ゴシック"/>
        <family val="2"/>
      </rPr>
      <t xml:space="preserve">分（要確認）</t>
    </r>
  </si>
  <si>
    <r>
      <rPr>
        <sz val="12"/>
        <color theme="1"/>
        <rFont val="游ゴシック"/>
        <family val="2"/>
      </rPr>
      <t xml:space="preserve">岐阜県大垣市上面</t>
    </r>
    <r>
      <rPr>
        <sz val="12"/>
        <color theme="1"/>
        <rFont val="游ゴシック"/>
        <family val="2"/>
        <charset val="1"/>
      </rPr>
      <t xml:space="preserve">4</t>
    </r>
    <r>
      <rPr>
        <sz val="12"/>
        <color theme="1"/>
        <rFont val="游ゴシック"/>
        <family val="2"/>
      </rPr>
      <t xml:space="preserve">丁目</t>
    </r>
    <r>
      <rPr>
        <sz val="12"/>
        <color theme="1"/>
        <rFont val="游ゴシック"/>
        <family val="2"/>
        <charset val="1"/>
      </rPr>
      <t xml:space="preserve">17-1
</t>
    </r>
    <r>
      <rPr>
        <sz val="12"/>
        <color theme="1"/>
        <rFont val="游ゴシック"/>
        <family val="2"/>
      </rPr>
      <t xml:space="preserve">（ペット出産用施設／大垣管理センターと推察）</t>
    </r>
  </si>
  <si>
    <t xml:space="preserve">賃貸借
（大東建託パートナーズ㈱）</t>
  </si>
  <si>
    <t xml:space="preserve">要確認</t>
  </si>
  <si>
    <t xml:space="preserve">三重県松阪市（松阪管理センター）
※明和店倉庫（貸主：ジェイリース㈱）と同一施設の可能性</t>
  </si>
  <si>
    <t xml:space="preserve">賃貸借</t>
  </si>
  <si>
    <r>
      <rPr>
        <sz val="9"/>
        <rFont val="游ゴシック"/>
        <family val="2"/>
      </rPr>
      <t xml:space="preserve">※月間賃料は</t>
    </r>
    <r>
      <rPr>
        <sz val="9"/>
        <rFont val="游ゴシック"/>
        <family val="2"/>
        <charset val="1"/>
      </rPr>
      <t xml:space="preserve">2025</t>
    </r>
    <r>
      <rPr>
        <sz val="9"/>
        <rFont val="游ゴシック"/>
        <family val="2"/>
      </rPr>
      <t xml:space="preserve">年</t>
    </r>
    <r>
      <rPr>
        <sz val="9"/>
        <rFont val="游ゴシック"/>
        <family val="2"/>
        <charset val="1"/>
      </rPr>
      <t xml:space="preserve">11</t>
    </r>
    <r>
      <rPr>
        <sz val="9"/>
        <rFont val="游ゴシック"/>
        <family val="2"/>
      </rPr>
      <t xml:space="preserve">月期の年間支払賃借料（地代家賃等の内訳書）を</t>
    </r>
    <r>
      <rPr>
        <sz val="9"/>
        <rFont val="游ゴシック"/>
        <family val="2"/>
        <charset val="1"/>
      </rPr>
      <t xml:space="preserve">12</t>
    </r>
    <r>
      <rPr>
        <sz val="9"/>
        <rFont val="游ゴシック"/>
        <family val="2"/>
      </rPr>
      <t xml:space="preserve">で除した参考値。延床面積・敷金・契約期間は未受領（要確認）。
※本社は代表者の自宅であり、譲渡後の取扱い（賃貸借契約の継続／移転）は要確認。</t>
    </r>
  </si>
  <si>
    <r>
      <rPr>
        <sz val="11"/>
        <color theme="1"/>
        <rFont val="游ゴシック"/>
        <family val="2"/>
      </rPr>
      <t xml:space="preserve">土地は</t>
    </r>
    <r>
      <rPr>
        <sz val="11"/>
        <color theme="1"/>
        <rFont val="游ゴシック"/>
        <family val="2"/>
        <charset val="1"/>
      </rPr>
      <t xml:space="preserve">0.7</t>
    </r>
    <r>
      <rPr>
        <sz val="11"/>
        <color theme="1"/>
        <rFont val="游ゴシック"/>
        <family val="2"/>
      </rPr>
      <t xml:space="preserve">割戻し</t>
    </r>
  </si>
  <si>
    <t xml:space="preserve">所在地
地番・家屋番号</t>
  </si>
  <si>
    <r>
      <rPr>
        <b val="true"/>
        <sz val="12"/>
        <color theme="0"/>
        <rFont val="游ゴシック"/>
        <family val="2"/>
      </rPr>
      <t xml:space="preserve">面積
</t>
    </r>
    <r>
      <rPr>
        <b val="true"/>
        <sz val="12"/>
        <color theme="0"/>
        <rFont val="游ゴシック"/>
        <family val="2"/>
        <charset val="1"/>
      </rPr>
      <t xml:space="preserve">(</t>
    </r>
    <r>
      <rPr>
        <b val="true"/>
        <sz val="12"/>
        <color theme="0"/>
        <rFont val="游ゴシック"/>
        <family val="2"/>
      </rPr>
      <t xml:space="preserve">㎡</t>
    </r>
    <r>
      <rPr>
        <b val="true"/>
        <sz val="12"/>
        <color theme="0"/>
        <rFont val="游ゴシック"/>
        <family val="2"/>
        <charset val="1"/>
      </rPr>
      <t xml:space="preserve">)</t>
    </r>
  </si>
  <si>
    <t xml:space="preserve">区分
・構造</t>
  </si>
  <si>
    <t xml:space="preserve">所有（建築）
年月・事由</t>
  </si>
  <si>
    <r>
      <rPr>
        <b val="true"/>
        <sz val="12"/>
        <color theme="0"/>
        <rFont val="游ゴシック"/>
        <family val="2"/>
      </rPr>
      <t xml:space="preserve">前期末簿価
</t>
    </r>
    <r>
      <rPr>
        <b val="true"/>
        <sz val="12"/>
        <color theme="0"/>
        <rFont val="游ゴシック"/>
        <family val="2"/>
        <charset val="1"/>
      </rPr>
      <t xml:space="preserve">(</t>
    </r>
    <r>
      <rPr>
        <b val="true"/>
        <sz val="12"/>
        <color theme="0"/>
        <rFont val="游ゴシック"/>
        <family val="2"/>
      </rPr>
      <t xml:space="preserve">千円</t>
    </r>
    <r>
      <rPr>
        <b val="true"/>
        <sz val="12"/>
        <color theme="0"/>
        <rFont val="游ゴシック"/>
        <family val="2"/>
        <charset val="1"/>
      </rPr>
      <t xml:space="preserve">)</t>
    </r>
  </si>
  <si>
    <t xml:space="preserve">時価</t>
  </si>
  <si>
    <t xml:space="preserve">固定資産税
評価額</t>
  </si>
  <si>
    <t xml:space="preserve">大垣（非店舗）</t>
  </si>
  <si>
    <t xml:space="preserve">土地）駐車場</t>
  </si>
  <si>
    <r>
      <rPr>
        <sz val="12"/>
        <color theme="1"/>
        <rFont val="游ゴシック"/>
        <family val="2"/>
      </rPr>
      <t xml:space="preserve">岐阜県大垣市南若森町字柳原</t>
    </r>
    <r>
      <rPr>
        <sz val="12"/>
        <color theme="1"/>
        <rFont val="游ゴシック"/>
        <family val="2"/>
        <charset val="1"/>
      </rPr>
      <t xml:space="preserve">227</t>
    </r>
    <r>
      <rPr>
        <sz val="12"/>
        <color theme="1"/>
        <rFont val="游ゴシック"/>
        <family val="2"/>
      </rPr>
      <t xml:space="preserve">番</t>
    </r>
    <r>
      <rPr>
        <sz val="12"/>
        <color theme="1"/>
        <rFont val="游ゴシック"/>
        <family val="2"/>
        <charset val="1"/>
      </rPr>
      <t xml:space="preserve">3</t>
    </r>
  </si>
  <si>
    <t xml:space="preserve">宅地</t>
  </si>
  <si>
    <r>
      <rPr>
        <sz val="12"/>
        <color theme="1"/>
        <rFont val="游ゴシック"/>
        <family val="3"/>
        <charset val="128"/>
      </rPr>
      <t xml:space="preserve">2025</t>
    </r>
    <r>
      <rPr>
        <sz val="12"/>
        <color theme="1"/>
        <rFont val="游ゴシック"/>
        <family val="2"/>
      </rPr>
      <t xml:space="preserve">年</t>
    </r>
    <r>
      <rPr>
        <sz val="12"/>
        <color theme="1"/>
        <rFont val="游ゴシック"/>
        <family val="3"/>
        <charset val="128"/>
      </rPr>
      <t xml:space="preserve">11</t>
    </r>
    <r>
      <rPr>
        <sz val="12"/>
        <color theme="1"/>
        <rFont val="游ゴシック"/>
        <family val="2"/>
      </rPr>
      <t xml:space="preserve">月期中に取得（要確認）</t>
    </r>
  </si>
  <si>
    <r>
      <rPr>
        <sz val="9"/>
        <color theme="1"/>
        <rFont val="游ゴシック"/>
        <family val="2"/>
      </rPr>
      <t xml:space="preserve">固定資産税評価額が未受領のため時価は要確認。簿価＝</t>
    </r>
    <r>
      <rPr>
        <sz val="9"/>
        <color theme="1"/>
        <rFont val="游ゴシック"/>
        <family val="2"/>
        <charset val="1"/>
      </rPr>
      <t xml:space="preserve">2,974,400</t>
    </r>
    <r>
      <rPr>
        <sz val="9"/>
        <color theme="1"/>
        <rFont val="游ゴシック"/>
        <family val="2"/>
      </rPr>
      <t xml:space="preserve">円</t>
    </r>
  </si>
  <si>
    <r>
      <rPr>
        <sz val="9"/>
        <rFont val="游ゴシック"/>
        <family val="2"/>
      </rPr>
      <t xml:space="preserve">※法人所有の不動産は上記土地</t>
    </r>
    <r>
      <rPr>
        <sz val="9"/>
        <rFont val="游ゴシック"/>
        <family val="2"/>
        <charset val="1"/>
      </rPr>
      <t xml:space="preserve">1</t>
    </r>
    <r>
      <rPr>
        <sz val="9"/>
        <rFont val="游ゴシック"/>
        <family val="2"/>
      </rPr>
      <t xml:space="preserve">筆（</t>
    </r>
    <r>
      <rPr>
        <sz val="9"/>
        <rFont val="游ゴシック"/>
        <family val="2"/>
        <charset val="1"/>
      </rPr>
      <t xml:space="preserve">89.4</t>
    </r>
    <r>
      <rPr>
        <sz val="9"/>
        <rFont val="游ゴシック"/>
        <family val="2"/>
      </rPr>
      <t xml:space="preserve">㎡）のみ。建物の所有はなく、店舗はすべて賃借（インショップ／路面店）。
※代表者個人が所有する事業用不動産は無し（対象会社提供の既存会社説明資料「希望条件」欄にて「該当無し」）。</t>
    </r>
  </si>
  <si>
    <t xml:space="preserve">契約内容</t>
  </si>
  <si>
    <t xml:space="preserve">貸主</t>
  </si>
  <si>
    <t xml:space="preserve">建物）店舗（インショップ）</t>
  </si>
  <si>
    <r>
      <rPr>
        <sz val="12"/>
        <color theme="1"/>
        <rFont val="游ゴシック"/>
        <family val="2"/>
      </rPr>
      <t xml:space="preserve">三重県多気郡明和町中村</t>
    </r>
    <r>
      <rPr>
        <sz val="12"/>
        <color theme="1"/>
        <rFont val="游ゴシック"/>
        <family val="2"/>
        <charset val="1"/>
      </rPr>
      <t xml:space="preserve">1236
</t>
    </r>
    <r>
      <rPr>
        <sz val="12"/>
        <color theme="1"/>
        <rFont val="游ゴシック"/>
        <family val="2"/>
      </rPr>
      <t xml:space="preserve">カインズ明和 ペッツワンコーナー</t>
    </r>
  </si>
  <si>
    <r>
      <rPr>
        <sz val="12"/>
        <color theme="1"/>
        <rFont val="游ゴシック"/>
        <family val="3"/>
        <charset val="128"/>
      </rPr>
      <t xml:space="preserve">FC</t>
    </r>
    <r>
      <rPr>
        <sz val="12"/>
        <color theme="1"/>
        <rFont val="游ゴシック"/>
        <family val="2"/>
      </rPr>
      <t xml:space="preserve">本部（㈲ワンラブ）
からの転借</t>
    </r>
  </si>
  <si>
    <r>
      <rPr>
        <sz val="9"/>
        <color theme="1"/>
        <rFont val="游ゴシック"/>
        <family val="2"/>
      </rPr>
      <t xml:space="preserve">月額賃料は売上歩合（約</t>
    </r>
    <r>
      <rPr>
        <sz val="9"/>
        <color theme="1"/>
        <rFont val="游ゴシック"/>
        <family val="2"/>
        <charset val="1"/>
      </rPr>
      <t xml:space="preserve">15%</t>
    </r>
    <r>
      <rPr>
        <sz val="9"/>
        <color theme="1"/>
        <rFont val="游ゴシック"/>
        <family val="2"/>
      </rPr>
      <t xml:space="preserve">）。</t>
    </r>
    <r>
      <rPr>
        <sz val="9"/>
        <color theme="1"/>
        <rFont val="游ゴシック"/>
        <family val="2"/>
        <charset val="1"/>
      </rPr>
      <t xml:space="preserve">COC</t>
    </r>
    <r>
      <rPr>
        <sz val="9"/>
        <color theme="1"/>
        <rFont val="游ゴシック"/>
        <family val="2"/>
      </rPr>
      <t xml:space="preserve">条項あり。ロイヤリティに含めて支払</t>
    </r>
  </si>
  <si>
    <r>
      <rPr>
        <sz val="12"/>
        <color theme="1"/>
        <rFont val="游ゴシック"/>
        <family val="2"/>
      </rPr>
      <t xml:space="preserve">三重県伊勢市船江</t>
    </r>
    <r>
      <rPr>
        <sz val="12"/>
        <color theme="1"/>
        <rFont val="游ゴシック"/>
        <family val="2"/>
        <charset val="1"/>
      </rPr>
      <t xml:space="preserve">1-10-190
</t>
    </r>
    <r>
      <rPr>
        <sz val="12"/>
        <color theme="1"/>
        <rFont val="游ゴシック"/>
        <family val="2"/>
      </rPr>
      <t xml:space="preserve">バローホームセンター ミタス伊勢店内</t>
    </r>
  </si>
  <si>
    <r>
      <rPr>
        <sz val="12"/>
        <color theme="1"/>
        <rFont val="游ゴシック"/>
        <family val="3"/>
        <charset val="128"/>
      </rPr>
      <t xml:space="preserve">2020</t>
    </r>
    <r>
      <rPr>
        <sz val="12"/>
        <color theme="1"/>
        <rFont val="游ゴシック"/>
        <family val="2"/>
      </rPr>
      <t xml:space="preserve">年</t>
    </r>
    <r>
      <rPr>
        <sz val="12"/>
        <color theme="1"/>
        <rFont val="游ゴシック"/>
        <family val="3"/>
        <charset val="128"/>
      </rPr>
      <t xml:space="preserve">4</t>
    </r>
    <r>
      <rPr>
        <sz val="12"/>
        <color theme="1"/>
        <rFont val="游ゴシック"/>
        <family val="2"/>
      </rPr>
      <t xml:space="preserve">月〜</t>
    </r>
    <r>
      <rPr>
        <sz val="12"/>
        <color theme="1"/>
        <rFont val="游ゴシック"/>
        <family val="3"/>
        <charset val="128"/>
      </rPr>
      <t xml:space="preserve">2030</t>
    </r>
    <r>
      <rPr>
        <sz val="12"/>
        <color theme="1"/>
        <rFont val="游ゴシック"/>
        <family val="2"/>
      </rPr>
      <t xml:space="preserve">年</t>
    </r>
    <r>
      <rPr>
        <sz val="12"/>
        <color theme="1"/>
        <rFont val="游ゴシック"/>
        <family val="3"/>
        <charset val="128"/>
      </rPr>
      <t xml:space="preserve">4</t>
    </r>
    <r>
      <rPr>
        <sz val="12"/>
        <color theme="1"/>
        <rFont val="游ゴシック"/>
        <family val="2"/>
      </rPr>
      <t xml:space="preserve">月
※</t>
    </r>
    <r>
      <rPr>
        <sz val="12"/>
        <color theme="1"/>
        <rFont val="游ゴシック"/>
        <family val="3"/>
        <charset val="128"/>
      </rPr>
      <t xml:space="preserve">2</t>
    </r>
    <r>
      <rPr>
        <sz val="12"/>
        <color theme="1"/>
        <rFont val="游ゴシック"/>
        <family val="2"/>
      </rPr>
      <t xml:space="preserve">年毎の更新</t>
    </r>
  </si>
  <si>
    <r>
      <rPr>
        <sz val="9"/>
        <color theme="1"/>
        <rFont val="游ゴシック"/>
        <family val="2"/>
      </rPr>
      <t xml:space="preserve">月額賃料は売上歩合（売上の</t>
    </r>
    <r>
      <rPr>
        <sz val="9"/>
        <color theme="1"/>
        <rFont val="游ゴシック"/>
        <family val="2"/>
        <charset val="1"/>
      </rPr>
      <t xml:space="preserve">11%</t>
    </r>
    <r>
      <rPr>
        <sz val="9"/>
        <color theme="1"/>
        <rFont val="游ゴシック"/>
        <family val="2"/>
      </rPr>
      <t xml:space="preserve">）。</t>
    </r>
    <r>
      <rPr>
        <sz val="9"/>
        <color theme="1"/>
        <rFont val="游ゴシック"/>
        <family val="2"/>
        <charset val="1"/>
      </rPr>
      <t xml:space="preserve">COC</t>
    </r>
    <r>
      <rPr>
        <sz val="9"/>
        <color theme="1"/>
        <rFont val="游ゴシック"/>
        <family val="2"/>
      </rPr>
      <t xml:space="preserve">条項あり</t>
    </r>
  </si>
  <si>
    <r>
      <rPr>
        <sz val="12"/>
        <color theme="1"/>
        <rFont val="游ゴシック"/>
        <family val="2"/>
      </rPr>
      <t xml:space="preserve">三重県津市戸木町</t>
    </r>
    <r>
      <rPr>
        <sz val="12"/>
        <color theme="1"/>
        <rFont val="游ゴシック"/>
        <family val="2"/>
        <charset val="1"/>
      </rPr>
      <t xml:space="preserve">7869-1
</t>
    </r>
    <r>
      <rPr>
        <sz val="12"/>
        <color theme="1"/>
        <rFont val="游ゴシック"/>
        <family val="2"/>
      </rPr>
      <t xml:space="preserve">バローメガストア久居インター店内</t>
    </r>
  </si>
  <si>
    <r>
      <rPr>
        <sz val="12"/>
        <color theme="1"/>
        <rFont val="游ゴシック"/>
        <family val="3"/>
        <charset val="128"/>
      </rPr>
      <t xml:space="preserve">2020</t>
    </r>
    <r>
      <rPr>
        <sz val="12"/>
        <color theme="1"/>
        <rFont val="游ゴシック"/>
        <family val="2"/>
      </rPr>
      <t xml:space="preserve">年</t>
    </r>
    <r>
      <rPr>
        <sz val="12"/>
        <color theme="1"/>
        <rFont val="游ゴシック"/>
        <family val="3"/>
        <charset val="128"/>
      </rPr>
      <t xml:space="preserve">12</t>
    </r>
    <r>
      <rPr>
        <sz val="12"/>
        <color theme="1"/>
        <rFont val="游ゴシック"/>
        <family val="2"/>
      </rPr>
      <t xml:space="preserve">月〜</t>
    </r>
    <r>
      <rPr>
        <sz val="12"/>
        <color theme="1"/>
        <rFont val="游ゴシック"/>
        <family val="3"/>
        <charset val="128"/>
      </rPr>
      <t xml:space="preserve">2030</t>
    </r>
    <r>
      <rPr>
        <sz val="12"/>
        <color theme="1"/>
        <rFont val="游ゴシック"/>
        <family val="2"/>
      </rPr>
      <t xml:space="preserve">年</t>
    </r>
    <r>
      <rPr>
        <sz val="12"/>
        <color theme="1"/>
        <rFont val="游ゴシック"/>
        <family val="3"/>
        <charset val="128"/>
      </rPr>
      <t xml:space="preserve">11</t>
    </r>
    <r>
      <rPr>
        <sz val="12"/>
        <color theme="1"/>
        <rFont val="游ゴシック"/>
        <family val="2"/>
      </rPr>
      <t xml:space="preserve">月
※</t>
    </r>
    <r>
      <rPr>
        <sz val="12"/>
        <color theme="1"/>
        <rFont val="游ゴシック"/>
        <family val="3"/>
        <charset val="128"/>
      </rPr>
      <t xml:space="preserve">2</t>
    </r>
    <r>
      <rPr>
        <sz val="12"/>
        <color theme="1"/>
        <rFont val="游ゴシック"/>
        <family val="2"/>
      </rPr>
      <t xml:space="preserve">年毎の更新</t>
    </r>
  </si>
  <si>
    <r>
      <rPr>
        <sz val="9"/>
        <color theme="1"/>
        <rFont val="游ゴシック"/>
        <family val="2"/>
      </rPr>
      <t xml:space="preserve">月額賃料は売上歩合（売上の</t>
    </r>
    <r>
      <rPr>
        <sz val="9"/>
        <color theme="1"/>
        <rFont val="游ゴシック"/>
        <family val="2"/>
        <charset val="1"/>
      </rPr>
      <t xml:space="preserve">12%</t>
    </r>
    <r>
      <rPr>
        <sz val="9"/>
        <color theme="1"/>
        <rFont val="游ゴシック"/>
        <family val="2"/>
      </rPr>
      <t xml:space="preserve">）。</t>
    </r>
    <r>
      <rPr>
        <sz val="9"/>
        <color theme="1"/>
        <rFont val="游ゴシック"/>
        <family val="2"/>
        <charset val="1"/>
      </rPr>
      <t xml:space="preserve">COC</t>
    </r>
    <r>
      <rPr>
        <sz val="9"/>
        <color theme="1"/>
        <rFont val="游ゴシック"/>
        <family val="2"/>
      </rPr>
      <t xml:space="preserve">条項あり</t>
    </r>
  </si>
  <si>
    <r>
      <rPr>
        <sz val="12"/>
        <color theme="1"/>
        <rFont val="游ゴシック"/>
        <family val="2"/>
      </rPr>
      <t xml:space="preserve">岐阜県大垣市林町</t>
    </r>
    <r>
      <rPr>
        <sz val="12"/>
        <color theme="1"/>
        <rFont val="游ゴシック"/>
        <family val="2"/>
        <charset val="1"/>
      </rPr>
      <t xml:space="preserve">6</t>
    </r>
    <r>
      <rPr>
        <sz val="12"/>
        <color theme="1"/>
        <rFont val="游ゴシック"/>
        <family val="2"/>
      </rPr>
      <t xml:space="preserve">丁目</t>
    </r>
    <r>
      <rPr>
        <sz val="12"/>
        <color theme="1"/>
        <rFont val="游ゴシック"/>
        <family val="2"/>
        <charset val="1"/>
      </rPr>
      <t xml:space="preserve">80</t>
    </r>
    <r>
      <rPr>
        <sz val="12"/>
        <color theme="1"/>
        <rFont val="游ゴシック"/>
        <family val="2"/>
      </rPr>
      <t xml:space="preserve">番</t>
    </r>
    <r>
      <rPr>
        <sz val="12"/>
        <color theme="1"/>
        <rFont val="游ゴシック"/>
        <family val="2"/>
        <charset val="1"/>
      </rPr>
      <t xml:space="preserve">21</t>
    </r>
  </si>
  <si>
    <r>
      <rPr>
        <sz val="9"/>
        <color theme="1"/>
        <rFont val="游ゴシック"/>
        <family val="2"/>
      </rPr>
      <t xml:space="preserve">決算書上の事業所名は「ペッツビレッジ大垣店」（要確認）。別途、駐車場地代をユニー㈱へ年</t>
    </r>
    <r>
      <rPr>
        <sz val="9"/>
        <color theme="1"/>
        <rFont val="游ゴシック"/>
        <family val="2"/>
        <charset val="1"/>
      </rPr>
      <t xml:space="preserve">184.8</t>
    </r>
    <r>
      <rPr>
        <sz val="9"/>
        <color theme="1"/>
        <rFont val="游ゴシック"/>
        <family val="2"/>
      </rPr>
      <t xml:space="preserve">千円支払</t>
    </r>
  </si>
  <si>
    <r>
      <rPr>
        <sz val="12"/>
        <color theme="1"/>
        <rFont val="游ゴシック"/>
        <family val="2"/>
      </rPr>
      <t xml:space="preserve">岐阜県岐阜市鶉町</t>
    </r>
    <r>
      <rPr>
        <sz val="12"/>
        <color theme="1"/>
        <rFont val="游ゴシック"/>
        <family val="2"/>
        <charset val="1"/>
      </rPr>
      <t xml:space="preserve">3</t>
    </r>
    <r>
      <rPr>
        <sz val="12"/>
        <color theme="1"/>
        <rFont val="游ゴシック"/>
        <family val="2"/>
      </rPr>
      <t xml:space="preserve">丁目</t>
    </r>
    <r>
      <rPr>
        <sz val="12"/>
        <color theme="1"/>
        <rFont val="游ゴシック"/>
        <family val="2"/>
        <charset val="1"/>
      </rPr>
      <t xml:space="preserve">18</t>
    </r>
  </si>
  <si>
    <r>
      <rPr>
        <sz val="9"/>
        <color theme="1"/>
        <rFont val="游ゴシック"/>
        <family val="2"/>
      </rPr>
      <t xml:space="preserve">月額賃料は売上歩合。</t>
    </r>
    <r>
      <rPr>
        <sz val="9"/>
        <color theme="1"/>
        <rFont val="游ゴシック"/>
        <family val="2"/>
        <charset val="1"/>
      </rPr>
      <t xml:space="preserve">COC</t>
    </r>
    <r>
      <rPr>
        <sz val="9"/>
        <color theme="1"/>
        <rFont val="游ゴシック"/>
        <family val="2"/>
      </rPr>
      <t xml:space="preserve">条項の有無は要確認</t>
    </r>
  </si>
  <si>
    <r>
      <rPr>
        <sz val="12"/>
        <color theme="1"/>
        <rFont val="游ゴシック"/>
        <family val="2"/>
      </rPr>
      <t xml:space="preserve">愛知県名古屋市緑区鳥澄</t>
    </r>
    <r>
      <rPr>
        <sz val="12"/>
        <color theme="1"/>
        <rFont val="游ゴシック"/>
        <family val="2"/>
        <charset val="1"/>
      </rPr>
      <t xml:space="preserve">1-527
</t>
    </r>
    <r>
      <rPr>
        <sz val="12"/>
        <color theme="1"/>
        <rFont val="游ゴシック"/>
        <family val="2"/>
      </rPr>
      <t xml:space="preserve">ドン・キホーテ緑店ペット館</t>
    </r>
  </si>
  <si>
    <t xml:space="preserve">日本商業施設株式会社</t>
  </si>
  <si>
    <r>
      <rPr>
        <sz val="9"/>
        <color theme="1"/>
        <rFont val="游ゴシック"/>
        <family val="3"/>
        <charset val="128"/>
      </rPr>
      <t xml:space="preserve">2025</t>
    </r>
    <r>
      <rPr>
        <sz val="9"/>
        <color theme="1"/>
        <rFont val="游ゴシック"/>
        <family val="2"/>
      </rPr>
      <t xml:space="preserve">年</t>
    </r>
    <r>
      <rPr>
        <sz val="9"/>
        <color theme="1"/>
        <rFont val="游ゴシック"/>
        <family val="3"/>
        <charset val="128"/>
      </rPr>
      <t xml:space="preserve">11</t>
    </r>
    <r>
      <rPr>
        <sz val="9"/>
        <color theme="1"/>
        <rFont val="游ゴシック"/>
        <family val="2"/>
      </rPr>
      <t xml:space="preserve">月期の年間家賃</t>
    </r>
    <r>
      <rPr>
        <sz val="9"/>
        <color theme="1"/>
        <rFont val="游ゴシック"/>
        <family val="3"/>
        <charset val="128"/>
      </rPr>
      <t xml:space="preserve">9,285</t>
    </r>
    <r>
      <rPr>
        <sz val="9"/>
        <color theme="1"/>
        <rFont val="游ゴシック"/>
        <family val="2"/>
      </rPr>
      <t xml:space="preserve">千円。</t>
    </r>
    <r>
      <rPr>
        <sz val="9"/>
        <color theme="1"/>
        <rFont val="游ゴシック"/>
        <family val="3"/>
        <charset val="128"/>
      </rPr>
      <t xml:space="preserve">COC</t>
    </r>
    <r>
      <rPr>
        <sz val="9"/>
        <color theme="1"/>
        <rFont val="游ゴシック"/>
        <family val="2"/>
      </rPr>
      <t xml:space="preserve">条項は確認中</t>
    </r>
  </si>
  <si>
    <t xml:space="preserve">建物）店舗（路面店）</t>
  </si>
  <si>
    <r>
      <rPr>
        <sz val="12"/>
        <color theme="1"/>
        <rFont val="游ゴシック"/>
        <family val="2"/>
      </rPr>
      <t xml:space="preserve">岐阜県羽島郡岐南町徳田</t>
    </r>
    <r>
      <rPr>
        <sz val="12"/>
        <color theme="1"/>
        <rFont val="游ゴシック"/>
        <family val="2"/>
        <charset val="1"/>
      </rPr>
      <t xml:space="preserve">3-182-1
</t>
    </r>
    <r>
      <rPr>
        <sz val="12"/>
        <color theme="1"/>
        <rFont val="游ゴシック"/>
        <family val="2"/>
      </rPr>
      <t xml:space="preserve">ザ・ビッグ岐南店</t>
    </r>
    <r>
      <rPr>
        <sz val="12"/>
        <color theme="1"/>
        <rFont val="游ゴシック"/>
        <family val="2"/>
        <charset val="1"/>
      </rPr>
      <t xml:space="preserve">1</t>
    </r>
    <r>
      <rPr>
        <sz val="12"/>
        <color theme="1"/>
        <rFont val="游ゴシック"/>
        <family val="2"/>
      </rPr>
      <t xml:space="preserve">階 区画</t>
    </r>
    <r>
      <rPr>
        <sz val="12"/>
        <color theme="1"/>
        <rFont val="游ゴシック"/>
        <family val="2"/>
        <charset val="1"/>
      </rPr>
      <t xml:space="preserve">No.1</t>
    </r>
  </si>
  <si>
    <r>
      <rPr>
        <sz val="12"/>
        <color theme="1"/>
        <rFont val="游ゴシック"/>
        <family val="3"/>
        <charset val="128"/>
      </rPr>
      <t xml:space="preserve">2023</t>
    </r>
    <r>
      <rPr>
        <sz val="12"/>
        <color theme="1"/>
        <rFont val="游ゴシック"/>
        <family val="2"/>
      </rPr>
      <t xml:space="preserve">年</t>
    </r>
    <r>
      <rPr>
        <sz val="12"/>
        <color theme="1"/>
        <rFont val="游ゴシック"/>
        <family val="3"/>
        <charset val="128"/>
      </rPr>
      <t xml:space="preserve">4</t>
    </r>
    <r>
      <rPr>
        <sz val="12"/>
        <color theme="1"/>
        <rFont val="游ゴシック"/>
        <family val="2"/>
      </rPr>
      <t xml:space="preserve">月〜</t>
    </r>
    <r>
      <rPr>
        <sz val="12"/>
        <color theme="1"/>
        <rFont val="游ゴシック"/>
        <family val="3"/>
        <charset val="128"/>
      </rPr>
      <t xml:space="preserve">2033</t>
    </r>
    <r>
      <rPr>
        <sz val="12"/>
        <color theme="1"/>
        <rFont val="游ゴシック"/>
        <family val="2"/>
      </rPr>
      <t xml:space="preserve">年</t>
    </r>
    <r>
      <rPr>
        <sz val="12"/>
        <color theme="1"/>
        <rFont val="游ゴシック"/>
        <family val="3"/>
        <charset val="128"/>
      </rPr>
      <t xml:space="preserve">1</t>
    </r>
    <r>
      <rPr>
        <sz val="12"/>
        <color theme="1"/>
        <rFont val="游ゴシック"/>
        <family val="2"/>
      </rPr>
      <t xml:space="preserve">月
定期建物賃貸借（更新なし）</t>
    </r>
  </si>
  <si>
    <t xml:space="preserve">株式会社カムテイ</t>
  </si>
  <si>
    <r>
      <rPr>
        <sz val="9"/>
        <color theme="1"/>
        <rFont val="游ゴシック"/>
        <family val="3"/>
        <charset val="128"/>
      </rPr>
      <t xml:space="preserve">2025</t>
    </r>
    <r>
      <rPr>
        <sz val="9"/>
        <color theme="1"/>
        <rFont val="游ゴシック"/>
        <family val="2"/>
      </rPr>
      <t xml:space="preserve">年</t>
    </r>
    <r>
      <rPr>
        <sz val="9"/>
        <color theme="1"/>
        <rFont val="游ゴシック"/>
        <family val="3"/>
        <charset val="128"/>
      </rPr>
      <t xml:space="preserve">11</t>
    </r>
    <r>
      <rPr>
        <sz val="9"/>
        <color theme="1"/>
        <rFont val="游ゴシック"/>
        <family val="2"/>
      </rPr>
      <t xml:space="preserve">月期の年間家賃</t>
    </r>
    <r>
      <rPr>
        <sz val="9"/>
        <color theme="1"/>
        <rFont val="游ゴシック"/>
        <family val="3"/>
        <charset val="128"/>
      </rPr>
      <t xml:space="preserve">8,153</t>
    </r>
    <r>
      <rPr>
        <sz val="9"/>
        <color theme="1"/>
        <rFont val="游ゴシック"/>
        <family val="2"/>
      </rPr>
      <t xml:space="preserve">千円。</t>
    </r>
    <r>
      <rPr>
        <sz val="9"/>
        <color theme="1"/>
        <rFont val="游ゴシック"/>
        <family val="3"/>
        <charset val="128"/>
      </rPr>
      <t xml:space="preserve">COC</t>
    </r>
    <r>
      <rPr>
        <sz val="9"/>
        <color theme="1"/>
        <rFont val="游ゴシック"/>
        <family val="2"/>
      </rPr>
      <t xml:space="preserve">条項あり。再契約可否は要確認</t>
    </r>
  </si>
  <si>
    <r>
      <rPr>
        <sz val="12"/>
        <color theme="1"/>
        <rFont val="游ゴシック"/>
        <family val="2"/>
      </rPr>
      <t xml:space="preserve">大阪府茨木市東太田</t>
    </r>
    <r>
      <rPr>
        <sz val="12"/>
        <color theme="1"/>
        <rFont val="游ゴシック"/>
        <family val="2"/>
        <charset val="1"/>
      </rPr>
      <t xml:space="preserve">1-4-48
</t>
    </r>
    <r>
      <rPr>
        <sz val="12"/>
        <color theme="1"/>
        <rFont val="游ゴシック"/>
        <family val="2"/>
      </rPr>
      <t xml:space="preserve">ドン・キホーテ茨木店</t>
    </r>
    <r>
      <rPr>
        <sz val="12"/>
        <color theme="1"/>
        <rFont val="游ゴシック"/>
        <family val="2"/>
        <charset val="1"/>
      </rPr>
      <t xml:space="preserve">1</t>
    </r>
    <r>
      <rPr>
        <sz val="12"/>
        <color theme="1"/>
        <rFont val="游ゴシック"/>
        <family val="2"/>
      </rPr>
      <t xml:space="preserve">階</t>
    </r>
  </si>
  <si>
    <r>
      <rPr>
        <sz val="12"/>
        <color theme="1"/>
        <rFont val="游ゴシック"/>
        <family val="3"/>
        <charset val="128"/>
      </rPr>
      <t xml:space="preserve">2024</t>
    </r>
    <r>
      <rPr>
        <sz val="12"/>
        <color theme="1"/>
        <rFont val="游ゴシック"/>
        <family val="2"/>
      </rPr>
      <t xml:space="preserve">年</t>
    </r>
    <r>
      <rPr>
        <sz val="12"/>
        <color theme="1"/>
        <rFont val="游ゴシック"/>
        <family val="3"/>
        <charset val="128"/>
      </rPr>
      <t xml:space="preserve">9</t>
    </r>
    <r>
      <rPr>
        <sz val="12"/>
        <color theme="1"/>
        <rFont val="游ゴシック"/>
        <family val="2"/>
      </rPr>
      <t xml:space="preserve">月〜</t>
    </r>
    <r>
      <rPr>
        <sz val="12"/>
        <color theme="1"/>
        <rFont val="游ゴシック"/>
        <family val="3"/>
        <charset val="128"/>
      </rPr>
      <t xml:space="preserve">2027</t>
    </r>
    <r>
      <rPr>
        <sz val="12"/>
        <color theme="1"/>
        <rFont val="游ゴシック"/>
        <family val="2"/>
      </rPr>
      <t xml:space="preserve">年</t>
    </r>
    <r>
      <rPr>
        <sz val="12"/>
        <color theme="1"/>
        <rFont val="游ゴシック"/>
        <family val="3"/>
        <charset val="128"/>
      </rPr>
      <t xml:space="preserve">11</t>
    </r>
    <r>
      <rPr>
        <sz val="12"/>
        <color theme="1"/>
        <rFont val="游ゴシック"/>
        <family val="2"/>
      </rPr>
      <t xml:space="preserve">月
定期建物賃貸借（更新なし）</t>
    </r>
  </si>
  <si>
    <t xml:space="preserve">株式会社ドン・キホーテ
（サブリース／転貸人：日本商業施設㈱）</t>
  </si>
  <si>
    <r>
      <rPr>
        <sz val="9"/>
        <color theme="1"/>
        <rFont val="游ゴシック"/>
        <family val="2"/>
      </rPr>
      <t xml:space="preserve">駐車場</t>
    </r>
    <r>
      <rPr>
        <sz val="9"/>
        <color theme="1"/>
        <rFont val="游ゴシック"/>
        <family val="2"/>
        <charset val="1"/>
      </rPr>
      <t xml:space="preserve">3</t>
    </r>
    <r>
      <rPr>
        <sz val="9"/>
        <color theme="1"/>
        <rFont val="游ゴシック"/>
        <family val="2"/>
      </rPr>
      <t xml:space="preserve">台分を含む。</t>
    </r>
    <r>
      <rPr>
        <sz val="9"/>
        <color theme="1"/>
        <rFont val="游ゴシック"/>
        <family val="2"/>
        <charset val="1"/>
      </rPr>
      <t xml:space="preserve">2025</t>
    </r>
    <r>
      <rPr>
        <sz val="9"/>
        <color theme="1"/>
        <rFont val="游ゴシック"/>
        <family val="2"/>
      </rPr>
      <t xml:space="preserve">年</t>
    </r>
    <r>
      <rPr>
        <sz val="9"/>
        <color theme="1"/>
        <rFont val="游ゴシック"/>
        <family val="2"/>
        <charset val="1"/>
      </rPr>
      <t xml:space="preserve">11</t>
    </r>
    <r>
      <rPr>
        <sz val="9"/>
        <color theme="1"/>
        <rFont val="游ゴシック"/>
        <family val="2"/>
      </rPr>
      <t xml:space="preserve">月期の年間家賃</t>
    </r>
    <r>
      <rPr>
        <sz val="9"/>
        <color theme="1"/>
        <rFont val="游ゴシック"/>
        <family val="2"/>
        <charset val="1"/>
      </rPr>
      <t xml:space="preserve">10,756</t>
    </r>
    <r>
      <rPr>
        <sz val="9"/>
        <color theme="1"/>
        <rFont val="游ゴシック"/>
        <family val="2"/>
      </rPr>
      <t xml:space="preserve">千円＋駐車場</t>
    </r>
    <r>
      <rPr>
        <sz val="9"/>
        <color theme="1"/>
        <rFont val="游ゴシック"/>
        <family val="2"/>
        <charset val="1"/>
      </rPr>
      <t xml:space="preserve">363</t>
    </r>
    <r>
      <rPr>
        <sz val="9"/>
        <color theme="1"/>
        <rFont val="游ゴシック"/>
        <family val="2"/>
      </rPr>
      <t xml:space="preserve">千円。</t>
    </r>
    <r>
      <rPr>
        <sz val="9"/>
        <color theme="1"/>
        <rFont val="游ゴシック"/>
        <family val="2"/>
        <charset val="1"/>
      </rPr>
      <t xml:space="preserve">COC</t>
    </r>
    <r>
      <rPr>
        <sz val="9"/>
        <color theme="1"/>
        <rFont val="游ゴシック"/>
        <family val="2"/>
      </rPr>
      <t xml:space="preserve">条項あり。再契約は協議のうえ可</t>
    </r>
  </si>
  <si>
    <t xml:space="preserve">建物）事務所（代表者自宅）</t>
  </si>
  <si>
    <r>
      <rPr>
        <sz val="12"/>
        <color theme="1"/>
        <rFont val="游ゴシック"/>
        <family val="2"/>
      </rPr>
      <t xml:space="preserve">岐阜県大垣市青柳町</t>
    </r>
    <r>
      <rPr>
        <sz val="12"/>
        <color theme="1"/>
        <rFont val="游ゴシック"/>
        <family val="2"/>
        <charset val="1"/>
      </rPr>
      <t xml:space="preserve">3</t>
    </r>
    <r>
      <rPr>
        <sz val="12"/>
        <color theme="1"/>
        <rFont val="游ゴシック"/>
        <family val="2"/>
      </rPr>
      <t xml:space="preserve">丁目</t>
    </r>
    <r>
      <rPr>
        <sz val="12"/>
        <color theme="1"/>
        <rFont val="游ゴシック"/>
        <family val="2"/>
        <charset val="1"/>
      </rPr>
      <t xml:space="preserve">227</t>
    </r>
    <r>
      <rPr>
        <sz val="12"/>
        <color theme="1"/>
        <rFont val="游ゴシック"/>
        <family val="2"/>
      </rPr>
      <t xml:space="preserve">番地</t>
    </r>
    <r>
      <rPr>
        <sz val="12"/>
        <color theme="1"/>
        <rFont val="游ゴシック"/>
        <family val="2"/>
        <charset val="1"/>
      </rPr>
      <t xml:space="preserve">2</t>
    </r>
  </si>
  <si>
    <t xml:space="preserve">清水　満（個人）</t>
  </si>
  <si>
    <r>
      <rPr>
        <sz val="9"/>
        <color theme="1"/>
        <rFont val="游ゴシック"/>
        <family val="3"/>
        <charset val="128"/>
      </rPr>
      <t xml:space="preserve">2025</t>
    </r>
    <r>
      <rPr>
        <sz val="9"/>
        <color theme="1"/>
        <rFont val="游ゴシック"/>
        <family val="2"/>
      </rPr>
      <t xml:space="preserve">年</t>
    </r>
    <r>
      <rPr>
        <sz val="9"/>
        <color theme="1"/>
        <rFont val="游ゴシック"/>
        <family val="3"/>
        <charset val="128"/>
      </rPr>
      <t xml:space="preserve">11</t>
    </r>
    <r>
      <rPr>
        <sz val="9"/>
        <color theme="1"/>
        <rFont val="游ゴシック"/>
        <family val="2"/>
      </rPr>
      <t xml:space="preserve">月期の年間家賃</t>
    </r>
    <r>
      <rPr>
        <sz val="9"/>
        <color theme="1"/>
        <rFont val="游ゴシック"/>
        <family val="3"/>
        <charset val="128"/>
      </rPr>
      <t xml:space="preserve">1,000</t>
    </r>
    <r>
      <rPr>
        <sz val="9"/>
        <color theme="1"/>
        <rFont val="游ゴシック"/>
        <family val="2"/>
      </rPr>
      <t xml:space="preserve">千円</t>
    </r>
  </si>
  <si>
    <t xml:space="preserve">ペット出産用施設</t>
  </si>
  <si>
    <t xml:space="preserve">建物）その他</t>
  </si>
  <si>
    <r>
      <rPr>
        <sz val="12"/>
        <color theme="1"/>
        <rFont val="游ゴシック"/>
        <family val="2"/>
      </rPr>
      <t xml:space="preserve">岐阜県大垣市上面</t>
    </r>
    <r>
      <rPr>
        <sz val="12"/>
        <color theme="1"/>
        <rFont val="游ゴシック"/>
        <family val="2"/>
        <charset val="1"/>
      </rPr>
      <t xml:space="preserve">4</t>
    </r>
    <r>
      <rPr>
        <sz val="12"/>
        <color theme="1"/>
        <rFont val="游ゴシック"/>
        <family val="2"/>
      </rPr>
      <t xml:space="preserve">丁目</t>
    </r>
    <r>
      <rPr>
        <sz val="12"/>
        <color theme="1"/>
        <rFont val="游ゴシック"/>
        <family val="2"/>
        <charset val="1"/>
      </rPr>
      <t xml:space="preserve">17-1</t>
    </r>
  </si>
  <si>
    <t xml:space="preserve">大東建託パートナーズ株式会社</t>
  </si>
  <si>
    <r>
      <rPr>
        <sz val="9"/>
        <color theme="1"/>
        <rFont val="游ゴシック"/>
        <family val="3"/>
        <charset val="128"/>
      </rPr>
      <t xml:space="preserve">2025</t>
    </r>
    <r>
      <rPr>
        <sz val="9"/>
        <color theme="1"/>
        <rFont val="游ゴシック"/>
        <family val="2"/>
      </rPr>
      <t xml:space="preserve">年</t>
    </r>
    <r>
      <rPr>
        <sz val="9"/>
        <color theme="1"/>
        <rFont val="游ゴシック"/>
        <family val="3"/>
        <charset val="128"/>
      </rPr>
      <t xml:space="preserve">11</t>
    </r>
    <r>
      <rPr>
        <sz val="9"/>
        <color theme="1"/>
        <rFont val="游ゴシック"/>
        <family val="2"/>
      </rPr>
      <t xml:space="preserve">月期の年間家賃</t>
    </r>
    <r>
      <rPr>
        <sz val="9"/>
        <color theme="1"/>
        <rFont val="游ゴシック"/>
        <family val="3"/>
        <charset val="128"/>
      </rPr>
      <t xml:space="preserve">574</t>
    </r>
    <r>
      <rPr>
        <sz val="9"/>
        <color theme="1"/>
        <rFont val="游ゴシック"/>
        <family val="2"/>
      </rPr>
      <t xml:space="preserve">千円</t>
    </r>
  </si>
  <si>
    <t xml:space="preserve">明和店倉庫</t>
  </si>
  <si>
    <t xml:space="preserve">建物）倉庫</t>
  </si>
  <si>
    <t xml:space="preserve">ジェイリース株式会社</t>
  </si>
  <si>
    <r>
      <rPr>
        <sz val="9"/>
        <color theme="1"/>
        <rFont val="游ゴシック"/>
        <family val="3"/>
        <charset val="128"/>
      </rPr>
      <t xml:space="preserve">2025</t>
    </r>
    <r>
      <rPr>
        <sz val="9"/>
        <color theme="1"/>
        <rFont val="游ゴシック"/>
        <family val="2"/>
      </rPr>
      <t xml:space="preserve">年</t>
    </r>
    <r>
      <rPr>
        <sz val="9"/>
        <color theme="1"/>
        <rFont val="游ゴシック"/>
        <family val="3"/>
        <charset val="128"/>
      </rPr>
      <t xml:space="preserve">11</t>
    </r>
    <r>
      <rPr>
        <sz val="9"/>
        <color theme="1"/>
        <rFont val="游ゴシック"/>
        <family val="2"/>
      </rPr>
      <t xml:space="preserve">月期の年間家賃</t>
    </r>
    <r>
      <rPr>
        <sz val="9"/>
        <color theme="1"/>
        <rFont val="游ゴシック"/>
        <family val="3"/>
        <charset val="128"/>
      </rPr>
      <t xml:space="preserve">2,420</t>
    </r>
    <r>
      <rPr>
        <sz val="9"/>
        <color theme="1"/>
        <rFont val="游ゴシック"/>
        <family val="2"/>
      </rPr>
      <t xml:space="preserve">千円</t>
    </r>
  </si>
  <si>
    <t xml:space="preserve">従業員社宅</t>
  </si>
  <si>
    <t xml:space="preserve">建物）社宅</t>
  </si>
  <si>
    <t xml:space="preserve">株式会社エポスカード</t>
  </si>
  <si>
    <r>
      <rPr>
        <sz val="9"/>
        <color theme="1"/>
        <rFont val="游ゴシック"/>
        <family val="3"/>
        <charset val="128"/>
      </rPr>
      <t xml:space="preserve">2025</t>
    </r>
    <r>
      <rPr>
        <sz val="9"/>
        <color theme="1"/>
        <rFont val="游ゴシック"/>
        <family val="2"/>
      </rPr>
      <t xml:space="preserve">年</t>
    </r>
    <r>
      <rPr>
        <sz val="9"/>
        <color theme="1"/>
        <rFont val="游ゴシック"/>
        <family val="3"/>
        <charset val="128"/>
      </rPr>
      <t xml:space="preserve">11</t>
    </r>
    <r>
      <rPr>
        <sz val="9"/>
        <color theme="1"/>
        <rFont val="游ゴシック"/>
        <family val="2"/>
      </rPr>
      <t xml:space="preserve">月期の年間家賃</t>
    </r>
    <r>
      <rPr>
        <sz val="9"/>
        <color theme="1"/>
        <rFont val="游ゴシック"/>
        <family val="3"/>
        <charset val="128"/>
      </rPr>
      <t xml:space="preserve">513</t>
    </r>
    <r>
      <rPr>
        <sz val="9"/>
        <color theme="1"/>
        <rFont val="游ゴシック"/>
        <family val="2"/>
      </rPr>
      <t xml:space="preserve">千円</t>
    </r>
  </si>
  <si>
    <r>
      <rPr>
        <sz val="9"/>
        <rFont val="游ゴシック"/>
        <family val="2"/>
      </rPr>
      <t xml:space="preserve">※出所：</t>
    </r>
    <r>
      <rPr>
        <sz val="9"/>
        <rFont val="游ゴシック"/>
        <family val="2"/>
        <charset val="1"/>
      </rPr>
      <t xml:space="preserve">2025</t>
    </r>
    <r>
      <rPr>
        <sz val="9"/>
        <rFont val="游ゴシック"/>
        <family val="2"/>
      </rPr>
      <t xml:space="preserve">年</t>
    </r>
    <r>
      <rPr>
        <sz val="9"/>
        <rFont val="游ゴシック"/>
        <family val="2"/>
        <charset val="1"/>
      </rPr>
      <t xml:space="preserve">11</t>
    </r>
    <r>
      <rPr>
        <sz val="9"/>
        <rFont val="游ゴシック"/>
        <family val="2"/>
      </rPr>
      <t xml:space="preserve">月期「地代家賃等の内訳書」、対象会社提供の既存会社説明資料「店舗の状況</t>
    </r>
    <r>
      <rPr>
        <sz val="9"/>
        <rFont val="游ゴシック"/>
        <family val="2"/>
        <charset val="1"/>
      </rPr>
      <t xml:space="preserve">1</t>
    </r>
    <r>
      <rPr>
        <sz val="9"/>
        <rFont val="游ゴシック"/>
        <family val="2"/>
      </rPr>
      <t xml:space="preserve">・</t>
    </r>
    <r>
      <rPr>
        <sz val="9"/>
        <rFont val="游ゴシック"/>
        <family val="2"/>
        <charset val="1"/>
      </rPr>
      <t xml:space="preserve">2</t>
    </r>
    <r>
      <rPr>
        <sz val="9"/>
        <rFont val="游ゴシック"/>
        <family val="2"/>
      </rPr>
      <t xml:space="preserve">」。ワンラブ</t>
    </r>
    <r>
      <rPr>
        <sz val="9"/>
        <rFont val="游ゴシック"/>
        <family val="2"/>
        <charset val="1"/>
      </rPr>
      <t xml:space="preserve">FC</t>
    </r>
    <r>
      <rPr>
        <sz val="9"/>
        <rFont val="游ゴシック"/>
        <family val="2"/>
      </rPr>
      <t xml:space="preserve">店（明和・伊勢・久居・大垣・岐阜）の店舗使用料は売上歩合であり、販管費上は「ロイヤリティ」に計上されている。
※面積・敷金・契約期間の空欄および「要確認」欄は資料未受領。</t>
    </r>
    <r>
      <rPr>
        <sz val="9"/>
        <rFont val="游ゴシック"/>
        <family val="2"/>
        <charset val="1"/>
      </rPr>
      <t xml:space="preserve">COC</t>
    </r>
    <r>
      <rPr>
        <sz val="9"/>
        <rFont val="游ゴシック"/>
        <family val="2"/>
      </rPr>
      <t xml:space="preserve">条項（会社組織の変更・資本構成の重大な変更時の届出義務、合併時の契約解除可能）が①〜③および岐阜総本店・大阪総本店の契約書に存在するため、本件実行時の対応は要確認。</t>
    </r>
  </si>
  <si>
    <t xml:space="preserve">資産名</t>
  </si>
  <si>
    <t xml:space="preserve">償却方法</t>
  </si>
  <si>
    <t xml:space="preserve">取得年</t>
  </si>
  <si>
    <t xml:space="preserve">取得月</t>
  </si>
  <si>
    <t xml:space="preserve">耐用年数</t>
  </si>
  <si>
    <t xml:space="preserve">取得原価</t>
  </si>
  <si>
    <t xml:space="preserve">期末帳簿価額</t>
  </si>
  <si>
    <t xml:space="preserve">文字</t>
  </si>
  <si>
    <t xml:space="preserve">おっきなもふもふ大阪総本店 新装工事</t>
  </si>
  <si>
    <t xml:space="preserve">定額法</t>
  </si>
  <si>
    <r>
      <rPr>
        <sz val="12"/>
        <color theme="1"/>
        <rFont val="Arial"/>
        <family val="2"/>
        <charset val="1"/>
      </rPr>
      <t xml:space="preserve">2024</t>
    </r>
    <r>
      <rPr>
        <sz val="12"/>
        <color theme="1"/>
        <rFont val="游ゴシック"/>
        <family val="2"/>
      </rPr>
      <t xml:space="preserve">年</t>
    </r>
  </si>
  <si>
    <r>
      <rPr>
        <sz val="12"/>
        <color theme="1"/>
        <rFont val="Arial"/>
        <family val="2"/>
        <charset val="1"/>
      </rPr>
      <t xml:space="preserve">10</t>
    </r>
    <r>
      <rPr>
        <sz val="12"/>
        <color theme="1"/>
        <rFont val="游ゴシック"/>
        <family val="2"/>
      </rPr>
      <t xml:space="preserve">月</t>
    </r>
  </si>
  <si>
    <r>
      <rPr>
        <sz val="12"/>
        <color theme="1"/>
        <rFont val="Arial"/>
        <family val="2"/>
        <charset val="1"/>
      </rPr>
      <t xml:space="preserve">15</t>
    </r>
    <r>
      <rPr>
        <sz val="12"/>
        <color theme="1"/>
        <rFont val="游ゴシック"/>
        <family val="2"/>
      </rPr>
      <t xml:space="preserve">年</t>
    </r>
  </si>
  <si>
    <t xml:space="preserve">大阪総本店の出店に伴う内装一式</t>
  </si>
  <si>
    <t xml:space="preserve">おっきなもふもふ大阪総本店 内装工事</t>
  </si>
  <si>
    <t xml:space="preserve">空調・照明設備</t>
  </si>
  <si>
    <r>
      <rPr>
        <sz val="12"/>
        <color theme="1"/>
        <rFont val="Arial"/>
        <family val="2"/>
        <charset val="1"/>
      </rPr>
      <t xml:space="preserve">7</t>
    </r>
    <r>
      <rPr>
        <sz val="12"/>
        <color theme="1"/>
        <rFont val="游ゴシック"/>
        <family val="2"/>
      </rPr>
      <t xml:space="preserve">月</t>
    </r>
  </si>
  <si>
    <t xml:space="preserve">ドン・キホーテ緑店 改装工事（給排水・電気配管・照明・エアコン）</t>
  </si>
  <si>
    <t xml:space="preserve">水回り工事・外装工事</t>
  </si>
  <si>
    <r>
      <rPr>
        <sz val="12"/>
        <color theme="1"/>
        <rFont val="Arial"/>
        <family val="2"/>
        <charset val="1"/>
      </rPr>
      <t xml:space="preserve">9</t>
    </r>
    <r>
      <rPr>
        <sz val="12"/>
        <color theme="1"/>
        <rFont val="游ゴシック"/>
        <family val="2"/>
      </rPr>
      <t xml:space="preserve">月</t>
    </r>
  </si>
  <si>
    <t xml:space="preserve">壁面サイン（金属製）</t>
  </si>
  <si>
    <r>
      <rPr>
        <sz val="12"/>
        <color theme="1"/>
        <rFont val="Arial"/>
        <family val="2"/>
        <charset val="1"/>
      </rPr>
      <t xml:space="preserve">2023</t>
    </r>
    <r>
      <rPr>
        <sz val="12"/>
        <color theme="1"/>
        <rFont val="游ゴシック"/>
        <family val="2"/>
      </rPr>
      <t xml:space="preserve">年</t>
    </r>
  </si>
  <si>
    <r>
      <rPr>
        <sz val="12"/>
        <color theme="1"/>
        <rFont val="Arial"/>
        <family val="2"/>
        <charset val="1"/>
      </rPr>
      <t xml:space="preserve">18</t>
    </r>
    <r>
      <rPr>
        <sz val="12"/>
        <color theme="1"/>
        <rFont val="游ゴシック"/>
        <family val="2"/>
      </rPr>
      <t xml:space="preserve">年</t>
    </r>
  </si>
  <si>
    <t xml:space="preserve">おっきなもふもふ大阪総本店 サイン改修工事（金属製）</t>
  </si>
  <si>
    <r>
      <rPr>
        <sz val="12"/>
        <color theme="1"/>
        <rFont val="Arial"/>
        <family val="2"/>
        <charset val="1"/>
      </rPr>
      <t xml:space="preserve">6</t>
    </r>
    <r>
      <rPr>
        <sz val="12"/>
        <color theme="1"/>
        <rFont val="游ゴシック"/>
        <family val="2"/>
      </rPr>
      <t xml:space="preserve">月</t>
    </r>
  </si>
  <si>
    <t xml:space="preserve">ドン・キホーテ緑店 改装工事（電気工事）</t>
  </si>
  <si>
    <r>
      <rPr>
        <sz val="12"/>
        <color theme="1"/>
        <rFont val="Arial"/>
        <family val="2"/>
        <charset val="1"/>
      </rPr>
      <t xml:space="preserve">8</t>
    </r>
    <r>
      <rPr>
        <sz val="12"/>
        <color theme="1"/>
        <rFont val="游ゴシック"/>
        <family val="2"/>
      </rPr>
      <t xml:space="preserve">月</t>
    </r>
  </si>
  <si>
    <t xml:space="preserve">電気設備・その他</t>
  </si>
  <si>
    <t xml:space="preserve">おっきなもふもふ大阪総本店 外装工事（消防設備）</t>
  </si>
  <si>
    <r>
      <rPr>
        <sz val="12"/>
        <color theme="1"/>
        <rFont val="Arial"/>
        <family val="2"/>
        <charset val="1"/>
      </rPr>
      <t xml:space="preserve">8</t>
    </r>
    <r>
      <rPr>
        <sz val="12"/>
        <color theme="1"/>
        <rFont val="游ゴシック"/>
        <family val="2"/>
      </rPr>
      <t xml:space="preserve">年</t>
    </r>
  </si>
  <si>
    <t xml:space="preserve">ハイエースバン（トヨタ自動車㈱）</t>
  </si>
  <si>
    <r>
      <rPr>
        <sz val="12"/>
        <color theme="1"/>
        <rFont val="游ゴシック"/>
        <family val="3"/>
        <charset val="128"/>
      </rPr>
      <t xml:space="preserve">200%</t>
    </r>
    <r>
      <rPr>
        <sz val="12"/>
        <color theme="1"/>
        <rFont val="游ゴシック"/>
        <family val="2"/>
      </rPr>
      <t xml:space="preserve">定率法</t>
    </r>
  </si>
  <si>
    <r>
      <rPr>
        <sz val="12"/>
        <color theme="1"/>
        <rFont val="Arial"/>
        <family val="2"/>
        <charset val="1"/>
      </rPr>
      <t xml:space="preserve">2022</t>
    </r>
    <r>
      <rPr>
        <sz val="12"/>
        <color theme="1"/>
        <rFont val="游ゴシック"/>
        <family val="2"/>
      </rPr>
      <t xml:space="preserve">年</t>
    </r>
  </si>
  <si>
    <r>
      <rPr>
        <sz val="12"/>
        <color theme="1"/>
        <rFont val="Arial"/>
        <family val="2"/>
        <charset val="1"/>
      </rPr>
      <t xml:space="preserve">4</t>
    </r>
    <r>
      <rPr>
        <sz val="12"/>
        <color theme="1"/>
        <rFont val="游ゴシック"/>
        <family val="2"/>
      </rPr>
      <t xml:space="preserve">月</t>
    </r>
  </si>
  <si>
    <r>
      <rPr>
        <sz val="12"/>
        <color theme="1"/>
        <rFont val="Arial"/>
        <family val="2"/>
        <charset val="1"/>
      </rPr>
      <t xml:space="preserve">6</t>
    </r>
    <r>
      <rPr>
        <sz val="12"/>
        <color theme="1"/>
        <rFont val="游ゴシック"/>
        <family val="2"/>
      </rPr>
      <t xml:space="preserve">年</t>
    </r>
  </si>
  <si>
    <t xml:space="preserve">ピクシスバン（トヨタ自動車㈱）</t>
  </si>
  <si>
    <r>
      <rPr>
        <sz val="12"/>
        <color theme="1"/>
        <rFont val="Arial"/>
        <family val="2"/>
        <charset val="1"/>
      </rPr>
      <t xml:space="preserve">4</t>
    </r>
    <r>
      <rPr>
        <sz val="12"/>
        <color theme="1"/>
        <rFont val="游ゴシック"/>
        <family val="2"/>
      </rPr>
      <t xml:space="preserve">年</t>
    </r>
  </si>
  <si>
    <t xml:space="preserve">プリウス（トヨタ自動車㈱）</t>
  </si>
  <si>
    <r>
      <rPr>
        <sz val="12"/>
        <color theme="1"/>
        <rFont val="Arial"/>
        <family val="2"/>
        <charset val="1"/>
      </rPr>
      <t xml:space="preserve">2020</t>
    </r>
    <r>
      <rPr>
        <sz val="12"/>
        <color theme="1"/>
        <rFont val="游ゴシック"/>
        <family val="2"/>
      </rPr>
      <t xml:space="preserve">年</t>
    </r>
  </si>
  <si>
    <r>
      <rPr>
        <sz val="12"/>
        <color theme="1"/>
        <rFont val="Arial"/>
        <family val="2"/>
        <charset val="1"/>
      </rPr>
      <t xml:space="preserve">12</t>
    </r>
    <r>
      <rPr>
        <sz val="12"/>
        <color theme="1"/>
        <rFont val="游ゴシック"/>
        <family val="2"/>
      </rPr>
      <t xml:space="preserve">月</t>
    </r>
  </si>
  <si>
    <r>
      <rPr>
        <sz val="9"/>
        <color theme="1"/>
        <rFont val="游ゴシック"/>
        <family val="2"/>
      </rPr>
      <t xml:space="preserve">備忘価額</t>
    </r>
    <r>
      <rPr>
        <sz val="9"/>
        <color theme="1"/>
        <rFont val="游ゴシック"/>
        <family val="2"/>
        <charset val="1"/>
      </rPr>
      <t xml:space="preserve">1</t>
    </r>
    <r>
      <rPr>
        <sz val="9"/>
        <color theme="1"/>
        <rFont val="游ゴシック"/>
        <family val="2"/>
      </rPr>
      <t xml:space="preserve">円</t>
    </r>
  </si>
  <si>
    <r>
      <rPr>
        <sz val="12"/>
        <color theme="1"/>
        <rFont val="游ゴシック"/>
        <family val="3"/>
        <charset val="128"/>
      </rPr>
      <t xml:space="preserve">BMW X7 xDrive40d M Sport</t>
    </r>
    <r>
      <rPr>
        <sz val="12"/>
        <color theme="1"/>
        <rFont val="游ゴシック"/>
        <family val="2"/>
      </rPr>
      <t xml:space="preserve">（</t>
    </r>
    <r>
      <rPr>
        <sz val="12"/>
        <color theme="1"/>
        <rFont val="游ゴシック"/>
        <family val="3"/>
        <charset val="128"/>
      </rPr>
      <t xml:space="preserve">BMW AG</t>
    </r>
    <r>
      <rPr>
        <sz val="12"/>
        <color theme="1"/>
        <rFont val="游ゴシック"/>
        <family val="2"/>
      </rPr>
      <t xml:space="preserve">）</t>
    </r>
  </si>
  <si>
    <r>
      <rPr>
        <sz val="9"/>
        <color theme="1"/>
        <rFont val="游ゴシック Medium"/>
        <family val="3"/>
        <charset val="128"/>
      </rPr>
      <t xml:space="preserve">2025</t>
    </r>
    <r>
      <rPr>
        <sz val="9"/>
        <color theme="1"/>
        <rFont val="游ゴシック"/>
        <family val="2"/>
      </rPr>
      <t xml:space="preserve">年</t>
    </r>
    <r>
      <rPr>
        <sz val="9"/>
        <color theme="1"/>
        <rFont val="游ゴシック Medium"/>
        <family val="3"/>
        <charset val="128"/>
      </rPr>
      <t xml:space="preserve">11</t>
    </r>
    <r>
      <rPr>
        <sz val="9"/>
        <color theme="1"/>
        <rFont val="游ゴシック"/>
        <family val="2"/>
      </rPr>
      <t xml:space="preserve">月期中に㈱</t>
    </r>
    <r>
      <rPr>
        <sz val="9"/>
        <color theme="1"/>
        <rFont val="游ゴシック Medium"/>
        <family val="3"/>
        <charset val="128"/>
      </rPr>
      <t xml:space="preserve">Luck Auto</t>
    </r>
    <r>
      <rPr>
        <sz val="9"/>
        <color theme="1"/>
        <rFont val="游ゴシック"/>
        <family val="2"/>
      </rPr>
      <t xml:space="preserve">へ</t>
    </r>
    <r>
      <rPr>
        <sz val="9"/>
        <color theme="1"/>
        <rFont val="游ゴシック Medium"/>
        <family val="3"/>
        <charset val="128"/>
      </rPr>
      <t xml:space="preserve">7,562</t>
    </r>
    <r>
      <rPr>
        <sz val="9"/>
        <color theme="1"/>
        <rFont val="游ゴシック"/>
        <family val="2"/>
      </rPr>
      <t xml:space="preserve">千円で売却（固定資産売却損</t>
    </r>
    <r>
      <rPr>
        <sz val="9"/>
        <color theme="1"/>
        <rFont val="游ゴシック Medium"/>
        <family val="3"/>
        <charset val="128"/>
      </rPr>
      <t xml:space="preserve">968</t>
    </r>
    <r>
      <rPr>
        <sz val="9"/>
        <color theme="1"/>
        <rFont val="游ゴシック"/>
        <family val="2"/>
      </rPr>
      <t xml:space="preserve">千円）。対象会社提供の既存会社説明資料の「進行期に売却」との記載は要確認</t>
    </r>
  </si>
  <si>
    <t xml:space="preserve">工具器具備品</t>
  </si>
  <si>
    <t xml:space="preserve">おっきなもふもふ応援隊 展示用什器・陳列用ゲージ</t>
  </si>
  <si>
    <t xml:space="preserve">おっきなもふもふ大阪総本店 展示用什器・冷蔵庫</t>
  </si>
  <si>
    <r>
      <rPr>
        <sz val="12"/>
        <color theme="1"/>
        <rFont val="游ゴシック"/>
        <family val="2"/>
      </rPr>
      <t xml:space="preserve">複合機・通信機器（</t>
    </r>
    <r>
      <rPr>
        <sz val="12"/>
        <color theme="1"/>
        <rFont val="游ゴシック"/>
        <family val="2"/>
        <charset val="1"/>
      </rPr>
      <t xml:space="preserve">bizhub C287</t>
    </r>
    <r>
      <rPr>
        <sz val="12"/>
        <color theme="1"/>
        <rFont val="游ゴシック"/>
        <family val="2"/>
      </rPr>
      <t xml:space="preserve">ほか）等</t>
    </r>
  </si>
  <si>
    <r>
      <rPr>
        <sz val="12"/>
        <color theme="1"/>
        <rFont val="Arial"/>
        <family val="2"/>
        <charset val="1"/>
      </rPr>
      <t xml:space="preserve">2022</t>
    </r>
    <r>
      <rPr>
        <sz val="12"/>
        <color theme="1"/>
        <rFont val="游ゴシック"/>
        <family val="2"/>
      </rPr>
      <t xml:space="preserve">〜</t>
    </r>
    <r>
      <rPr>
        <sz val="12"/>
        <color theme="1"/>
        <rFont val="Arial"/>
        <family val="2"/>
        <charset val="1"/>
      </rPr>
      <t xml:space="preserve">2024</t>
    </r>
    <r>
      <rPr>
        <sz val="12"/>
        <color theme="1"/>
        <rFont val="游ゴシック"/>
        <family val="2"/>
      </rPr>
      <t xml:space="preserve">年</t>
    </r>
  </si>
  <si>
    <r>
      <rPr>
        <sz val="12"/>
        <color theme="1"/>
        <rFont val="Arial"/>
        <family val="2"/>
        <charset val="1"/>
      </rPr>
      <t xml:space="preserve">5</t>
    </r>
    <r>
      <rPr>
        <sz val="12"/>
        <color theme="1"/>
        <rFont val="游ゴシック"/>
        <family val="2"/>
      </rPr>
      <t xml:space="preserve">年</t>
    </r>
  </si>
  <si>
    <r>
      <rPr>
        <sz val="9"/>
        <color theme="1"/>
        <rFont val="游ゴシック"/>
        <family val="2"/>
      </rPr>
      <t xml:space="preserve">複数台。事務機器・通信機器・</t>
    </r>
    <r>
      <rPr>
        <sz val="9"/>
        <color theme="1"/>
        <rFont val="游ゴシック"/>
        <family val="2"/>
        <charset val="1"/>
      </rPr>
      <t xml:space="preserve">Air</t>
    </r>
    <r>
      <rPr>
        <sz val="9"/>
        <color theme="1"/>
        <rFont val="游ゴシック"/>
        <family val="2"/>
      </rPr>
      <t xml:space="preserve">レジ等の合計</t>
    </r>
  </si>
  <si>
    <r>
      <rPr>
        <sz val="9"/>
        <rFont val="游ゴシック"/>
        <family val="2"/>
      </rPr>
      <t xml:space="preserve">※出所：</t>
    </r>
    <r>
      <rPr>
        <sz val="9"/>
        <rFont val="游ゴシック"/>
        <family val="2"/>
        <charset val="1"/>
      </rPr>
      <t xml:space="preserve">2025</t>
    </r>
    <r>
      <rPr>
        <sz val="9"/>
        <rFont val="游ゴシック"/>
        <family val="2"/>
      </rPr>
      <t xml:space="preserve">年</t>
    </r>
    <r>
      <rPr>
        <sz val="9"/>
        <rFont val="游ゴシック"/>
        <family val="2"/>
        <charset val="1"/>
      </rPr>
      <t xml:space="preserve">11</t>
    </r>
    <r>
      <rPr>
        <sz val="9"/>
        <rFont val="游ゴシック"/>
        <family val="2"/>
      </rPr>
      <t xml:space="preserve">月期「旧定率法・定額法による固定資産減価償却内訳明細書」。</t>
    </r>
    <r>
      <rPr>
        <sz val="9"/>
        <rFont val="游ゴシック"/>
        <family val="2"/>
        <charset val="1"/>
      </rPr>
      <t xml:space="preserve">2025</t>
    </r>
    <r>
      <rPr>
        <sz val="9"/>
        <rFont val="游ゴシック"/>
        <family val="2"/>
      </rPr>
      <t xml:space="preserve">年</t>
    </r>
    <r>
      <rPr>
        <sz val="9"/>
        <rFont val="游ゴシック"/>
        <family val="2"/>
        <charset val="1"/>
      </rPr>
      <t xml:space="preserve">11</t>
    </r>
    <r>
      <rPr>
        <sz val="9"/>
        <rFont val="游ゴシック"/>
        <family val="2"/>
      </rPr>
      <t xml:space="preserve">月期末の有形固定資産簿価は 建物附属設備</t>
    </r>
    <r>
      <rPr>
        <sz val="9"/>
        <rFont val="游ゴシック"/>
        <family val="2"/>
        <charset val="1"/>
      </rPr>
      <t xml:space="preserve">44,397</t>
    </r>
    <r>
      <rPr>
        <sz val="9"/>
        <rFont val="游ゴシック"/>
        <family val="2"/>
      </rPr>
      <t xml:space="preserve">千円／車両運搬具</t>
    </r>
    <r>
      <rPr>
        <sz val="9"/>
        <rFont val="游ゴシック"/>
        <family val="2"/>
        <charset val="1"/>
      </rPr>
      <t xml:space="preserve">1,058</t>
    </r>
    <r>
      <rPr>
        <sz val="9"/>
        <rFont val="游ゴシック"/>
        <family val="2"/>
      </rPr>
      <t xml:space="preserve">千円／工具器具備品</t>
    </r>
    <r>
      <rPr>
        <sz val="9"/>
        <rFont val="游ゴシック"/>
        <family val="2"/>
        <charset val="1"/>
      </rPr>
      <t xml:space="preserve">6,045</t>
    </r>
    <r>
      <rPr>
        <sz val="9"/>
        <rFont val="游ゴシック"/>
        <family val="2"/>
      </rPr>
      <t xml:space="preserve">千円／土地</t>
    </r>
    <r>
      <rPr>
        <sz val="9"/>
        <rFont val="游ゴシック"/>
        <family val="2"/>
        <charset val="1"/>
      </rPr>
      <t xml:space="preserve">2,974</t>
    </r>
    <r>
      <rPr>
        <sz val="9"/>
        <rFont val="游ゴシック"/>
        <family val="2"/>
      </rPr>
      <t xml:space="preserve">千円／その他</t>
    </r>
    <r>
      <rPr>
        <sz val="9"/>
        <rFont val="游ゴシック"/>
        <family val="2"/>
        <charset val="1"/>
      </rPr>
      <t xml:space="preserve">184</t>
    </r>
    <r>
      <rPr>
        <sz val="9"/>
        <rFont val="游ゴシック"/>
        <family val="2"/>
      </rPr>
      <t xml:space="preserve">千円。
※上記のほかリース車両</t>
    </r>
    <r>
      <rPr>
        <sz val="9"/>
        <rFont val="游ゴシック"/>
        <family val="2"/>
        <charset val="1"/>
      </rPr>
      <t xml:space="preserve">3</t>
    </r>
    <r>
      <rPr>
        <sz val="9"/>
        <rFont val="游ゴシック"/>
        <family val="2"/>
      </rPr>
      <t xml:space="preserve">台（メルセデス・ベンツ </t>
    </r>
    <r>
      <rPr>
        <sz val="9"/>
        <rFont val="游ゴシック"/>
        <family val="2"/>
        <charset val="1"/>
      </rPr>
      <t xml:space="preserve">GLE Coupe </t>
    </r>
    <r>
      <rPr>
        <sz val="9"/>
        <rFont val="游ゴシック"/>
        <family val="2"/>
      </rPr>
      <t xml:space="preserve">月</t>
    </r>
    <r>
      <rPr>
        <sz val="9"/>
        <rFont val="游ゴシック"/>
        <family val="2"/>
        <charset val="1"/>
      </rPr>
      <t xml:space="preserve">195</t>
    </r>
    <r>
      <rPr>
        <sz val="9"/>
        <rFont val="游ゴシック"/>
        <family val="2"/>
      </rPr>
      <t xml:space="preserve">千円・</t>
    </r>
    <r>
      <rPr>
        <sz val="9"/>
        <rFont val="游ゴシック"/>
        <family val="2"/>
        <charset val="1"/>
      </rPr>
      <t xml:space="preserve">2024</t>
    </r>
    <r>
      <rPr>
        <sz val="9"/>
        <rFont val="游ゴシック"/>
        <family val="2"/>
      </rPr>
      <t xml:space="preserve">年</t>
    </r>
    <r>
      <rPr>
        <sz val="9"/>
        <rFont val="游ゴシック"/>
        <family val="2"/>
        <charset val="1"/>
      </rPr>
      <t xml:space="preserve">9</t>
    </r>
    <r>
      <rPr>
        <sz val="9"/>
        <rFont val="游ゴシック"/>
        <family val="2"/>
      </rPr>
      <t xml:space="preserve">月〜</t>
    </r>
    <r>
      <rPr>
        <sz val="9"/>
        <rFont val="游ゴシック"/>
        <family val="2"/>
        <charset val="1"/>
      </rPr>
      <t xml:space="preserve">60</t>
    </r>
    <r>
      <rPr>
        <sz val="9"/>
        <rFont val="游ゴシック"/>
        <family val="2"/>
      </rPr>
      <t xml:space="preserve">ヶ月、</t>
    </r>
    <r>
      <rPr>
        <sz val="9"/>
        <rFont val="游ゴシック"/>
        <family val="2"/>
        <charset val="1"/>
      </rPr>
      <t xml:space="preserve">GLS </t>
    </r>
    <r>
      <rPr>
        <sz val="9"/>
        <rFont val="游ゴシック"/>
        <family val="2"/>
      </rPr>
      <t xml:space="preserve">月</t>
    </r>
    <r>
      <rPr>
        <sz val="9"/>
        <rFont val="游ゴシック"/>
        <family val="2"/>
        <charset val="1"/>
      </rPr>
      <t xml:space="preserve">212</t>
    </r>
    <r>
      <rPr>
        <sz val="9"/>
        <rFont val="游ゴシック"/>
        <family val="2"/>
      </rPr>
      <t xml:space="preserve">千円・</t>
    </r>
    <r>
      <rPr>
        <sz val="9"/>
        <rFont val="游ゴシック"/>
        <family val="2"/>
        <charset val="1"/>
      </rPr>
      <t xml:space="preserve">2024</t>
    </r>
    <r>
      <rPr>
        <sz val="9"/>
        <rFont val="游ゴシック"/>
        <family val="2"/>
      </rPr>
      <t xml:space="preserve">年</t>
    </r>
    <r>
      <rPr>
        <sz val="9"/>
        <rFont val="游ゴシック"/>
        <family val="2"/>
        <charset val="1"/>
      </rPr>
      <t xml:space="preserve">12</t>
    </r>
    <r>
      <rPr>
        <sz val="9"/>
        <rFont val="游ゴシック"/>
        <family val="2"/>
      </rPr>
      <t xml:space="preserve">月〜</t>
    </r>
    <r>
      <rPr>
        <sz val="9"/>
        <rFont val="游ゴシック"/>
        <family val="2"/>
        <charset val="1"/>
      </rPr>
      <t xml:space="preserve">60</t>
    </r>
    <r>
      <rPr>
        <sz val="9"/>
        <rFont val="游ゴシック"/>
        <family val="2"/>
      </rPr>
      <t xml:space="preserve">ヶ月、日産オーラ 月</t>
    </r>
    <r>
      <rPr>
        <sz val="9"/>
        <rFont val="游ゴシック"/>
        <family val="2"/>
        <charset val="1"/>
      </rPr>
      <t xml:space="preserve">60</t>
    </r>
    <r>
      <rPr>
        <sz val="9"/>
        <rFont val="游ゴシック"/>
        <family val="2"/>
      </rPr>
      <t xml:space="preserve">千円・</t>
    </r>
    <r>
      <rPr>
        <sz val="9"/>
        <rFont val="游ゴシック"/>
        <family val="2"/>
        <charset val="1"/>
      </rPr>
      <t xml:space="preserve">2024</t>
    </r>
    <r>
      <rPr>
        <sz val="9"/>
        <rFont val="游ゴシック"/>
        <family val="2"/>
      </rPr>
      <t xml:space="preserve">年</t>
    </r>
    <r>
      <rPr>
        <sz val="9"/>
        <rFont val="游ゴシック"/>
        <family val="2"/>
        <charset val="1"/>
      </rPr>
      <t xml:space="preserve">9</t>
    </r>
    <r>
      <rPr>
        <sz val="9"/>
        <rFont val="游ゴシック"/>
        <family val="2"/>
      </rPr>
      <t xml:space="preserve">月〜</t>
    </r>
    <r>
      <rPr>
        <sz val="9"/>
        <rFont val="游ゴシック"/>
        <family val="2"/>
        <charset val="1"/>
      </rPr>
      <t xml:space="preserve">36</t>
    </r>
    <r>
      <rPr>
        <sz val="9"/>
        <rFont val="游ゴシック"/>
        <family val="2"/>
      </rPr>
      <t xml:space="preserve">ヶ月）。ベンツ</t>
    </r>
    <r>
      <rPr>
        <sz val="9"/>
        <rFont val="游ゴシック"/>
        <family val="2"/>
        <charset val="1"/>
      </rPr>
      <t xml:space="preserve">2</t>
    </r>
    <r>
      <rPr>
        <sz val="9"/>
        <rFont val="游ゴシック"/>
        <family val="2"/>
      </rPr>
      <t xml:space="preserve">台は非事業用であり、本件実行後に解約予定。
※一括償却資産：ドン・キホーテ緑店 ゲージ改修工事</t>
    </r>
    <r>
      <rPr>
        <sz val="9"/>
        <rFont val="游ゴシック"/>
        <family val="2"/>
        <charset val="1"/>
      </rPr>
      <t xml:space="preserve">146</t>
    </r>
    <r>
      <rPr>
        <sz val="9"/>
        <rFont val="游ゴシック"/>
        <family val="2"/>
      </rPr>
      <t xml:space="preserve">千円、同 カーテン修繕工事</t>
    </r>
    <r>
      <rPr>
        <sz val="9"/>
        <rFont val="游ゴシック"/>
        <family val="2"/>
        <charset val="1"/>
      </rPr>
      <t xml:space="preserve">130</t>
    </r>
    <r>
      <rPr>
        <sz val="9"/>
        <rFont val="游ゴシック"/>
        <family val="2"/>
      </rPr>
      <t xml:space="preserve">千円（いずれも</t>
    </r>
    <r>
      <rPr>
        <sz val="9"/>
        <rFont val="游ゴシック"/>
        <family val="2"/>
        <charset val="1"/>
      </rPr>
      <t xml:space="preserve">2025</t>
    </r>
    <r>
      <rPr>
        <sz val="9"/>
        <rFont val="游ゴシック"/>
        <family val="2"/>
      </rPr>
      <t xml:space="preserve">年</t>
    </r>
    <r>
      <rPr>
        <sz val="9"/>
        <rFont val="游ゴシック"/>
        <family val="2"/>
        <charset val="1"/>
      </rPr>
      <t xml:space="preserve">6</t>
    </r>
    <r>
      <rPr>
        <sz val="9"/>
        <rFont val="游ゴシック"/>
        <family val="2"/>
      </rPr>
      <t xml:space="preserve">月供用）。</t>
    </r>
  </si>
  <si>
    <r>
      <rPr>
        <b val="true"/>
        <sz val="12"/>
        <color rgb="FFFF0000"/>
        <rFont val="游ゴシック"/>
        <family val="3"/>
        <charset val="128"/>
      </rPr>
      <t xml:space="preserve">IM</t>
    </r>
    <r>
      <rPr>
        <b val="true"/>
        <sz val="12"/>
        <color rgb="FFFF0000"/>
        <rFont val="游ゴシック"/>
        <family val="2"/>
      </rPr>
      <t xml:space="preserve">の財務詳細ページのデータは財務入力のシートから流用してください</t>
    </r>
  </si>
  <si>
    <t xml:space="preserve">要確認事項・ネクストステップ</t>
  </si>
  <si>
    <t xml:space="preserve">区分</t>
  </si>
  <si>
    <t xml:space="preserve">論点</t>
  </si>
  <si>
    <t xml:space="preserve">現時点で確認できている事実／当社の仮説</t>
  </si>
  <si>
    <t xml:space="preserve">確認方法・依頼先</t>
  </si>
  <si>
    <t xml:space="preserve">【解決済】店舗</t>
  </si>
  <si>
    <r>
      <rPr>
        <sz val="9"/>
        <rFont val="游ゴシック Medium"/>
        <family val="0"/>
        <charset val="1"/>
      </rPr>
      <t xml:space="preserve">2026</t>
    </r>
    <r>
      <rPr>
        <sz val="9"/>
        <rFont val="游ゴシック"/>
        <family val="2"/>
      </rPr>
      <t xml:space="preserve">年</t>
    </r>
    <r>
      <rPr>
        <sz val="9"/>
        <rFont val="游ゴシック Medium"/>
        <family val="0"/>
        <charset val="1"/>
      </rPr>
      <t xml:space="preserve">1</t>
    </r>
    <r>
      <rPr>
        <sz val="9"/>
        <rFont val="游ゴシック"/>
        <family val="2"/>
      </rPr>
      <t xml:space="preserve">月末に撤退した赤字</t>
    </r>
    <r>
      <rPr>
        <sz val="9"/>
        <rFont val="游ゴシック Medium"/>
        <family val="0"/>
        <charset val="1"/>
      </rPr>
      <t xml:space="preserve">2</t>
    </r>
    <r>
      <rPr>
        <sz val="9"/>
        <rFont val="游ゴシック"/>
        <family val="2"/>
      </rPr>
      <t xml:space="preserve">店舗の特定</t>
    </r>
  </si>
  <si>
    <r>
      <rPr>
        <sz val="9"/>
        <rFont val="游ゴシック"/>
        <family val="2"/>
      </rPr>
      <t xml:space="preserve">店舗別試算表により、ペットプラザ岐阜店が</t>
    </r>
    <r>
      <rPr>
        <sz val="9"/>
        <rFont val="游ゴシック"/>
        <family val="2"/>
        <charset val="1"/>
      </rPr>
      <t xml:space="preserve">2026</t>
    </r>
    <r>
      <rPr>
        <sz val="9"/>
        <rFont val="游ゴシック"/>
        <family val="2"/>
      </rPr>
      <t xml:space="preserve">年</t>
    </r>
    <r>
      <rPr>
        <sz val="9"/>
        <rFont val="游ゴシック"/>
        <family val="2"/>
        <charset val="1"/>
      </rPr>
      <t xml:space="preserve">1</t>
    </r>
    <r>
      <rPr>
        <sz val="9"/>
        <rFont val="游ゴシック"/>
        <family val="2"/>
      </rPr>
      <t xml:space="preserve">月、アクアウォーク大垣店が</t>
    </r>
    <r>
      <rPr>
        <sz val="9"/>
        <rFont val="游ゴシック"/>
        <family val="2"/>
        <charset val="1"/>
      </rPr>
      <t xml:space="preserve">2026</t>
    </r>
    <r>
      <rPr>
        <sz val="9"/>
        <rFont val="游ゴシック"/>
        <family val="2"/>
      </rPr>
      <t xml:space="preserve">年</t>
    </r>
    <r>
      <rPr>
        <sz val="9"/>
        <rFont val="游ゴシック"/>
        <family val="2"/>
        <charset val="1"/>
      </rPr>
      <t xml:space="preserve">2</t>
    </r>
    <r>
      <rPr>
        <sz val="9"/>
        <rFont val="游ゴシック"/>
        <family val="2"/>
      </rPr>
      <t xml:space="preserve">月をもって売上計上を終了していることを確認。従業員名簿でも両店および大垣管理センターに在籍者がおらず整合する。進行期</t>
    </r>
    <r>
      <rPr>
        <sz val="9"/>
        <rFont val="游ゴシック"/>
        <family val="2"/>
        <charset val="1"/>
      </rPr>
      <t xml:space="preserve">7</t>
    </r>
    <r>
      <rPr>
        <sz val="9"/>
        <rFont val="游ゴシック"/>
        <family val="2"/>
      </rPr>
      <t xml:space="preserve">か月の両店合計は売上</t>
    </r>
    <r>
      <rPr>
        <sz val="9"/>
        <rFont val="游ゴシック"/>
        <family val="2"/>
        <charset val="1"/>
      </rPr>
      <t xml:space="preserve">7,955</t>
    </r>
    <r>
      <rPr>
        <sz val="9"/>
        <rFont val="游ゴシック"/>
        <family val="2"/>
      </rPr>
      <t xml:space="preserve">千円・営業損失</t>
    </r>
    <r>
      <rPr>
        <sz val="9"/>
        <rFont val="游ゴシック"/>
        <family val="2"/>
        <charset val="1"/>
      </rPr>
      <t xml:space="preserve">4,086</t>
    </r>
    <r>
      <rPr>
        <sz val="9"/>
        <rFont val="游ゴシック"/>
        <family val="2"/>
      </rPr>
      <t xml:space="preserve">千円</t>
    </r>
  </si>
  <si>
    <r>
      <rPr>
        <sz val="9"/>
        <rFont val="游ゴシック"/>
        <family val="2"/>
      </rPr>
      <t xml:space="preserve">解決（</t>
    </r>
    <r>
      <rPr>
        <sz val="9"/>
        <rFont val="游ゴシック"/>
        <family val="2"/>
        <charset val="1"/>
      </rPr>
      <t xml:space="preserve">2026</t>
    </r>
    <r>
      <rPr>
        <sz val="9"/>
        <rFont val="游ゴシック"/>
        <family val="2"/>
      </rPr>
      <t xml:space="preserve">年</t>
    </r>
    <r>
      <rPr>
        <sz val="9"/>
        <rFont val="游ゴシック"/>
        <family val="2"/>
        <charset val="1"/>
      </rPr>
      <t xml:space="preserve">9</t>
    </r>
    <r>
      <rPr>
        <sz val="9"/>
        <rFont val="游ゴシック"/>
        <family val="2"/>
      </rPr>
      <t xml:space="preserve">月受領資料）。撤退に伴う原状回復費用・違約金の有無は引き続き要確認</t>
    </r>
  </si>
  <si>
    <t xml:space="preserve">【解決済】資産</t>
  </si>
  <si>
    <r>
      <rPr>
        <sz val="9"/>
        <rFont val="游ゴシック"/>
        <family val="2"/>
      </rPr>
      <t xml:space="preserve">進行期に計上された棚卸資産廃棄損</t>
    </r>
    <r>
      <rPr>
        <sz val="9"/>
        <rFont val="游ゴシック"/>
        <family val="2"/>
        <charset val="1"/>
      </rPr>
      <t xml:space="preserve">44,000</t>
    </r>
    <r>
      <rPr>
        <sz val="9"/>
        <rFont val="游ゴシック"/>
        <family val="2"/>
      </rPr>
      <t xml:space="preserve">千円の内容</t>
    </r>
  </si>
  <si>
    <r>
      <rPr>
        <sz val="9"/>
        <rFont val="游ゴシック"/>
        <family val="2"/>
      </rPr>
      <t xml:space="preserve">棚卸表（</t>
    </r>
    <r>
      <rPr>
        <sz val="9"/>
        <rFont val="游ゴシック"/>
        <family val="2"/>
        <charset val="1"/>
      </rPr>
      <t xml:space="preserve">2025</t>
    </r>
    <r>
      <rPr>
        <sz val="9"/>
        <rFont val="游ゴシック"/>
        <family val="2"/>
      </rPr>
      <t xml:space="preserve">年</t>
    </r>
    <r>
      <rPr>
        <sz val="9"/>
        <rFont val="游ゴシック"/>
        <family val="2"/>
        <charset val="1"/>
      </rPr>
      <t xml:space="preserve">12</t>
    </r>
    <r>
      <rPr>
        <sz val="9"/>
        <rFont val="游ゴシック"/>
        <family val="2"/>
      </rPr>
      <t xml:space="preserve">月</t>
    </r>
    <r>
      <rPr>
        <sz val="9"/>
        <rFont val="游ゴシック"/>
        <family val="2"/>
        <charset val="1"/>
      </rPr>
      <t xml:space="preserve">1</t>
    </r>
    <r>
      <rPr>
        <sz val="9"/>
        <rFont val="游ゴシック"/>
        <family val="2"/>
      </rPr>
      <t xml:space="preserve">日時点）により、本社</t>
    </r>
    <r>
      <rPr>
        <sz val="9"/>
        <rFont val="游ゴシック"/>
        <family val="2"/>
        <charset val="1"/>
      </rPr>
      <t xml:space="preserve">32,000</t>
    </r>
    <r>
      <rPr>
        <sz val="9"/>
        <rFont val="游ゴシック"/>
        <family val="2"/>
      </rPr>
      <t xml:space="preserve">千円＋バックヤード</t>
    </r>
    <r>
      <rPr>
        <sz val="9"/>
        <rFont val="游ゴシック"/>
        <family val="2"/>
        <charset val="1"/>
      </rPr>
      <t xml:space="preserve">12,000</t>
    </r>
    <r>
      <rPr>
        <sz val="9"/>
        <rFont val="游ゴシック"/>
        <family val="2"/>
      </rPr>
      <t xml:space="preserve">千円＝</t>
    </r>
    <r>
      <rPr>
        <sz val="9"/>
        <rFont val="游ゴシック"/>
        <family val="2"/>
        <charset val="1"/>
      </rPr>
      <t xml:space="preserve">44,000</t>
    </r>
    <r>
      <rPr>
        <sz val="9"/>
        <rFont val="游ゴシック"/>
        <family val="2"/>
      </rPr>
      <t xml:space="preserve">千円と一致することを確認</t>
    </r>
  </si>
  <si>
    <r>
      <rPr>
        <sz val="9"/>
        <rFont val="游ゴシック"/>
        <family val="2"/>
      </rPr>
      <t xml:space="preserve">解決（</t>
    </r>
    <r>
      <rPr>
        <sz val="9"/>
        <rFont val="游ゴシック"/>
        <family val="2"/>
        <charset val="1"/>
      </rPr>
      <t xml:space="preserve">2026</t>
    </r>
    <r>
      <rPr>
        <sz val="9"/>
        <rFont val="游ゴシック"/>
        <family val="2"/>
      </rPr>
      <t xml:space="preserve">年</t>
    </r>
    <r>
      <rPr>
        <sz val="9"/>
        <rFont val="游ゴシック"/>
        <family val="2"/>
        <charset val="1"/>
      </rPr>
      <t xml:space="preserve">9</t>
    </r>
    <r>
      <rPr>
        <sz val="9"/>
        <rFont val="游ゴシック"/>
        <family val="2"/>
      </rPr>
      <t xml:space="preserve">月受領資料）。廃棄に至った理由・処分方法・証憑は引き続き要確認</t>
    </r>
  </si>
  <si>
    <t xml:space="preserve">財務</t>
  </si>
  <si>
    <r>
      <rPr>
        <sz val="9"/>
        <rFont val="游ゴシック Medium"/>
        <family val="0"/>
        <charset val="1"/>
      </rPr>
      <t xml:space="preserve">2026</t>
    </r>
    <r>
      <rPr>
        <sz val="9"/>
        <rFont val="游ゴシック"/>
        <family val="2"/>
      </rPr>
      <t xml:space="preserve">年</t>
    </r>
    <r>
      <rPr>
        <sz val="9"/>
        <rFont val="游ゴシック Medium"/>
        <family val="0"/>
        <charset val="1"/>
      </rPr>
      <t xml:space="preserve">7</t>
    </r>
    <r>
      <rPr>
        <sz val="9"/>
        <rFont val="游ゴシック"/>
        <family val="2"/>
      </rPr>
      <t xml:space="preserve">月以降の月次試算表</t>
    </r>
  </si>
  <si>
    <r>
      <rPr>
        <sz val="9"/>
        <rFont val="游ゴシック Medium"/>
        <family val="0"/>
        <charset val="1"/>
      </rPr>
      <t xml:space="preserve">2025</t>
    </r>
    <r>
      <rPr>
        <sz val="9"/>
        <rFont val="游ゴシック"/>
        <family val="2"/>
      </rPr>
      <t xml:space="preserve">年</t>
    </r>
    <r>
      <rPr>
        <sz val="9"/>
        <rFont val="游ゴシック Medium"/>
        <family val="0"/>
        <charset val="1"/>
      </rPr>
      <t xml:space="preserve">12</t>
    </r>
    <r>
      <rPr>
        <sz val="9"/>
        <rFont val="游ゴシック"/>
        <family val="2"/>
      </rPr>
      <t xml:space="preserve">月〜</t>
    </r>
    <r>
      <rPr>
        <sz val="9"/>
        <rFont val="游ゴシック Medium"/>
        <family val="0"/>
        <charset val="1"/>
      </rPr>
      <t xml:space="preserve">2026</t>
    </r>
    <r>
      <rPr>
        <sz val="9"/>
        <rFont val="游ゴシック"/>
        <family val="2"/>
      </rPr>
      <t xml:space="preserve">年</t>
    </r>
    <r>
      <rPr>
        <sz val="9"/>
        <rFont val="游ゴシック Medium"/>
        <family val="0"/>
        <charset val="1"/>
      </rPr>
      <t xml:space="preserve">6</t>
    </r>
    <r>
      <rPr>
        <sz val="9"/>
        <rFont val="游ゴシック"/>
        <family val="2"/>
      </rPr>
      <t xml:space="preserve">月の</t>
    </r>
    <r>
      <rPr>
        <sz val="9"/>
        <rFont val="游ゴシック Medium"/>
        <family val="0"/>
        <charset val="1"/>
      </rPr>
      <t xml:space="preserve">7</t>
    </r>
    <r>
      <rPr>
        <sz val="9"/>
        <rFont val="游ゴシック"/>
        <family val="2"/>
      </rPr>
      <t xml:space="preserve">か月分を受領済。進行期</t>
    </r>
    <r>
      <rPr>
        <sz val="9"/>
        <rFont val="游ゴシック Medium"/>
        <family val="0"/>
        <charset val="1"/>
      </rPr>
      <t xml:space="preserve">7</t>
    </r>
    <r>
      <rPr>
        <sz val="9"/>
        <rFont val="游ゴシック"/>
        <family val="2"/>
      </rPr>
      <t xml:space="preserve">か月の売上</t>
    </r>
    <r>
      <rPr>
        <sz val="9"/>
        <rFont val="游ゴシック Medium"/>
        <family val="0"/>
        <charset val="1"/>
      </rPr>
      <t xml:space="preserve">279,153</t>
    </r>
    <r>
      <rPr>
        <sz val="9"/>
        <rFont val="游ゴシック"/>
        <family val="2"/>
      </rPr>
      <t xml:space="preserve">千円（前年同期比</t>
    </r>
    <r>
      <rPr>
        <sz val="9"/>
        <rFont val="游ゴシック Medium"/>
        <family val="0"/>
        <charset val="1"/>
      </rPr>
      <t xml:space="preserve">80.9%</t>
    </r>
    <r>
      <rPr>
        <sz val="9"/>
        <rFont val="游ゴシック"/>
        <family val="2"/>
      </rPr>
      <t xml:space="preserve">）、営業利益</t>
    </r>
    <r>
      <rPr>
        <sz val="9"/>
        <rFont val="游ゴシック Medium"/>
        <family val="0"/>
        <charset val="1"/>
      </rPr>
      <t xml:space="preserve">6,637</t>
    </r>
    <r>
      <rPr>
        <sz val="9"/>
        <rFont val="游ゴシック"/>
        <family val="2"/>
      </rPr>
      <t xml:space="preserve">千円（同</t>
    </r>
    <r>
      <rPr>
        <sz val="9"/>
        <rFont val="游ゴシック Medium"/>
        <family val="0"/>
        <charset val="1"/>
      </rPr>
      <t xml:space="preserve">48.2%</t>
    </r>
    <r>
      <rPr>
        <sz val="9"/>
        <rFont val="游ゴシック"/>
        <family val="2"/>
      </rPr>
      <t xml:space="preserve">）。通期の着地見込みを判断するには下期の実績が必要</t>
    </r>
  </si>
  <si>
    <t xml:space="preserve">対象会社・顧問税理士へ依頼</t>
  </si>
  <si>
    <t xml:space="preserve">進行期に未計上の減価償却費・法定福利費</t>
  </si>
  <si>
    <r>
      <rPr>
        <sz val="9"/>
        <rFont val="游ゴシック"/>
        <family val="2"/>
      </rPr>
      <t xml:space="preserve">進行期の月次には減価償却費の科目が立っていない（</t>
    </r>
    <r>
      <rPr>
        <sz val="9"/>
        <rFont val="游ゴシック"/>
        <family val="2"/>
        <charset val="1"/>
      </rPr>
      <t xml:space="preserve">2025</t>
    </r>
    <r>
      <rPr>
        <sz val="9"/>
        <rFont val="游ゴシック"/>
        <family val="2"/>
      </rPr>
      <t xml:space="preserve">年</t>
    </r>
    <r>
      <rPr>
        <sz val="9"/>
        <rFont val="游ゴシック"/>
        <family val="2"/>
        <charset val="1"/>
      </rPr>
      <t xml:space="preserve">11</t>
    </r>
    <r>
      <rPr>
        <sz val="9"/>
        <rFont val="游ゴシック"/>
        <family val="2"/>
      </rPr>
      <t xml:space="preserve">月期の通期実績</t>
    </r>
    <r>
      <rPr>
        <sz val="9"/>
        <rFont val="游ゴシック"/>
        <family val="2"/>
        <charset val="1"/>
      </rPr>
      <t xml:space="preserve">6,349</t>
    </r>
    <r>
      <rPr>
        <sz val="9"/>
        <rFont val="游ゴシック"/>
        <family val="2"/>
      </rPr>
      <t xml:space="preserve">千円）。法定福利費も</t>
    </r>
    <r>
      <rPr>
        <sz val="9"/>
        <rFont val="游ゴシック"/>
        <family val="2"/>
        <charset val="1"/>
      </rPr>
      <t xml:space="preserve">7</t>
    </r>
    <r>
      <rPr>
        <sz val="9"/>
        <rFont val="游ゴシック"/>
        <family val="2"/>
      </rPr>
      <t xml:space="preserve">か月累計</t>
    </r>
    <r>
      <rPr>
        <sz val="9"/>
        <rFont val="游ゴシック"/>
        <family val="2"/>
        <charset val="1"/>
      </rPr>
      <t xml:space="preserve">2,778</t>
    </r>
    <r>
      <rPr>
        <sz val="9"/>
        <rFont val="游ゴシック"/>
        <family val="2"/>
      </rPr>
      <t xml:space="preserve">千円と通期実績</t>
    </r>
    <r>
      <rPr>
        <sz val="9"/>
        <rFont val="游ゴシック"/>
        <family val="2"/>
        <charset val="1"/>
      </rPr>
      <t xml:space="preserve">15,295</t>
    </r>
    <r>
      <rPr>
        <sz val="9"/>
        <rFont val="游ゴシック"/>
        <family val="2"/>
      </rPr>
      <t xml:space="preserve">千円に比して低く、期中の未計上分が下期に乗る可能性がある</t>
    </r>
  </si>
  <si>
    <t xml:space="preserve">顧問税理士へ確認</t>
  </si>
  <si>
    <t xml:space="preserve">共通部門に残る仕入原価の配賦</t>
  </si>
  <si>
    <r>
      <rPr>
        <sz val="9"/>
        <rFont val="游ゴシック"/>
        <family val="2"/>
      </rPr>
      <t xml:space="preserve">店舗別試算表では、本社で仕入れた商品</t>
    </r>
    <r>
      <rPr>
        <sz val="9"/>
        <rFont val="游ゴシック"/>
        <family val="2"/>
        <charset val="1"/>
      </rPr>
      <t xml:space="preserve">40,994</t>
    </r>
    <r>
      <rPr>
        <sz val="9"/>
        <rFont val="游ゴシック"/>
        <family val="2"/>
      </rPr>
      <t xml:space="preserve">千円および外注費</t>
    </r>
    <r>
      <rPr>
        <sz val="9"/>
        <rFont val="游ゴシック"/>
        <family val="2"/>
        <charset val="1"/>
      </rPr>
      <t xml:space="preserve">5,610</t>
    </r>
    <r>
      <rPr>
        <sz val="9"/>
        <rFont val="游ゴシック"/>
        <family val="2"/>
      </rPr>
      <t xml:space="preserve">千円が各店舗へ振り替えられず共通部門の売上原価に残っている（共通部門の売上原価</t>
    </r>
    <r>
      <rPr>
        <sz val="9"/>
        <rFont val="游ゴシック"/>
        <family val="2"/>
        <charset val="1"/>
      </rPr>
      <t xml:space="preserve">46,604</t>
    </r>
    <r>
      <rPr>
        <sz val="9"/>
        <rFont val="游ゴシック"/>
        <family val="2"/>
      </rPr>
      <t xml:space="preserve">千円＝本社仕入</t>
    </r>
    <r>
      <rPr>
        <sz val="9"/>
        <rFont val="游ゴシック"/>
        <family val="2"/>
        <charset val="1"/>
      </rPr>
      <t xml:space="preserve">40,994</t>
    </r>
    <r>
      <rPr>
        <sz val="9"/>
        <rFont val="游ゴシック"/>
        <family val="2"/>
      </rPr>
      <t xml:space="preserve">千円＋外注費</t>
    </r>
    <r>
      <rPr>
        <sz val="9"/>
        <rFont val="游ゴシック"/>
        <family val="2"/>
        <charset val="1"/>
      </rPr>
      <t xml:space="preserve">5,610</t>
    </r>
    <r>
      <rPr>
        <sz val="9"/>
        <rFont val="游ゴシック"/>
        <family val="2"/>
      </rPr>
      <t xml:space="preserve">千円）。このため店舗別の粗利・営業利益は実力値より過大に表示されている可能性がある（仮説）</t>
    </r>
  </si>
  <si>
    <t xml:space="preserve">対象会社ヒアリング（本社仕入分の店舗への配分方法）</t>
  </si>
  <si>
    <r>
      <rPr>
        <sz val="9"/>
        <rFont val="游ゴシック Medium"/>
        <family val="0"/>
        <charset val="1"/>
      </rPr>
      <t xml:space="preserve">2026</t>
    </r>
    <r>
      <rPr>
        <sz val="9"/>
        <rFont val="游ゴシック"/>
        <family val="2"/>
      </rPr>
      <t xml:space="preserve">年</t>
    </r>
    <r>
      <rPr>
        <sz val="9"/>
        <rFont val="游ゴシック Medium"/>
        <family val="0"/>
        <charset val="1"/>
      </rPr>
      <t xml:space="preserve">5</t>
    </r>
    <r>
      <rPr>
        <sz val="9"/>
        <rFont val="游ゴシック"/>
        <family val="2"/>
      </rPr>
      <t xml:space="preserve">月の租税公課</t>
    </r>
    <r>
      <rPr>
        <sz val="9"/>
        <rFont val="游ゴシック Medium"/>
        <family val="0"/>
        <charset val="1"/>
      </rPr>
      <t xml:space="preserve">4,969</t>
    </r>
    <r>
      <rPr>
        <sz val="9"/>
        <rFont val="游ゴシック"/>
        <family val="2"/>
      </rPr>
      <t xml:space="preserve">千円の内容</t>
    </r>
  </si>
  <si>
    <r>
      <rPr>
        <sz val="9"/>
        <rFont val="游ゴシック Medium"/>
        <family val="0"/>
        <charset val="1"/>
      </rPr>
      <t xml:space="preserve">5</t>
    </r>
    <r>
      <rPr>
        <sz val="9"/>
        <rFont val="游ゴシック"/>
        <family val="2"/>
      </rPr>
      <t xml:space="preserve">月単月で</t>
    </r>
    <r>
      <rPr>
        <sz val="9"/>
        <rFont val="游ゴシック Medium"/>
        <family val="0"/>
        <charset val="1"/>
      </rPr>
      <t xml:space="preserve">4,969</t>
    </r>
    <r>
      <rPr>
        <sz val="9"/>
        <rFont val="游ゴシック"/>
        <family val="2"/>
      </rPr>
      <t xml:space="preserve">千円を計上（</t>
    </r>
    <r>
      <rPr>
        <sz val="9"/>
        <rFont val="游ゴシック Medium"/>
        <family val="0"/>
        <charset val="1"/>
      </rPr>
      <t xml:space="preserve">7</t>
    </r>
    <r>
      <rPr>
        <sz val="9"/>
        <rFont val="游ゴシック"/>
        <family val="2"/>
      </rPr>
      <t xml:space="preserve">か月累計</t>
    </r>
    <r>
      <rPr>
        <sz val="9"/>
        <rFont val="游ゴシック Medium"/>
        <family val="0"/>
        <charset val="1"/>
      </rPr>
      <t xml:space="preserve">5,281</t>
    </r>
    <r>
      <rPr>
        <sz val="9"/>
        <rFont val="游ゴシック"/>
        <family val="2"/>
      </rPr>
      <t xml:space="preserve">千円の</t>
    </r>
    <r>
      <rPr>
        <sz val="9"/>
        <rFont val="游ゴシック Medium"/>
        <family val="0"/>
        <charset val="1"/>
      </rPr>
      <t xml:space="preserve">94%</t>
    </r>
    <r>
      <rPr>
        <sz val="9"/>
        <rFont val="游ゴシック"/>
        <family val="2"/>
      </rPr>
      <t xml:space="preserve">）。自動車税・固定資産税等の年次課税と推察（仮説）。同月の営業損失</t>
    </r>
    <r>
      <rPr>
        <sz val="9"/>
        <rFont val="游ゴシック Medium"/>
        <family val="0"/>
        <charset val="1"/>
      </rPr>
      <t xml:space="preserve">5,152</t>
    </r>
    <r>
      <rPr>
        <sz val="9"/>
        <rFont val="游ゴシック"/>
        <family val="2"/>
      </rPr>
      <t xml:space="preserve">千円の主因</t>
    </r>
  </si>
  <si>
    <t xml:space="preserve">対象会社ヒアリング／総勘定元帳</t>
  </si>
  <si>
    <t xml:space="preserve">店舗収益</t>
  </si>
  <si>
    <t xml:space="preserve">明和店の販管費が売上に対して突出している要因</t>
  </si>
  <si>
    <r>
      <rPr>
        <sz val="9"/>
        <rFont val="游ゴシック"/>
        <family val="2"/>
      </rPr>
      <t xml:space="preserve">進行期</t>
    </r>
    <r>
      <rPr>
        <sz val="9"/>
        <rFont val="游ゴシック"/>
        <family val="2"/>
        <charset val="1"/>
      </rPr>
      <t xml:space="preserve">7</t>
    </r>
    <r>
      <rPr>
        <sz val="9"/>
        <rFont val="游ゴシック"/>
        <family val="2"/>
      </rPr>
      <t xml:space="preserve">か月で売上</t>
    </r>
    <r>
      <rPr>
        <sz val="9"/>
        <rFont val="游ゴシック"/>
        <family val="2"/>
        <charset val="1"/>
      </rPr>
      <t xml:space="preserve">25,109</t>
    </r>
    <r>
      <rPr>
        <sz val="9"/>
        <rFont val="游ゴシック"/>
        <family val="2"/>
      </rPr>
      <t xml:space="preserve">千円に対し販管費</t>
    </r>
    <r>
      <rPr>
        <sz val="9"/>
        <rFont val="游ゴシック"/>
        <family val="2"/>
        <charset val="1"/>
      </rPr>
      <t xml:space="preserve">18,977</t>
    </r>
    <r>
      <rPr>
        <sz val="9"/>
        <rFont val="游ゴシック"/>
        <family val="2"/>
      </rPr>
      <t xml:space="preserve">千円（</t>
    </r>
    <r>
      <rPr>
        <sz val="9"/>
        <rFont val="游ゴシック"/>
        <family val="2"/>
        <charset val="1"/>
      </rPr>
      <t xml:space="preserve">75.6%</t>
    </r>
    <r>
      <rPr>
        <sz val="9"/>
        <rFont val="游ゴシック"/>
        <family val="2"/>
      </rPr>
      <t xml:space="preserve">）。他の</t>
    </r>
    <r>
      <rPr>
        <sz val="9"/>
        <rFont val="游ゴシック"/>
        <family val="2"/>
        <charset val="1"/>
      </rPr>
      <t xml:space="preserve">FC</t>
    </r>
    <r>
      <rPr>
        <sz val="9"/>
        <rFont val="游ゴシック"/>
        <family val="2"/>
      </rPr>
      <t xml:space="preserve">加盟店（伊勢</t>
    </r>
    <r>
      <rPr>
        <sz val="9"/>
        <rFont val="游ゴシック"/>
        <family val="2"/>
        <charset val="1"/>
      </rPr>
      <t xml:space="preserve">35.2%</t>
    </r>
    <r>
      <rPr>
        <sz val="9"/>
        <rFont val="游ゴシック"/>
        <family val="2"/>
      </rPr>
      <t xml:space="preserve">・久居</t>
    </r>
    <r>
      <rPr>
        <sz val="9"/>
        <rFont val="游ゴシック"/>
        <family val="2"/>
        <charset val="1"/>
      </rPr>
      <t xml:space="preserve">39.4%</t>
    </r>
    <r>
      <rPr>
        <sz val="9"/>
        <rFont val="游ゴシック"/>
        <family val="2"/>
      </rPr>
      <t xml:space="preserve">・緑</t>
    </r>
    <r>
      <rPr>
        <sz val="9"/>
        <rFont val="游ゴシック"/>
        <family val="2"/>
        <charset val="1"/>
      </rPr>
      <t xml:space="preserve">37.6%</t>
    </r>
    <r>
      <rPr>
        <sz val="9"/>
        <rFont val="游ゴシック"/>
        <family val="2"/>
      </rPr>
      <t xml:space="preserve">）と比べて著しく高く、松阪管理センターの人件費が明和店に含まれていると推察（棚卸表でも松阪管理センターの在庫</t>
    </r>
    <r>
      <rPr>
        <sz val="9"/>
        <rFont val="游ゴシック"/>
        <family val="2"/>
        <charset val="1"/>
      </rPr>
      <t xml:space="preserve">19,669</t>
    </r>
    <r>
      <rPr>
        <sz val="9"/>
        <rFont val="游ゴシック"/>
        <family val="2"/>
      </rPr>
      <t xml:space="preserve">千円が明和店に含めて計上されている）（仮説）</t>
    </r>
  </si>
  <si>
    <t xml:space="preserve">対象会社ヒアリング（部門設定の考え方）</t>
  </si>
  <si>
    <t xml:space="preserve">収益モデル</t>
  </si>
  <si>
    <t xml:space="preserve">ペット保険の代理店手数料</t>
  </si>
  <si>
    <r>
      <rPr>
        <sz val="9"/>
        <rFont val="游ゴシック"/>
        <family val="2"/>
      </rPr>
      <t xml:space="preserve">共通部門のサービス売上高が月額約</t>
    </r>
    <r>
      <rPr>
        <sz val="9"/>
        <rFont val="游ゴシック"/>
        <family val="2"/>
        <charset val="1"/>
      </rPr>
      <t xml:space="preserve">195</t>
    </r>
    <r>
      <rPr>
        <sz val="9"/>
        <rFont val="游ゴシック"/>
        <family val="2"/>
      </rPr>
      <t xml:space="preserve">万円で計上されており、</t>
    </r>
    <r>
      <rPr>
        <sz val="9"/>
        <rFont val="游ゴシック"/>
        <family val="2"/>
        <charset val="1"/>
      </rPr>
      <t xml:space="preserve">7</t>
    </r>
    <r>
      <rPr>
        <sz val="9"/>
        <rFont val="游ゴシック"/>
        <family val="2"/>
      </rPr>
      <t xml:space="preserve">か月累計</t>
    </r>
    <r>
      <rPr>
        <sz val="9"/>
        <rFont val="游ゴシック"/>
        <family val="2"/>
        <charset val="1"/>
      </rPr>
      <t xml:space="preserve">13,650</t>
    </r>
    <r>
      <rPr>
        <sz val="9"/>
        <rFont val="游ゴシック"/>
        <family val="2"/>
      </rPr>
      <t xml:space="preserve">千円（年換算</t>
    </r>
    <r>
      <rPr>
        <sz val="9"/>
        <rFont val="游ゴシック"/>
        <family val="2"/>
        <charset val="1"/>
      </rPr>
      <t xml:space="preserve">23,400</t>
    </r>
    <r>
      <rPr>
        <sz val="9"/>
        <rFont val="游ゴシック"/>
        <family val="2"/>
      </rPr>
      <t xml:space="preserve">千円）。対象会社提供の既存会社説明資料の「年間約</t>
    </r>
    <r>
      <rPr>
        <sz val="9"/>
        <rFont val="游ゴシック"/>
        <family val="2"/>
        <charset val="1"/>
      </rPr>
      <t xml:space="preserve">19,000</t>
    </r>
    <r>
      <rPr>
        <sz val="9"/>
        <rFont val="游ゴシック"/>
        <family val="2"/>
      </rPr>
      <t xml:space="preserve">千円の保険収入」との聴取と概ね整合し、同手数料と推察（仮説）</t>
    </r>
  </si>
  <si>
    <t xml:space="preserve">対象会社ヒアリング／アイペット損保との代理店手数料明細</t>
  </si>
  <si>
    <t xml:space="preserve">【解決済】人事</t>
  </si>
  <si>
    <t xml:space="preserve">進行期を含む最新の従業員名簿</t>
  </si>
  <si>
    <r>
      <rPr>
        <sz val="9"/>
        <rFont val="游ゴシック"/>
        <family val="2"/>
      </rPr>
      <t xml:space="preserve">名簿</t>
    </r>
    <r>
      <rPr>
        <sz val="9"/>
        <rFont val="游ゴシック"/>
        <family val="2"/>
        <charset val="1"/>
      </rPr>
      <t xml:space="preserve">195</t>
    </r>
    <r>
      <rPr>
        <sz val="9"/>
        <rFont val="游ゴシック"/>
        <family val="2"/>
      </rPr>
      <t xml:space="preserve">名（</t>
    </r>
    <r>
      <rPr>
        <sz val="9"/>
        <rFont val="游ゴシック"/>
        <family val="2"/>
        <charset val="1"/>
      </rPr>
      <t xml:space="preserve">2026</t>
    </r>
    <r>
      <rPr>
        <sz val="9"/>
        <rFont val="游ゴシック"/>
        <family val="2"/>
      </rPr>
      <t xml:space="preserve">年</t>
    </r>
    <r>
      <rPr>
        <sz val="9"/>
        <rFont val="游ゴシック"/>
        <family val="2"/>
        <charset val="1"/>
      </rPr>
      <t xml:space="preserve">8</t>
    </r>
    <r>
      <rPr>
        <sz val="9"/>
        <rFont val="游ゴシック"/>
        <family val="2"/>
      </rPr>
      <t xml:space="preserve">月</t>
    </r>
    <r>
      <rPr>
        <sz val="9"/>
        <rFont val="游ゴシック"/>
        <family val="2"/>
        <charset val="1"/>
      </rPr>
      <t xml:space="preserve">27</t>
    </r>
    <r>
      <rPr>
        <sz val="9"/>
        <rFont val="游ゴシック"/>
        <family val="2"/>
      </rPr>
      <t xml:space="preserve">日入社・同年</t>
    </r>
    <r>
      <rPr>
        <sz val="9"/>
        <rFont val="游ゴシック"/>
        <family val="2"/>
        <charset val="1"/>
      </rPr>
      <t xml:space="preserve">8</t>
    </r>
    <r>
      <rPr>
        <sz val="9"/>
        <rFont val="游ゴシック"/>
        <family val="2"/>
      </rPr>
      <t xml:space="preserve">月</t>
    </r>
    <r>
      <rPr>
        <sz val="9"/>
        <rFont val="游ゴシック"/>
        <family val="2"/>
        <charset val="1"/>
      </rPr>
      <t xml:space="preserve">31</t>
    </r>
    <r>
      <rPr>
        <sz val="9"/>
        <rFont val="游ゴシック"/>
        <family val="2"/>
      </rPr>
      <t xml:space="preserve">日退職まで収録）を受領。退職日の入力がない</t>
    </r>
    <r>
      <rPr>
        <sz val="9"/>
        <rFont val="游ゴシック"/>
        <family val="2"/>
        <charset val="1"/>
      </rPr>
      <t xml:space="preserve">49</t>
    </r>
    <r>
      <rPr>
        <sz val="9"/>
        <rFont val="游ゴシック"/>
        <family val="2"/>
      </rPr>
      <t xml:space="preserve">名を在籍者として集計。</t>
    </r>
    <r>
      <rPr>
        <sz val="9"/>
        <rFont val="游ゴシック"/>
        <family val="2"/>
        <charset val="1"/>
      </rPr>
      <t xml:space="preserve">2025</t>
    </r>
    <r>
      <rPr>
        <sz val="9"/>
        <rFont val="游ゴシック"/>
        <family val="2"/>
      </rPr>
      <t xml:space="preserve">年</t>
    </r>
    <r>
      <rPr>
        <sz val="9"/>
        <rFont val="游ゴシック"/>
        <family val="2"/>
        <charset val="1"/>
      </rPr>
      <t xml:space="preserve">12</t>
    </r>
    <r>
      <rPr>
        <sz val="9"/>
        <rFont val="游ゴシック"/>
        <family val="2"/>
      </rPr>
      <t xml:space="preserve">月以降の入社</t>
    </r>
    <r>
      <rPr>
        <sz val="9"/>
        <rFont val="游ゴシック"/>
        <family val="2"/>
        <charset val="1"/>
      </rPr>
      <t xml:space="preserve">44</t>
    </r>
    <r>
      <rPr>
        <sz val="9"/>
        <rFont val="游ゴシック"/>
        <family val="2"/>
      </rPr>
      <t xml:space="preserve">名・退職</t>
    </r>
    <r>
      <rPr>
        <sz val="9"/>
        <rFont val="游ゴシック"/>
        <family val="2"/>
        <charset val="1"/>
      </rPr>
      <t xml:space="preserve">57</t>
    </r>
    <r>
      <rPr>
        <sz val="9"/>
        <rFont val="游ゴシック"/>
        <family val="2"/>
      </rPr>
      <t xml:space="preserve">名を織り込んでおり、足元の在籍実態を反映している</t>
    </r>
  </si>
  <si>
    <r>
      <rPr>
        <sz val="9"/>
        <rFont val="游ゴシック Medium"/>
        <family val="0"/>
        <charset val="1"/>
      </rPr>
      <t xml:space="preserve">2026</t>
    </r>
    <r>
      <rPr>
        <sz val="9"/>
        <rFont val="游ゴシック"/>
        <family val="2"/>
      </rPr>
      <t xml:space="preserve">年</t>
    </r>
    <r>
      <rPr>
        <sz val="9"/>
        <rFont val="游ゴシック Medium"/>
        <family val="0"/>
        <charset val="1"/>
      </rPr>
      <t xml:space="preserve">9</t>
    </r>
    <r>
      <rPr>
        <sz val="9"/>
        <rFont val="游ゴシック"/>
        <family val="2"/>
      </rPr>
      <t xml:space="preserve">月受領の従業員名簿で確認済</t>
    </r>
  </si>
  <si>
    <t xml:space="preserve">人事</t>
  </si>
  <si>
    <t xml:space="preserve">現場責任者 淺野崇氏の譲渡後の継続関与</t>
  </si>
  <si>
    <t xml:space="preserve">従業員名簿上、同氏の給与体系は「役員」・区分は「社員」。正常収益力の算定において同氏が役員に就任し現行と同水準の役員報酬を受ける前提を置いている。同氏はドン・キホーテ緑店および大垣管理センターの動物取扱責任者を兼務するキーパーソン</t>
  </si>
  <si>
    <t xml:space="preserve">対象会社ヒアリング（意向確認）</t>
  </si>
  <si>
    <t xml:space="preserve">契約</t>
  </si>
  <si>
    <t xml:space="preserve">フランチャイズ契約書および店舗賃貸借契約書</t>
  </si>
  <si>
    <r>
      <rPr>
        <sz val="9"/>
        <rFont val="游ゴシック Medium"/>
        <family val="0"/>
        <charset val="1"/>
      </rPr>
      <t xml:space="preserve">FC</t>
    </r>
    <r>
      <rPr>
        <sz val="9"/>
        <rFont val="游ゴシック"/>
        <family val="2"/>
      </rPr>
      <t xml:space="preserve">本部（㈲ワンラブ）との契約内容、店舗使用料の料率、</t>
    </r>
    <r>
      <rPr>
        <sz val="9"/>
        <rFont val="游ゴシック Medium"/>
        <family val="0"/>
        <charset val="1"/>
      </rPr>
      <t xml:space="preserve">COC</t>
    </r>
    <r>
      <rPr>
        <sz val="9"/>
        <rFont val="游ゴシック"/>
        <family val="2"/>
      </rPr>
      <t xml:space="preserve">条項の詳細が未確認。定期建物賃貸借（岐阜総本店</t>
    </r>
    <r>
      <rPr>
        <sz val="9"/>
        <rFont val="游ゴシック Medium"/>
        <family val="0"/>
        <charset val="1"/>
      </rPr>
      <t xml:space="preserve">2033</t>
    </r>
    <r>
      <rPr>
        <sz val="9"/>
        <rFont val="游ゴシック"/>
        <family val="2"/>
      </rPr>
      <t xml:space="preserve">年</t>
    </r>
    <r>
      <rPr>
        <sz val="9"/>
        <rFont val="游ゴシック Medium"/>
        <family val="0"/>
        <charset val="1"/>
      </rPr>
      <t xml:space="preserve">1</t>
    </r>
    <r>
      <rPr>
        <sz val="9"/>
        <rFont val="游ゴシック"/>
        <family val="2"/>
      </rPr>
      <t xml:space="preserve">月／大阪総本店</t>
    </r>
    <r>
      <rPr>
        <sz val="9"/>
        <rFont val="游ゴシック Medium"/>
        <family val="0"/>
        <charset val="1"/>
      </rPr>
      <t xml:space="preserve">2027</t>
    </r>
    <r>
      <rPr>
        <sz val="9"/>
        <rFont val="游ゴシック"/>
        <family val="2"/>
      </rPr>
      <t xml:space="preserve">年</t>
    </r>
    <r>
      <rPr>
        <sz val="9"/>
        <rFont val="游ゴシック Medium"/>
        <family val="0"/>
        <charset val="1"/>
      </rPr>
      <t xml:space="preserve">11</t>
    </r>
    <r>
      <rPr>
        <sz val="9"/>
        <rFont val="游ゴシック"/>
        <family val="2"/>
      </rPr>
      <t xml:space="preserve">月満了）の再契約見通しも要確認</t>
    </r>
  </si>
  <si>
    <r>
      <rPr>
        <sz val="9"/>
        <rFont val="游ゴシック"/>
        <family val="2"/>
      </rPr>
      <t xml:space="preserve">対象会社へ依頼（必要資料</t>
    </r>
    <r>
      <rPr>
        <sz val="9"/>
        <rFont val="游ゴシック"/>
        <family val="2"/>
        <charset val="1"/>
      </rPr>
      <t xml:space="preserve">No.12</t>
    </r>
    <r>
      <rPr>
        <sz val="9"/>
        <rFont val="游ゴシック"/>
        <family val="2"/>
      </rPr>
      <t xml:space="preserve">・</t>
    </r>
    <r>
      <rPr>
        <sz val="9"/>
        <rFont val="游ゴシック"/>
        <family val="2"/>
        <charset val="1"/>
      </rPr>
      <t xml:space="preserve">13</t>
    </r>
    <r>
      <rPr>
        <sz val="9"/>
        <rFont val="游ゴシック"/>
        <family val="2"/>
      </rPr>
      <t xml:space="preserve">）</t>
    </r>
  </si>
  <si>
    <r>
      <rPr>
        <sz val="9"/>
        <rFont val="游ゴシック"/>
        <family val="2"/>
      </rPr>
      <t xml:space="preserve">外部保管在庫</t>
    </r>
    <r>
      <rPr>
        <sz val="9"/>
        <rFont val="游ゴシック"/>
        <family val="2"/>
        <charset val="1"/>
      </rPr>
      <t xml:space="preserve">10,000</t>
    </r>
    <r>
      <rPr>
        <sz val="9"/>
        <rFont val="游ゴシック"/>
        <family val="2"/>
      </rPr>
      <t xml:space="preserve">千円の実在性</t>
    </r>
  </si>
  <si>
    <r>
      <rPr>
        <sz val="9"/>
        <rFont val="游ゴシック Medium"/>
        <family val="0"/>
        <charset val="1"/>
      </rPr>
      <t xml:space="preserve">2025</t>
    </r>
    <r>
      <rPr>
        <sz val="9"/>
        <rFont val="游ゴシック"/>
        <family val="2"/>
      </rPr>
      <t xml:space="preserve">年</t>
    </r>
    <r>
      <rPr>
        <sz val="9"/>
        <rFont val="游ゴシック Medium"/>
        <family val="0"/>
        <charset val="1"/>
      </rPr>
      <t xml:space="preserve">11</t>
    </r>
    <r>
      <rPr>
        <sz val="9"/>
        <rFont val="游ゴシック"/>
        <family val="2"/>
      </rPr>
      <t xml:space="preserve">月期末の棚卸表に「外部保管分</t>
    </r>
    <r>
      <rPr>
        <sz val="9"/>
        <rFont val="游ゴシック Medium"/>
        <family val="0"/>
        <charset val="1"/>
      </rPr>
      <t xml:space="preserve">10,000</t>
    </r>
    <r>
      <rPr>
        <sz val="9"/>
        <rFont val="游ゴシック"/>
        <family val="2"/>
      </rPr>
      <t xml:space="preserve">千円（生体）」として計上。仕入先デザイナーズワン株式会社（代表者の親族が経営）への預け在庫と推察。</t>
    </r>
    <r>
      <rPr>
        <sz val="9"/>
        <rFont val="游ゴシック Medium"/>
        <family val="0"/>
        <charset val="1"/>
      </rPr>
      <t xml:space="preserve">2026</t>
    </r>
    <r>
      <rPr>
        <sz val="9"/>
        <rFont val="游ゴシック"/>
        <family val="2"/>
      </rPr>
      <t xml:space="preserve">年</t>
    </r>
    <r>
      <rPr>
        <sz val="9"/>
        <rFont val="游ゴシック Medium"/>
        <family val="0"/>
        <charset val="1"/>
      </rPr>
      <t xml:space="preserve">6</t>
    </r>
    <r>
      <rPr>
        <sz val="9"/>
        <rFont val="游ゴシック"/>
        <family val="2"/>
      </rPr>
      <t xml:space="preserve">月末の商品残高</t>
    </r>
    <r>
      <rPr>
        <sz val="9"/>
        <rFont val="游ゴシック Medium"/>
        <family val="0"/>
        <charset val="1"/>
      </rPr>
      <t xml:space="preserve">58,446</t>
    </r>
    <r>
      <rPr>
        <sz val="9"/>
        <rFont val="游ゴシック"/>
        <family val="2"/>
      </rPr>
      <t xml:space="preserve">千円に同額が含まれているかは未確認</t>
    </r>
  </si>
  <si>
    <t xml:space="preserve">対象会社ヒアリング／預け在庫の残高証明</t>
  </si>
  <si>
    <r>
      <rPr>
        <sz val="9"/>
        <rFont val="游ゴシック Medium"/>
        <family val="0"/>
        <charset val="1"/>
      </rPr>
      <t xml:space="preserve">2026</t>
    </r>
    <r>
      <rPr>
        <sz val="9"/>
        <rFont val="游ゴシック"/>
        <family val="2"/>
      </rPr>
      <t xml:space="preserve">年</t>
    </r>
    <r>
      <rPr>
        <sz val="9"/>
        <rFont val="游ゴシック Medium"/>
        <family val="0"/>
        <charset val="1"/>
      </rPr>
      <t xml:space="preserve">6</t>
    </r>
    <r>
      <rPr>
        <sz val="9"/>
        <rFont val="游ゴシック"/>
        <family val="2"/>
      </rPr>
      <t xml:space="preserve">月に取得した車両運搬具</t>
    </r>
    <r>
      <rPr>
        <sz val="9"/>
        <rFont val="游ゴシック Medium"/>
        <family val="0"/>
        <charset val="1"/>
      </rPr>
      <t xml:space="preserve">438</t>
    </r>
    <r>
      <rPr>
        <sz val="9"/>
        <rFont val="游ゴシック"/>
        <family val="2"/>
      </rPr>
      <t xml:space="preserve">千円</t>
    </r>
  </si>
  <si>
    <r>
      <rPr>
        <sz val="9"/>
        <rFont val="游ゴシック"/>
        <family val="2"/>
      </rPr>
      <t xml:space="preserve">車両運搬具が</t>
    </r>
    <r>
      <rPr>
        <sz val="9"/>
        <rFont val="游ゴシック"/>
        <family val="2"/>
        <charset val="1"/>
      </rPr>
      <t xml:space="preserve">2026</t>
    </r>
    <r>
      <rPr>
        <sz val="9"/>
        <rFont val="游ゴシック"/>
        <family val="2"/>
      </rPr>
      <t xml:space="preserve">年</t>
    </r>
    <r>
      <rPr>
        <sz val="9"/>
        <rFont val="游ゴシック"/>
        <family val="2"/>
        <charset val="1"/>
      </rPr>
      <t xml:space="preserve">5</t>
    </r>
    <r>
      <rPr>
        <sz val="9"/>
        <rFont val="游ゴシック"/>
        <family val="2"/>
      </rPr>
      <t xml:space="preserve">月末</t>
    </r>
    <r>
      <rPr>
        <sz val="9"/>
        <rFont val="游ゴシック"/>
        <family val="2"/>
        <charset val="1"/>
      </rPr>
      <t xml:space="preserve">1,058</t>
    </r>
    <r>
      <rPr>
        <sz val="9"/>
        <rFont val="游ゴシック"/>
        <family val="2"/>
      </rPr>
      <t xml:space="preserve">千円から</t>
    </r>
    <r>
      <rPr>
        <sz val="9"/>
        <rFont val="游ゴシック"/>
        <family val="2"/>
        <charset val="1"/>
      </rPr>
      <t xml:space="preserve">6</t>
    </r>
    <r>
      <rPr>
        <sz val="9"/>
        <rFont val="游ゴシック"/>
        <family val="2"/>
      </rPr>
      <t xml:space="preserve">月末</t>
    </r>
    <r>
      <rPr>
        <sz val="9"/>
        <rFont val="游ゴシック"/>
        <family val="2"/>
        <charset val="1"/>
      </rPr>
      <t xml:space="preserve">1,495</t>
    </r>
    <r>
      <rPr>
        <sz val="9"/>
        <rFont val="游ゴシック"/>
        <family val="2"/>
      </rPr>
      <t xml:space="preserve">千円へ増加。事業用・非事業用の別は未確認</t>
    </r>
  </si>
  <si>
    <t xml:space="preserve">対象会社ヒアリング／固定資産台帳</t>
  </si>
  <si>
    <r>
      <rPr>
        <sz val="9"/>
        <rFont val="游ゴシック"/>
        <family val="2"/>
      </rPr>
      <t xml:space="preserve">営業権</t>
    </r>
    <r>
      <rPr>
        <sz val="9"/>
        <rFont val="游ゴシック"/>
        <family val="2"/>
        <charset val="1"/>
      </rPr>
      <t xml:space="preserve">1,500</t>
    </r>
    <r>
      <rPr>
        <sz val="9"/>
        <rFont val="游ゴシック"/>
        <family val="2"/>
      </rPr>
      <t xml:space="preserve">千円の取得経緯・算定根拠</t>
    </r>
  </si>
  <si>
    <t xml:space="preserve">仕入先であるデザイナーズワン株式会社（代表者の親族が経営）に係るもの</t>
  </si>
  <si>
    <t xml:space="preserve">取引契約書／営業権の取得経緯・算定根拠</t>
  </si>
  <si>
    <t xml:space="preserve">許認可</t>
  </si>
  <si>
    <t xml:space="preserve">動物取扱責任者の配置状況と許可の更新</t>
  </si>
  <si>
    <r>
      <rPr>
        <sz val="9"/>
        <rFont val="游ゴシック"/>
        <family val="2"/>
      </rPr>
      <t xml:space="preserve">第一種動物取扱業許可は</t>
    </r>
    <r>
      <rPr>
        <sz val="9"/>
        <rFont val="游ゴシック"/>
        <family val="2"/>
        <charset val="1"/>
      </rPr>
      <t xml:space="preserve">2025</t>
    </r>
    <r>
      <rPr>
        <sz val="9"/>
        <rFont val="游ゴシック"/>
        <family val="2"/>
      </rPr>
      <t xml:space="preserve">年</t>
    </r>
    <r>
      <rPr>
        <sz val="9"/>
        <rFont val="游ゴシック"/>
        <family val="2"/>
        <charset val="1"/>
      </rPr>
      <t xml:space="preserve">11</t>
    </r>
    <r>
      <rPr>
        <sz val="9"/>
        <rFont val="游ゴシック"/>
        <family val="2"/>
      </rPr>
      <t xml:space="preserve">月期末時点で</t>
    </r>
    <r>
      <rPr>
        <sz val="9"/>
        <rFont val="游ゴシック"/>
        <family val="2"/>
        <charset val="1"/>
      </rPr>
      <t xml:space="preserve">8</t>
    </r>
    <r>
      <rPr>
        <sz val="9"/>
        <rFont val="游ゴシック"/>
        <family val="2"/>
      </rPr>
      <t xml:space="preserve">事業所。撤退したアクアウォーク大垣店（</t>
    </r>
    <r>
      <rPr>
        <sz val="9"/>
        <rFont val="游ゴシック"/>
        <family val="2"/>
        <charset val="1"/>
      </rPr>
      <t xml:space="preserve">2026</t>
    </r>
    <r>
      <rPr>
        <sz val="9"/>
        <rFont val="游ゴシック"/>
        <family val="2"/>
      </rPr>
      <t xml:space="preserve">年</t>
    </r>
    <r>
      <rPr>
        <sz val="9"/>
        <rFont val="游ゴシック"/>
        <family val="2"/>
        <charset val="1"/>
      </rPr>
      <t xml:space="preserve">11</t>
    </r>
    <r>
      <rPr>
        <sz val="9"/>
        <rFont val="游ゴシック"/>
        <family val="2"/>
      </rPr>
      <t xml:space="preserve">月</t>
    </r>
    <r>
      <rPr>
        <sz val="9"/>
        <rFont val="游ゴシック"/>
        <family val="2"/>
        <charset val="1"/>
      </rPr>
      <t xml:space="preserve">29</t>
    </r>
    <r>
      <rPr>
        <sz val="9"/>
        <rFont val="游ゴシック"/>
        <family val="2"/>
      </rPr>
      <t xml:space="preserve">日満了）・ペットプラザ岐阜店（</t>
    </r>
    <r>
      <rPr>
        <sz val="9"/>
        <rFont val="游ゴシック"/>
        <family val="2"/>
        <charset val="1"/>
      </rPr>
      <t xml:space="preserve">2027</t>
    </r>
    <r>
      <rPr>
        <sz val="9"/>
        <rFont val="游ゴシック"/>
        <family val="2"/>
      </rPr>
      <t xml:space="preserve">年</t>
    </r>
    <r>
      <rPr>
        <sz val="9"/>
        <rFont val="游ゴシック"/>
        <family val="2"/>
        <charset val="1"/>
      </rPr>
      <t xml:space="preserve">1</t>
    </r>
    <r>
      <rPr>
        <sz val="9"/>
        <rFont val="游ゴシック"/>
        <family val="2"/>
      </rPr>
      <t xml:space="preserve">月</t>
    </r>
    <r>
      <rPr>
        <sz val="9"/>
        <rFont val="游ゴシック"/>
        <family val="2"/>
        <charset val="1"/>
      </rPr>
      <t xml:space="preserve">31</t>
    </r>
    <r>
      <rPr>
        <sz val="9"/>
        <rFont val="游ゴシック"/>
        <family val="2"/>
      </rPr>
      <t xml:space="preserve">日満了）の廃業届の提出状況、および明和店・久居店（</t>
    </r>
    <r>
      <rPr>
        <sz val="9"/>
        <rFont val="游ゴシック"/>
        <family val="2"/>
        <charset val="1"/>
      </rPr>
      <t xml:space="preserve">2026</t>
    </r>
    <r>
      <rPr>
        <sz val="9"/>
        <rFont val="游ゴシック"/>
        <family val="2"/>
      </rPr>
      <t xml:space="preserve">年</t>
    </r>
    <r>
      <rPr>
        <sz val="9"/>
        <rFont val="游ゴシック"/>
        <family val="2"/>
        <charset val="1"/>
      </rPr>
      <t xml:space="preserve">5</t>
    </r>
    <r>
      <rPr>
        <sz val="9"/>
        <rFont val="游ゴシック"/>
        <family val="2"/>
      </rPr>
      <t xml:space="preserve">月</t>
    </r>
    <r>
      <rPr>
        <sz val="9"/>
        <rFont val="游ゴシック"/>
        <family val="2"/>
        <charset val="1"/>
      </rPr>
      <t xml:space="preserve">20</t>
    </r>
    <r>
      <rPr>
        <sz val="9"/>
        <rFont val="游ゴシック"/>
        <family val="2"/>
      </rPr>
      <t xml:space="preserve">日満了）の更新状況が未確認</t>
    </r>
  </si>
  <si>
    <t xml:space="preserve">許可証の写し／動物取扱責任者名簿</t>
  </si>
  <si>
    <t xml:space="preserve">借入金の返済予定と月次での据置き</t>
  </si>
  <si>
    <r>
      <rPr>
        <sz val="9"/>
        <rFont val="游ゴシック"/>
        <family val="2"/>
      </rPr>
      <t xml:space="preserve">長期借入金は月次試算表では期首残高</t>
    </r>
    <r>
      <rPr>
        <sz val="9"/>
        <rFont val="游ゴシック"/>
        <family val="2"/>
        <charset val="1"/>
      </rPr>
      <t xml:space="preserve">191,858</t>
    </r>
    <r>
      <rPr>
        <sz val="9"/>
        <rFont val="游ゴシック"/>
        <family val="2"/>
      </rPr>
      <t xml:space="preserve">千円のまま据え置かれており、返済額は決算時に一括計上されていると推察（仮説）。役員借入金は</t>
    </r>
    <r>
      <rPr>
        <sz val="9"/>
        <rFont val="游ゴシック"/>
        <family val="2"/>
        <charset val="1"/>
      </rPr>
      <t xml:space="preserve">7,566</t>
    </r>
    <r>
      <rPr>
        <sz val="9"/>
        <rFont val="游ゴシック"/>
        <family val="2"/>
      </rPr>
      <t xml:space="preserve">千円（</t>
    </r>
    <r>
      <rPr>
        <sz val="9"/>
        <rFont val="游ゴシック"/>
        <family val="2"/>
        <charset val="1"/>
      </rPr>
      <t xml:space="preserve">2025</t>
    </r>
    <r>
      <rPr>
        <sz val="9"/>
        <rFont val="游ゴシック"/>
        <family val="2"/>
      </rPr>
      <t xml:space="preserve">年</t>
    </r>
    <r>
      <rPr>
        <sz val="9"/>
        <rFont val="游ゴシック"/>
        <family val="2"/>
        <charset val="1"/>
      </rPr>
      <t xml:space="preserve">11</t>
    </r>
    <r>
      <rPr>
        <sz val="9"/>
        <rFont val="游ゴシック"/>
        <family val="2"/>
      </rPr>
      <t xml:space="preserve">月期末）から</t>
    </r>
    <r>
      <rPr>
        <sz val="9"/>
        <rFont val="游ゴシック"/>
        <family val="2"/>
        <charset val="1"/>
      </rPr>
      <t xml:space="preserve">3,403</t>
    </r>
    <r>
      <rPr>
        <sz val="9"/>
        <rFont val="游ゴシック"/>
        <family val="2"/>
      </rPr>
      <t xml:space="preserve">千円（</t>
    </r>
    <r>
      <rPr>
        <sz val="9"/>
        <rFont val="游ゴシック"/>
        <family val="2"/>
        <charset val="1"/>
      </rPr>
      <t xml:space="preserve">2026</t>
    </r>
    <r>
      <rPr>
        <sz val="9"/>
        <rFont val="游ゴシック"/>
        <family val="2"/>
      </rPr>
      <t xml:space="preserve">年</t>
    </r>
    <r>
      <rPr>
        <sz val="9"/>
        <rFont val="游ゴシック"/>
        <family val="2"/>
        <charset val="1"/>
      </rPr>
      <t xml:space="preserve">6</t>
    </r>
    <r>
      <rPr>
        <sz val="9"/>
        <rFont val="游ゴシック"/>
        <family val="2"/>
      </rPr>
      <t xml:space="preserve">月末）へ減少している</t>
    </r>
  </si>
  <si>
    <r>
      <rPr>
        <sz val="9"/>
        <rFont val="游ゴシック"/>
        <family val="2"/>
      </rPr>
      <t xml:space="preserve">金融機関別の返済予定表（必要資料</t>
    </r>
    <r>
      <rPr>
        <sz val="9"/>
        <rFont val="游ゴシック"/>
        <family val="2"/>
        <charset val="1"/>
      </rPr>
      <t xml:space="preserve">No.5</t>
    </r>
    <r>
      <rPr>
        <sz val="9"/>
        <rFont val="游ゴシック"/>
        <family val="2"/>
      </rPr>
      <t xml:space="preserve">）</t>
    </r>
  </si>
  <si>
    <t xml:space="preserve">本社所在地（代表者自宅）の賃貸借の譲渡後の取扱い</t>
  </si>
  <si>
    <t xml:space="preserve">貸主は個人。本社は登記上の本店かつ代表者自宅であり、譲渡後の本店移転・契約継続の要否を整理する必要</t>
  </si>
  <si>
    <t xml:space="preserve">対象会社ヒアリング</t>
  </si>
  <si>
    <t xml:space="preserve">プロセス関連（社内確認事項）</t>
  </si>
  <si>
    <t xml:space="preserve">他社仲介の併走状況</t>
  </si>
  <si>
    <r>
      <rPr>
        <sz val="9"/>
        <rFont val="游ゴシック Medium"/>
        <family val="0"/>
        <charset val="1"/>
      </rPr>
      <t xml:space="preserve">2025</t>
    </r>
    <r>
      <rPr>
        <sz val="9"/>
        <rFont val="游ゴシック"/>
        <family val="2"/>
      </rPr>
      <t xml:space="preserve">年</t>
    </r>
    <r>
      <rPr>
        <sz val="9"/>
        <rFont val="游ゴシック Medium"/>
        <family val="0"/>
        <charset val="1"/>
      </rPr>
      <t xml:space="preserve">11</t>
    </r>
    <r>
      <rPr>
        <sz val="9"/>
        <rFont val="游ゴシック"/>
        <family val="2"/>
      </rPr>
      <t xml:space="preserve">月期末の仮払金</t>
    </r>
    <r>
      <rPr>
        <sz val="9"/>
        <rFont val="游ゴシック Medium"/>
        <family val="0"/>
        <charset val="1"/>
      </rPr>
      <t xml:space="preserve">1,650</t>
    </r>
    <r>
      <rPr>
        <sz val="9"/>
        <rFont val="游ゴシック"/>
        <family val="2"/>
      </rPr>
      <t xml:space="preserve">千円は他社仲介への支払（着手金等）と認められる。本項は社内確認事項であり、買手候補への開示資料には記載しない</t>
    </r>
  </si>
  <si>
    <t xml:space="preserve">社内</t>
  </si>
  <si>
    <t xml:space="preserve">ドン・キホーテ緑店のみロイヤリティの負担がない理由</t>
  </si>
  <si>
    <r>
      <rPr>
        <sz val="9"/>
        <rFont val="游ゴシック"/>
        <family val="2"/>
      </rPr>
      <t xml:space="preserve">進行期</t>
    </r>
    <r>
      <rPr>
        <sz val="9"/>
        <rFont val="游ゴシック"/>
        <family val="2"/>
        <charset val="1"/>
      </rPr>
      <t xml:space="preserve">7</t>
    </r>
    <r>
      <rPr>
        <sz val="9"/>
        <rFont val="游ゴシック"/>
        <family val="2"/>
      </rPr>
      <t xml:space="preserve">か月の部門別試算表では、ロイヤリティを負担しているのはワンラブ</t>
    </r>
    <r>
      <rPr>
        <sz val="9"/>
        <rFont val="游ゴシック"/>
        <family val="2"/>
        <charset val="1"/>
      </rPr>
      <t xml:space="preserve">FC</t>
    </r>
    <r>
      <rPr>
        <sz val="9"/>
        <rFont val="游ゴシック"/>
        <family val="2"/>
      </rPr>
      <t xml:space="preserve">加盟店のうち明和・伊勢・久居（および撤退</t>
    </r>
    <r>
      <rPr>
        <sz val="9"/>
        <rFont val="游ゴシック"/>
        <family val="2"/>
        <charset val="1"/>
      </rPr>
      <t xml:space="preserve">2</t>
    </r>
    <r>
      <rPr>
        <sz val="9"/>
        <rFont val="游ゴシック"/>
        <family val="2"/>
      </rPr>
      <t xml:space="preserve">店）で、売上高比</t>
    </r>
    <r>
      <rPr>
        <sz val="9"/>
        <rFont val="游ゴシック"/>
        <family val="2"/>
        <charset val="1"/>
      </rPr>
      <t xml:space="preserve">12.0</t>
    </r>
    <r>
      <rPr>
        <sz val="9"/>
        <rFont val="游ゴシック"/>
        <family val="2"/>
      </rPr>
      <t xml:space="preserve">〜</t>
    </r>
    <r>
      <rPr>
        <sz val="9"/>
        <rFont val="游ゴシック"/>
        <family val="2"/>
        <charset val="1"/>
      </rPr>
      <t xml:space="preserve">13.8%</t>
    </r>
    <r>
      <rPr>
        <sz val="9"/>
        <rFont val="游ゴシック"/>
        <family val="2"/>
      </rPr>
      <t xml:space="preserve">。一方ドン・キホーテ緑店はロイヤリティの計上がなく、代わりに地代家賃</t>
    </r>
    <r>
      <rPr>
        <sz val="9"/>
        <rFont val="游ゴシック"/>
        <family val="2"/>
        <charset val="1"/>
      </rPr>
      <t xml:space="preserve">5,407</t>
    </r>
    <r>
      <rPr>
        <sz val="9"/>
        <rFont val="游ゴシック"/>
        <family val="2"/>
      </rPr>
      <t xml:space="preserve">千円（同</t>
    </r>
    <r>
      <rPr>
        <sz val="9"/>
        <rFont val="游ゴシック"/>
        <family val="2"/>
        <charset val="1"/>
      </rPr>
      <t xml:space="preserve">14.6%</t>
    </r>
    <r>
      <rPr>
        <sz val="9"/>
        <rFont val="游ゴシック"/>
        <family val="2"/>
      </rPr>
      <t xml:space="preserve">）を負担しており、同店のみ費用構造が異なる。</t>
    </r>
    <r>
      <rPr>
        <sz val="9"/>
        <rFont val="游ゴシック"/>
        <family val="2"/>
        <charset val="1"/>
      </rPr>
      <t xml:space="preserve">FC</t>
    </r>
    <r>
      <rPr>
        <sz val="9"/>
        <rFont val="游ゴシック"/>
        <family val="2"/>
      </rPr>
      <t xml:space="preserve">本部からの転借か直接賃借かによって、</t>
    </r>
    <r>
      <rPr>
        <sz val="9"/>
        <rFont val="游ゴシック"/>
        <family val="2"/>
        <charset val="1"/>
      </rPr>
      <t xml:space="preserve">COC</t>
    </r>
    <r>
      <rPr>
        <sz val="9"/>
        <rFont val="游ゴシック"/>
        <family val="2"/>
      </rPr>
      <t xml:space="preserve">条項や譲渡後の賃料負担が変わる</t>
    </r>
  </si>
  <si>
    <r>
      <rPr>
        <sz val="9"/>
        <rFont val="游ゴシック"/>
        <family val="2"/>
      </rPr>
      <t xml:space="preserve">フランチャイズ契約書／緑店の賃貸借契約書（必要資料</t>
    </r>
    <r>
      <rPr>
        <sz val="9"/>
        <rFont val="游ゴシック"/>
        <family val="2"/>
        <charset val="1"/>
      </rPr>
      <t xml:space="preserve">No.18</t>
    </r>
    <r>
      <rPr>
        <sz val="9"/>
        <rFont val="游ゴシック"/>
        <family val="2"/>
      </rPr>
      <t xml:space="preserve">・</t>
    </r>
    <r>
      <rPr>
        <sz val="9"/>
        <rFont val="游ゴシック"/>
        <family val="2"/>
        <charset val="1"/>
      </rPr>
      <t xml:space="preserve">19</t>
    </r>
    <r>
      <rPr>
        <sz val="9"/>
        <rFont val="游ゴシック"/>
        <family val="2"/>
      </rPr>
      <t xml:space="preserve">）</t>
    </r>
  </si>
  <si>
    <t xml:space="preserve">TODO</t>
  </si>
  <si>
    <r>
      <rPr>
        <b val="true"/>
        <sz val="11"/>
        <color theme="0"/>
        <rFont val="游ゴシック"/>
        <family val="3"/>
        <charset val="128"/>
      </rPr>
      <t xml:space="preserve">2</t>
    </r>
    <r>
      <rPr>
        <b val="true"/>
        <sz val="11"/>
        <color theme="0"/>
        <rFont val="游ゴシック"/>
        <family val="2"/>
      </rPr>
      <t xml:space="preserve">月</t>
    </r>
  </si>
  <si>
    <r>
      <rPr>
        <b val="true"/>
        <sz val="11"/>
        <color theme="0"/>
        <rFont val="游ゴシック"/>
        <family val="3"/>
        <charset val="128"/>
      </rPr>
      <t xml:space="preserve">3</t>
    </r>
    <r>
      <rPr>
        <b val="true"/>
        <sz val="11"/>
        <color theme="0"/>
        <rFont val="游ゴシック"/>
        <family val="2"/>
      </rPr>
      <t xml:space="preserve">月</t>
    </r>
  </si>
  <si>
    <r>
      <rPr>
        <b val="true"/>
        <sz val="11"/>
        <color theme="0"/>
        <rFont val="游ゴシック"/>
        <family val="3"/>
        <charset val="128"/>
      </rPr>
      <t xml:space="preserve">4</t>
    </r>
    <r>
      <rPr>
        <b val="true"/>
        <sz val="11"/>
        <color theme="0"/>
        <rFont val="游ゴシック"/>
        <family val="2"/>
      </rPr>
      <t xml:space="preserve">月</t>
    </r>
  </si>
  <si>
    <r>
      <rPr>
        <b val="true"/>
        <sz val="11"/>
        <color theme="0"/>
        <rFont val="游ゴシック"/>
        <family val="3"/>
        <charset val="128"/>
      </rPr>
      <t xml:space="preserve">5</t>
    </r>
    <r>
      <rPr>
        <b val="true"/>
        <sz val="11"/>
        <color theme="0"/>
        <rFont val="游ゴシック"/>
        <family val="2"/>
      </rPr>
      <t xml:space="preserve">月</t>
    </r>
  </si>
  <si>
    <t xml:space="preserve">交渉</t>
  </si>
  <si>
    <r>
      <rPr>
        <sz val="11"/>
        <color theme="1"/>
        <rFont val="游ゴシック"/>
        <family val="3"/>
        <charset val="128"/>
      </rPr>
      <t xml:space="preserve">TOP</t>
    </r>
    <r>
      <rPr>
        <sz val="11"/>
        <color theme="1"/>
        <rFont val="游ゴシック"/>
        <family val="2"/>
      </rPr>
      <t xml:space="preserve">面談</t>
    </r>
  </si>
  <si>
    <r>
      <rPr>
        <sz val="11"/>
        <color theme="1"/>
        <rFont val="游ゴシック"/>
        <family val="3"/>
        <charset val="128"/>
      </rPr>
      <t xml:space="preserve">LOI</t>
    </r>
    <r>
      <rPr>
        <sz val="11"/>
        <color theme="1"/>
        <rFont val="游ゴシック"/>
        <family val="2"/>
      </rPr>
      <t xml:space="preserve">ドラフト作成</t>
    </r>
  </si>
  <si>
    <r>
      <rPr>
        <sz val="11"/>
        <color theme="1"/>
        <rFont val="游ゴシック"/>
        <family val="3"/>
        <charset val="128"/>
      </rPr>
      <t xml:space="preserve">LOI</t>
    </r>
    <r>
      <rPr>
        <sz val="11"/>
        <color theme="1"/>
        <rFont val="游ゴシック"/>
        <family val="2"/>
      </rPr>
      <t xml:space="preserve">提出</t>
    </r>
  </si>
  <si>
    <r>
      <rPr>
        <sz val="11"/>
        <color theme="1"/>
        <rFont val="游ゴシック"/>
        <family val="3"/>
        <charset val="128"/>
      </rPr>
      <t xml:space="preserve">LOI</t>
    </r>
    <r>
      <rPr>
        <sz val="11"/>
        <color theme="1"/>
        <rFont val="游ゴシック"/>
        <family val="2"/>
      </rPr>
      <t xml:space="preserve">受領</t>
    </r>
    <r>
      <rPr>
        <sz val="11"/>
        <color theme="1"/>
        <rFont val="游ゴシック"/>
        <family val="3"/>
        <charset val="128"/>
      </rPr>
      <t xml:space="preserve">(</t>
    </r>
    <r>
      <rPr>
        <sz val="11"/>
        <color theme="1"/>
        <rFont val="游ゴシック"/>
        <family val="2"/>
      </rPr>
      <t xml:space="preserve">独占交渉権</t>
    </r>
    <r>
      <rPr>
        <sz val="11"/>
        <color theme="1"/>
        <rFont val="游ゴシック"/>
        <family val="3"/>
        <charset val="128"/>
      </rPr>
      <t xml:space="preserve">)</t>
    </r>
  </si>
  <si>
    <t xml:space="preserve">DD</t>
  </si>
  <si>
    <r>
      <rPr>
        <sz val="11"/>
        <color theme="1"/>
        <rFont val="游ゴシック"/>
        <family val="3"/>
        <charset val="128"/>
      </rPr>
      <t xml:space="preserve">DD</t>
    </r>
    <r>
      <rPr>
        <sz val="11"/>
        <color theme="1"/>
        <rFont val="游ゴシック"/>
        <family val="2"/>
      </rPr>
      <t xml:space="preserve">スコープ・依頼先選定</t>
    </r>
  </si>
  <si>
    <r>
      <rPr>
        <sz val="11"/>
        <color theme="1"/>
        <rFont val="游ゴシック"/>
        <family val="3"/>
        <charset val="128"/>
      </rPr>
      <t xml:space="preserve">IRL</t>
    </r>
    <r>
      <rPr>
        <sz val="11"/>
        <color theme="1"/>
        <rFont val="游ゴシック"/>
        <family val="2"/>
      </rPr>
      <t xml:space="preserve">提出</t>
    </r>
  </si>
  <si>
    <r>
      <rPr>
        <sz val="11"/>
        <color theme="1"/>
        <rFont val="游ゴシック"/>
        <family val="3"/>
        <charset val="128"/>
      </rPr>
      <t xml:space="preserve">QA</t>
    </r>
    <r>
      <rPr>
        <sz val="11"/>
        <color theme="1"/>
        <rFont val="游ゴシック"/>
        <family val="2"/>
      </rPr>
      <t xml:space="preserve">ラリー</t>
    </r>
  </si>
  <si>
    <t xml:space="preserve">マネジメントインタビュー</t>
  </si>
  <si>
    <t xml:space="preserve">B</t>
  </si>
  <si>
    <t xml:space="preserve">F</t>
  </si>
  <si>
    <t xml:space="preserve">L</t>
  </si>
  <si>
    <r>
      <rPr>
        <sz val="11"/>
        <color theme="1"/>
        <rFont val="游ゴシック"/>
        <family val="3"/>
        <charset val="128"/>
      </rPr>
      <t xml:space="preserve">DD</t>
    </r>
    <r>
      <rPr>
        <sz val="11"/>
        <color theme="1"/>
        <rFont val="游ゴシック"/>
        <family val="2"/>
      </rPr>
      <t xml:space="preserve">結果報告</t>
    </r>
  </si>
  <si>
    <r>
      <rPr>
        <sz val="11"/>
        <color theme="1"/>
        <rFont val="游ゴシック"/>
        <family val="3"/>
        <charset val="128"/>
      </rPr>
      <t xml:space="preserve">SPA</t>
    </r>
    <r>
      <rPr>
        <sz val="11"/>
        <color theme="1"/>
        <rFont val="游ゴシック"/>
        <family val="2"/>
      </rPr>
      <t xml:space="preserve">内容調整</t>
    </r>
  </si>
  <si>
    <r>
      <rPr>
        <sz val="11"/>
        <color theme="1"/>
        <rFont val="游ゴシック"/>
        <family val="3"/>
        <charset val="128"/>
      </rPr>
      <t xml:space="preserve">SPA</t>
    </r>
    <r>
      <rPr>
        <sz val="11"/>
        <color theme="1"/>
        <rFont val="游ゴシック"/>
        <family val="2"/>
      </rPr>
      <t xml:space="preserve">締結</t>
    </r>
  </si>
  <si>
    <r>
      <rPr>
        <sz val="11"/>
        <color theme="1"/>
        <rFont val="游ゴシック"/>
        <family val="3"/>
        <charset val="128"/>
      </rPr>
      <t xml:space="preserve">CoC</t>
    </r>
    <r>
      <rPr>
        <sz val="11"/>
        <color theme="1"/>
        <rFont val="游ゴシック"/>
        <family val="2"/>
      </rPr>
      <t xml:space="preserve">対応等</t>
    </r>
  </si>
  <si>
    <t xml:space="preserve">クロージング</t>
  </si>
  <si>
    <t xml:space="preserve">役員変更登記申請</t>
  </si>
  <si>
    <t xml:space="preserve">PMI</t>
  </si>
  <si>
    <t xml:space="preserve">従業員・取引先開示</t>
  </si>
  <si>
    <t xml:space="preserve">連帯保証解除等</t>
  </si>
  <si>
    <r>
      <rPr>
        <sz val="11"/>
        <rFont val="游ゴシック"/>
        <family val="3"/>
        <charset val="128"/>
      </rPr>
      <t xml:space="preserve">PMI</t>
    </r>
    <r>
      <rPr>
        <sz val="11"/>
        <rFont val="游ゴシック"/>
        <family val="2"/>
      </rPr>
      <t xml:space="preserve">・グループ連携</t>
    </r>
  </si>
  <si>
    <t xml:space="preserve">報酬発生</t>
  </si>
  <si>
    <r>
      <rPr>
        <sz val="9"/>
        <rFont val="游ゴシック"/>
        <family val="2"/>
      </rPr>
      <t xml:space="preserve">※本案件ではスケジュール</t>
    </r>
    <r>
      <rPr>
        <sz val="9"/>
        <rFont val="游ゴシック"/>
        <family val="2"/>
        <charset val="1"/>
      </rPr>
      <t xml:space="preserve">(</t>
    </r>
    <r>
      <rPr>
        <sz val="9"/>
        <rFont val="游ゴシック"/>
        <family val="2"/>
      </rPr>
      <t xml:space="preserve">横</t>
    </r>
    <r>
      <rPr>
        <sz val="9"/>
        <rFont val="游ゴシック"/>
        <family val="2"/>
        <charset val="1"/>
      </rPr>
      <t xml:space="preserve">)</t>
    </r>
    <r>
      <rPr>
        <sz val="9"/>
        <rFont val="游ゴシック"/>
        <family val="2"/>
      </rPr>
      <t xml:space="preserve">を使用。本シートは未使用。</t>
    </r>
  </si>
  <si>
    <r>
      <rPr>
        <sz val="11"/>
        <color theme="1"/>
        <rFont val="游ゴシック"/>
        <family val="3"/>
        <charset val="128"/>
      </rPr>
      <t xml:space="preserve">2025</t>
    </r>
    <r>
      <rPr>
        <sz val="11"/>
        <color theme="1"/>
        <rFont val="游ゴシック"/>
        <family val="2"/>
      </rPr>
      <t xml:space="preserve">年</t>
    </r>
  </si>
  <si>
    <r>
      <rPr>
        <sz val="11"/>
        <color theme="1"/>
        <rFont val="游ゴシック"/>
        <family val="3"/>
        <charset val="128"/>
      </rPr>
      <t xml:space="preserve">2026</t>
    </r>
    <r>
      <rPr>
        <sz val="11"/>
        <color theme="1"/>
        <rFont val="游ゴシック"/>
        <family val="2"/>
      </rPr>
      <t xml:space="preserve">年</t>
    </r>
  </si>
  <si>
    <t xml:space="preserve">※テンプレートの作図用サンプルデータ。本案件では未使用。</t>
  </si>
  <si>
    <t xml:space="preserve"> </t>
  </si>
  <si>
    <t xml:space="preserve">A</t>
  </si>
  <si>
    <t xml:space="preserve">C</t>
  </si>
  <si>
    <r>
      <rPr>
        <sz val="11"/>
        <color theme="1"/>
        <rFont val="游ゴシック"/>
        <family val="2"/>
      </rPr>
      <t xml:space="preserve">第</t>
    </r>
    <r>
      <rPr>
        <sz val="11"/>
        <color theme="1"/>
        <rFont val="游ゴシック"/>
        <family val="2"/>
        <charset val="1"/>
      </rPr>
      <t xml:space="preserve">1</t>
    </r>
    <r>
      <rPr>
        <sz val="11"/>
        <color theme="1"/>
        <rFont val="游ゴシック"/>
        <family val="2"/>
      </rPr>
      <t xml:space="preserve">四半期</t>
    </r>
  </si>
  <si>
    <r>
      <rPr>
        <sz val="11"/>
        <color theme="1"/>
        <rFont val="游ゴシック"/>
        <family val="2"/>
      </rPr>
      <t xml:space="preserve">第</t>
    </r>
    <r>
      <rPr>
        <sz val="11"/>
        <color theme="1"/>
        <rFont val="游ゴシック"/>
        <family val="2"/>
        <charset val="1"/>
      </rPr>
      <t xml:space="preserve">2</t>
    </r>
    <r>
      <rPr>
        <sz val="11"/>
        <color theme="1"/>
        <rFont val="游ゴシック"/>
        <family val="2"/>
      </rPr>
      <t xml:space="preserve">四半期</t>
    </r>
  </si>
  <si>
    <r>
      <rPr>
        <sz val="11"/>
        <color theme="1"/>
        <rFont val="游ゴシック"/>
        <family val="2"/>
      </rPr>
      <t xml:space="preserve">第</t>
    </r>
    <r>
      <rPr>
        <sz val="11"/>
        <color theme="1"/>
        <rFont val="游ゴシック"/>
        <family val="2"/>
        <charset val="1"/>
      </rPr>
      <t xml:space="preserve">3</t>
    </r>
    <r>
      <rPr>
        <sz val="11"/>
        <color theme="1"/>
        <rFont val="游ゴシック"/>
        <family val="2"/>
      </rPr>
      <t xml:space="preserve">四半期</t>
    </r>
  </si>
  <si>
    <r>
      <rPr>
        <sz val="11"/>
        <color theme="1"/>
        <rFont val="游ゴシック"/>
        <family val="2"/>
      </rPr>
      <t xml:space="preserve">第</t>
    </r>
    <r>
      <rPr>
        <sz val="11"/>
        <color theme="1"/>
        <rFont val="游ゴシック"/>
        <family val="2"/>
        <charset val="1"/>
      </rPr>
      <t xml:space="preserve">4</t>
    </r>
    <r>
      <rPr>
        <sz val="11"/>
        <color theme="1"/>
        <rFont val="游ゴシック"/>
        <family val="2"/>
      </rPr>
      <t xml:space="preserve">四半期</t>
    </r>
  </si>
  <si>
    <t xml:space="preserve">ｂ</t>
  </si>
  <si>
    <r>
      <rPr>
        <sz val="11"/>
        <color theme="1"/>
        <rFont val="游ゴシック Medium"/>
        <family val="2"/>
        <charset val="128"/>
      </rPr>
      <t xml:space="preserve">1</t>
    </r>
    <r>
      <rPr>
        <sz val="11"/>
        <color theme="1"/>
        <rFont val="游ゴシック"/>
        <family val="2"/>
      </rPr>
      <t xml:space="preserve">ヶ月目</t>
    </r>
  </si>
  <si>
    <r>
      <rPr>
        <sz val="11"/>
        <color theme="1"/>
        <rFont val="游ゴシック Medium"/>
        <family val="2"/>
        <charset val="128"/>
      </rPr>
      <t xml:space="preserve">2</t>
    </r>
    <r>
      <rPr>
        <sz val="11"/>
        <color theme="1"/>
        <rFont val="游ゴシック"/>
        <family val="2"/>
      </rPr>
      <t xml:space="preserve">ヶ月目</t>
    </r>
  </si>
  <si>
    <r>
      <rPr>
        <sz val="11"/>
        <color theme="1"/>
        <rFont val="游ゴシック Medium"/>
        <family val="2"/>
        <charset val="128"/>
      </rPr>
      <t xml:space="preserve">3</t>
    </r>
    <r>
      <rPr>
        <sz val="11"/>
        <color theme="1"/>
        <rFont val="游ゴシック"/>
        <family val="2"/>
      </rPr>
      <t xml:space="preserve">か月目</t>
    </r>
  </si>
  <si>
    <r>
      <rPr>
        <sz val="11"/>
        <color theme="1"/>
        <rFont val="游ゴシック Medium"/>
        <family val="2"/>
        <charset val="128"/>
      </rPr>
      <t xml:space="preserve">4</t>
    </r>
    <r>
      <rPr>
        <sz val="11"/>
        <color theme="1"/>
        <rFont val="游ゴシック"/>
        <family val="2"/>
      </rPr>
      <t xml:space="preserve">か月目</t>
    </r>
  </si>
  <si>
    <r>
      <rPr>
        <sz val="11"/>
        <color theme="1"/>
        <rFont val="游ゴシック Medium"/>
        <family val="2"/>
        <charset val="128"/>
      </rPr>
      <t xml:space="preserve">5</t>
    </r>
    <r>
      <rPr>
        <sz val="11"/>
        <color theme="1"/>
        <rFont val="游ゴシック"/>
        <family val="2"/>
      </rPr>
      <t xml:space="preserve">か月目</t>
    </r>
  </si>
  <si>
    <t xml:space="preserve">グラフタイトル</t>
  </si>
  <si>
    <t xml:space="preserve">D</t>
  </si>
  <si>
    <t xml:space="preserve">X</t>
  </si>
  <si>
    <t xml:space="preserve">Y</t>
  </si>
  <si>
    <t xml:space="preserve">Z</t>
  </si>
  <si>
    <t xml:space="preserve">※作図用の予備シート（本案件では未使用）</t>
  </si>
</sst>
</file>

<file path=xl/styles.xml><?xml version="1.0" encoding="utf-8"?>
<styleSheet xmlns="http://schemas.openxmlformats.org/spreadsheetml/2006/main">
  <numFmts count="20">
    <numFmt numFmtId="164" formatCode="General"/>
    <numFmt numFmtId="165" formatCode="#,##0,"/>
    <numFmt numFmtId="166" formatCode="#,##0,;\△#,##0,;0"/>
    <numFmt numFmtId="167" formatCode="0.0%"/>
    <numFmt numFmtId="168" formatCode="#,##0,;[RED]&quot;△ &quot;#,##0,;\－"/>
    <numFmt numFmtId="169" formatCode="#,##0.00_ "/>
    <numFmt numFmtId="170" formatCode="#,##0_);[RED]\(#,##0\)"/>
    <numFmt numFmtId="171" formatCode="#,##0_ "/>
    <numFmt numFmtId="172" formatCode="#,##0.0_ "/>
    <numFmt numFmtId="173" formatCode="#,##0;&quot;△ &quot;#,##0"/>
    <numFmt numFmtId="174" formatCode="0.0%;;\－"/>
    <numFmt numFmtId="175" formatCode="#,##0,;[RED]\-#,##0,;\－"/>
    <numFmt numFmtId="176" formatCode="0;;\－"/>
    <numFmt numFmtId="177" formatCode="0.0%;\-0.0%;\－"/>
    <numFmt numFmtId="178" formatCode="m/d/yyyy"/>
    <numFmt numFmtId="179" formatCode="0.0;;\－"/>
    <numFmt numFmtId="180" formatCode="0_);[RED]\(0\)"/>
    <numFmt numFmtId="181" formatCode="General"/>
    <numFmt numFmtId="182" formatCode="0.00_);[RED]\(0.00\)"/>
    <numFmt numFmtId="183" formatCode="m\月d\日;@"/>
  </numFmts>
  <fonts count="101">
    <font>
      <sz val="11"/>
      <color theme="1"/>
      <name val="游ゴシック Medium"/>
      <family val="2"/>
      <charset val="128"/>
    </font>
    <font>
      <sz val="10"/>
      <name val="Arial"/>
      <family val="0"/>
    </font>
    <font>
      <sz val="10"/>
      <name val="Arial"/>
      <family val="0"/>
    </font>
    <font>
      <sz val="10"/>
      <name val="Arial"/>
      <family val="0"/>
    </font>
    <font>
      <sz val="10"/>
      <color theme="1"/>
      <name val="Meiryo UI"/>
      <family val="2"/>
      <charset val="128"/>
    </font>
    <font>
      <sz val="11"/>
      <color theme="1"/>
      <name val="游ゴシック"/>
      <family val="2"/>
    </font>
    <font>
      <sz val="11"/>
      <color theme="1"/>
      <name val="游ゴシック"/>
      <family val="2"/>
      <charset val="1"/>
    </font>
    <font>
      <b val="true"/>
      <sz val="12"/>
      <color theme="0"/>
      <name val="游ゴシック"/>
      <family val="2"/>
    </font>
    <font>
      <b val="true"/>
      <sz val="12"/>
      <color theme="0"/>
      <name val="游ゴシック"/>
      <family val="3"/>
      <charset val="128"/>
    </font>
    <font>
      <b val="true"/>
      <sz val="12"/>
      <color theme="1"/>
      <name val="游ゴシック"/>
      <family val="2"/>
    </font>
    <font>
      <b val="true"/>
      <sz val="12"/>
      <color theme="1"/>
      <name val="Arial"/>
      <family val="2"/>
      <charset val="1"/>
    </font>
    <font>
      <sz val="12"/>
      <color theme="1"/>
      <name val="游ゴシック"/>
      <family val="2"/>
    </font>
    <font>
      <sz val="12"/>
      <color theme="1"/>
      <name val="Arial"/>
      <family val="2"/>
      <charset val="1"/>
    </font>
    <font>
      <b val="true"/>
      <sz val="11"/>
      <color rgb="FFFF0000"/>
      <name val="游ゴシック"/>
      <family val="2"/>
    </font>
    <font>
      <b val="true"/>
      <sz val="11"/>
      <color rgb="FFFF0000"/>
      <name val="游ゴシック Medium"/>
      <family val="3"/>
      <charset val="128"/>
    </font>
    <font>
      <b val="true"/>
      <sz val="11"/>
      <color rgb="FFFF0000"/>
      <name val="游ゴシック"/>
      <family val="2"/>
      <charset val="1"/>
    </font>
    <font>
      <sz val="12"/>
      <color theme="1"/>
      <name val="游ゴシック"/>
      <family val="3"/>
      <charset val="128"/>
    </font>
    <font>
      <b val="true"/>
      <sz val="12"/>
      <color theme="0"/>
      <name val="Arial"/>
      <family val="2"/>
      <charset val="1"/>
    </font>
    <font>
      <b val="true"/>
      <sz val="10"/>
      <color rgb="FFFF0000"/>
      <name val="游ゴシック"/>
      <family val="3"/>
      <charset val="128"/>
    </font>
    <font>
      <sz val="11"/>
      <color theme="1"/>
      <name val="游ゴシック"/>
      <family val="3"/>
      <charset val="128"/>
    </font>
    <font>
      <sz val="12"/>
      <color theme="1"/>
      <name val="游ゴシック"/>
      <family val="2"/>
      <charset val="128"/>
    </font>
    <font>
      <b val="true"/>
      <sz val="12"/>
      <color theme="1"/>
      <name val="游ゴシック"/>
      <family val="3"/>
      <charset val="128"/>
    </font>
    <font>
      <b val="true"/>
      <sz val="10"/>
      <color rgb="FFC00000"/>
      <name val="游ゴシック"/>
      <family val="2"/>
    </font>
    <font>
      <sz val="12"/>
      <color rgb="FFFF0000"/>
      <name val="Arial"/>
      <family val="2"/>
      <charset val="1"/>
    </font>
    <font>
      <sz val="12"/>
      <color rgb="FFFF0000"/>
      <name val="游ゴシック"/>
      <family val="2"/>
    </font>
    <font>
      <sz val="12"/>
      <name val="游ゴシック"/>
      <family val="2"/>
    </font>
    <font>
      <sz val="12"/>
      <name val="Arial"/>
      <family val="2"/>
      <charset val="1"/>
    </font>
    <font>
      <b val="true"/>
      <sz val="11"/>
      <color rgb="FF0B3041"/>
      <name val="游ゴシック"/>
      <family val="2"/>
    </font>
    <font>
      <b val="true"/>
      <sz val="11"/>
      <color rgb="FF0B3041"/>
      <name val="游ゴシック"/>
      <family val="2"/>
      <charset val="1"/>
    </font>
    <font>
      <sz val="9"/>
      <name val="游ゴシック"/>
      <family val="2"/>
    </font>
    <font>
      <sz val="9"/>
      <name val="游ゴシック"/>
      <family val="2"/>
      <charset val="1"/>
    </font>
    <font>
      <sz val="9"/>
      <name val="游ゴシック Medium"/>
      <family val="0"/>
      <charset val="1"/>
    </font>
    <font>
      <sz val="9"/>
      <name val="Arial"/>
      <family val="0"/>
      <charset val="1"/>
    </font>
    <font>
      <b val="true"/>
      <sz val="9"/>
      <name val="游ゴシック"/>
      <family val="2"/>
    </font>
    <font>
      <b val="true"/>
      <sz val="9"/>
      <name val="游ゴシック"/>
      <family val="2"/>
      <charset val="1"/>
    </font>
    <font>
      <b val="true"/>
      <sz val="9"/>
      <name val="Arial"/>
      <family val="0"/>
      <charset val="1"/>
    </font>
    <font>
      <sz val="12"/>
      <color theme="0" tint="-0.15"/>
      <name val="Arial"/>
      <family val="2"/>
      <charset val="1"/>
    </font>
    <font>
      <sz val="10"/>
      <color rgb="FF000000"/>
      <name val="Arial"/>
      <family val="2"/>
    </font>
    <font>
      <sz val="9"/>
      <color rgb="FF0B3041"/>
      <name val="Arial"/>
      <family val="2"/>
    </font>
    <font>
      <sz val="11"/>
      <color theme="1"/>
      <name val="Arial"/>
      <family val="2"/>
      <charset val="1"/>
    </font>
    <font>
      <sz val="9"/>
      <color theme="1"/>
      <name val="游ゴシック Medium"/>
      <family val="3"/>
      <charset val="128"/>
    </font>
    <font>
      <sz val="9"/>
      <color theme="1"/>
      <name val="游ゴシック"/>
      <family val="2"/>
    </font>
    <font>
      <b val="true"/>
      <sz val="14"/>
      <color theme="1"/>
      <name val="Arial"/>
      <family val="2"/>
      <charset val="1"/>
    </font>
    <font>
      <sz val="11"/>
      <color theme="1"/>
      <name val="游ゴシック Medium"/>
      <family val="3"/>
      <charset val="128"/>
    </font>
    <font>
      <b val="true"/>
      <sz val="12"/>
      <color theme="0"/>
      <name val="游ゴシック"/>
      <family val="2"/>
      <charset val="1"/>
    </font>
    <font>
      <b val="true"/>
      <sz val="9"/>
      <name val="游ゴシック Medium"/>
      <family val="0"/>
      <charset val="1"/>
    </font>
    <font>
      <sz val="12"/>
      <color theme="1"/>
      <name val="ＭＳ Ｐゴシック"/>
      <family val="2"/>
      <charset val="128"/>
    </font>
    <font>
      <sz val="10"/>
      <name val="Arial"/>
      <family val="0"/>
      <charset val="1"/>
    </font>
    <font>
      <b val="true"/>
      <sz val="10"/>
      <name val="Arial"/>
      <family val="0"/>
      <charset val="1"/>
    </font>
    <font>
      <b val="true"/>
      <sz val="14"/>
      <color theme="1"/>
      <name val="游ゴシック"/>
      <family val="3"/>
      <charset val="128"/>
    </font>
    <font>
      <b val="true"/>
      <sz val="9"/>
      <color rgb="FFFFFFFF"/>
      <name val="游ゴシック"/>
      <family val="0"/>
      <charset val="1"/>
    </font>
    <font>
      <b val="true"/>
      <sz val="9"/>
      <color rgb="FFFFFFFF"/>
      <name val="游ゴシック"/>
      <family val="2"/>
    </font>
    <font>
      <sz val="9"/>
      <name val="游ゴシック"/>
      <family val="0"/>
      <charset val="1"/>
    </font>
    <font>
      <sz val="12"/>
      <color theme="1"/>
      <name val="游ゴシック Medium"/>
      <family val="2"/>
      <charset val="128"/>
    </font>
    <font>
      <b val="true"/>
      <sz val="12"/>
      <color theme="1"/>
      <name val="游ゴシック"/>
      <family val="2"/>
      <charset val="1"/>
    </font>
    <font>
      <sz val="12"/>
      <color theme="1"/>
      <name val="游ゴシック"/>
      <family val="2"/>
      <charset val="1"/>
    </font>
    <font>
      <i val="true"/>
      <sz val="9"/>
      <name val="Arial"/>
      <family val="0"/>
      <charset val="1"/>
    </font>
    <font>
      <b val="true"/>
      <sz val="10"/>
      <color rgb="FF0B3041"/>
      <name val="游ゴシック"/>
      <family val="2"/>
    </font>
    <font>
      <b val="true"/>
      <sz val="10"/>
      <color rgb="FF0B3041"/>
      <name val="游ゴシック"/>
      <family val="2"/>
      <charset val="1"/>
    </font>
    <font>
      <sz val="12"/>
      <color theme="0"/>
      <name val="游ゴシック"/>
      <family val="3"/>
      <charset val="128"/>
    </font>
    <font>
      <sz val="12"/>
      <color theme="0"/>
      <name val="游ゴシック"/>
      <family val="2"/>
    </font>
    <font>
      <sz val="12"/>
      <color theme="0"/>
      <name val="游ゴシック"/>
      <family val="2"/>
      <charset val="1"/>
    </font>
    <font>
      <sz val="11"/>
      <color rgb="FFFF0000"/>
      <name val="游ゴシック"/>
      <family val="3"/>
      <charset val="128"/>
    </font>
    <font>
      <i val="true"/>
      <sz val="9"/>
      <color theme="1"/>
      <name val="游ゴシック"/>
      <family val="3"/>
      <charset val="128"/>
    </font>
    <font>
      <i val="true"/>
      <sz val="9"/>
      <color theme="1"/>
      <name val="游ゴシック"/>
      <family val="2"/>
    </font>
    <font>
      <i val="true"/>
      <sz val="9"/>
      <color theme="1"/>
      <name val="Arial"/>
      <family val="2"/>
      <charset val="1"/>
    </font>
    <font>
      <b val="true"/>
      <sz val="11"/>
      <color theme="1"/>
      <name val="Arial"/>
      <family val="2"/>
      <charset val="1"/>
    </font>
    <font>
      <sz val="12"/>
      <color theme="1"/>
      <name val="Arial"/>
      <family val="2"/>
      <charset val="128"/>
    </font>
    <font>
      <b val="true"/>
      <sz val="11"/>
      <color theme="1"/>
      <name val="游ゴシック"/>
      <family val="3"/>
      <charset val="128"/>
    </font>
    <font>
      <sz val="10"/>
      <color theme="1"/>
      <name val="游ゴシック"/>
      <family val="3"/>
      <charset val="128"/>
    </font>
    <font>
      <sz val="10"/>
      <color theme="1"/>
      <name val="Arial"/>
      <family val="2"/>
      <charset val="1"/>
    </font>
    <font>
      <b val="true"/>
      <sz val="9"/>
      <color rgb="FFFFFFFF"/>
      <name val="游ゴシック"/>
      <family val="2"/>
      <charset val="1"/>
    </font>
    <font>
      <b val="true"/>
      <i val="true"/>
      <sz val="9"/>
      <name val="Arial"/>
      <family val="0"/>
      <charset val="1"/>
    </font>
    <font>
      <b val="true"/>
      <sz val="9"/>
      <color rgb="FFFFFFFF"/>
      <name val="游ゴシック Medium"/>
      <family val="0"/>
      <charset val="1"/>
    </font>
    <font>
      <b val="true"/>
      <sz val="11"/>
      <color theme="1"/>
      <name val="游ゴシック Medium"/>
      <family val="2"/>
      <charset val="128"/>
    </font>
    <font>
      <b val="true"/>
      <sz val="9"/>
      <name val="游ゴシック"/>
      <family val="0"/>
      <charset val="1"/>
    </font>
    <font>
      <sz val="9"/>
      <color theme="1"/>
      <name val="游ゴシック"/>
      <family val="2"/>
      <charset val="1"/>
    </font>
    <font>
      <sz val="9"/>
      <color theme="1"/>
      <name val="游ゴシック"/>
      <family val="3"/>
      <charset val="128"/>
    </font>
    <font>
      <b val="true"/>
      <sz val="9"/>
      <color theme="1"/>
      <name val="游ゴシック Medium"/>
      <family val="3"/>
      <charset val="128"/>
    </font>
    <font>
      <sz val="11"/>
      <color rgb="FFFF0000"/>
      <name val="游ゴシック Medium"/>
      <family val="2"/>
      <charset val="128"/>
    </font>
    <font>
      <b val="true"/>
      <sz val="12"/>
      <color rgb="FFFF0000"/>
      <name val="游ゴシック"/>
      <family val="3"/>
      <charset val="128"/>
    </font>
    <font>
      <b val="true"/>
      <sz val="12"/>
      <color rgb="FFFF0000"/>
      <name val="游ゴシック"/>
      <family val="2"/>
    </font>
    <font>
      <b val="true"/>
      <sz val="12"/>
      <color theme="1"/>
      <name val="游ゴシック"/>
      <family val="2"/>
      <charset val="128"/>
    </font>
    <font>
      <b val="true"/>
      <sz val="12"/>
      <color rgb="FF0B3041"/>
      <name val="游ゴシック"/>
      <family val="2"/>
    </font>
    <font>
      <sz val="11"/>
      <name val="游ゴシック"/>
      <family val="3"/>
      <charset val="128"/>
    </font>
    <font>
      <sz val="12"/>
      <name val="游ゴシック"/>
      <family val="3"/>
      <charset val="128"/>
    </font>
    <font>
      <b val="true"/>
      <sz val="11"/>
      <color theme="0"/>
      <name val="游ゴシック"/>
      <family val="3"/>
      <charset val="128"/>
    </font>
    <font>
      <b val="true"/>
      <sz val="11"/>
      <color theme="0"/>
      <name val="游ゴシック"/>
      <family val="2"/>
    </font>
    <font>
      <sz val="8"/>
      <color theme="0"/>
      <name val="游ゴシック"/>
      <family val="3"/>
      <charset val="128"/>
    </font>
    <font>
      <sz val="8"/>
      <name val="游ゴシック"/>
      <family val="3"/>
      <charset val="128"/>
    </font>
    <font>
      <sz val="8"/>
      <color theme="1"/>
      <name val="游ゴシック"/>
      <family val="3"/>
      <charset val="128"/>
    </font>
    <font>
      <sz val="10"/>
      <color theme="1"/>
      <name val="游ゴシック"/>
      <family val="2"/>
    </font>
    <font>
      <sz val="11"/>
      <color theme="9"/>
      <name val="游ゴシック"/>
      <family val="3"/>
      <charset val="128"/>
    </font>
    <font>
      <sz val="11"/>
      <name val="游ゴシック"/>
      <family val="2"/>
    </font>
    <font>
      <b val="true"/>
      <sz val="11"/>
      <color theme="0" tint="-0.05"/>
      <name val="游ゴシック"/>
      <family val="3"/>
      <charset val="128"/>
    </font>
    <font>
      <sz val="9"/>
      <color rgb="FFC00000"/>
      <name val="游ゴシック"/>
      <family val="2"/>
    </font>
    <font>
      <b val="true"/>
      <sz val="10"/>
      <color rgb="FF000000"/>
      <name val="Arial"/>
      <family val="2"/>
    </font>
    <font>
      <sz val="8"/>
      <color rgb="FF000000"/>
      <name val="Arial"/>
      <family val="2"/>
    </font>
    <font>
      <b val="true"/>
      <sz val="18"/>
      <color rgb="FFFFFFFF"/>
      <name val="Arial"/>
      <family val="2"/>
    </font>
    <font>
      <b val="true"/>
      <sz val="20"/>
      <color rgb="FFFFFFFF"/>
      <name val="Arial"/>
      <family val="2"/>
    </font>
    <font>
      <b val="true"/>
      <sz val="16"/>
      <color rgb="FF000000"/>
      <name val="Arial"/>
      <family val="2"/>
    </font>
  </fonts>
  <fills count="14">
    <fill>
      <patternFill patternType="none"/>
    </fill>
    <fill>
      <patternFill patternType="gray125"/>
    </fill>
    <fill>
      <patternFill patternType="solid">
        <fgColor theme="3"/>
        <bgColor rgb="FF002060"/>
      </patternFill>
    </fill>
    <fill>
      <patternFill patternType="solid">
        <fgColor theme="5"/>
        <bgColor rgb="FFE1F2FB"/>
      </patternFill>
    </fill>
    <fill>
      <patternFill patternType="solid">
        <fgColor theme="2"/>
        <bgColor rgb="FFE3E5E7"/>
      </patternFill>
    </fill>
    <fill>
      <patternFill patternType="solid">
        <fgColor theme="0"/>
        <bgColor rgb="FFF2F2F2"/>
      </patternFill>
    </fill>
    <fill>
      <patternFill patternType="solid">
        <fgColor theme="7"/>
        <bgColor rgb="FF008080"/>
      </patternFill>
    </fill>
    <fill>
      <patternFill patternType="solid">
        <fgColor rgb="FFFFFF00"/>
        <bgColor rgb="FF99CC00"/>
      </patternFill>
    </fill>
    <fill>
      <patternFill patternType="solid">
        <fgColor theme="4"/>
        <bgColor rgb="FF8B8B8B"/>
      </patternFill>
    </fill>
    <fill>
      <patternFill patternType="solid">
        <fgColor rgb="FFE1F2FB"/>
        <bgColor rgb="FFE1F3FB"/>
      </patternFill>
    </fill>
    <fill>
      <patternFill patternType="solid">
        <fgColor theme="6" tint="0.7999"/>
        <bgColor rgb="FFE1F3FB"/>
      </patternFill>
    </fill>
    <fill>
      <patternFill patternType="solid">
        <fgColor rgb="FFCCECFF"/>
        <bgColor rgb="FFE1F2FB"/>
      </patternFill>
    </fill>
    <fill>
      <patternFill patternType="solid">
        <fgColor rgb="FFFFCCCC"/>
        <bgColor rgb="FFD9D9D9"/>
      </patternFill>
    </fill>
    <fill>
      <patternFill patternType="solid">
        <fgColor theme="4" tint="0.7999"/>
        <bgColor rgb="FFE3E7E9"/>
      </patternFill>
    </fill>
  </fills>
  <borders count="99">
    <border diagonalUp="false" diagonalDown="false">
      <left/>
      <right/>
      <top/>
      <bottom/>
      <diagonal/>
    </border>
    <border diagonalUp="false" diagonalDown="false">
      <left style="thin">
        <color theme="0"/>
      </left>
      <right/>
      <top/>
      <bottom style="thin">
        <color theme="0" tint="-0.35"/>
      </bottom>
      <diagonal/>
    </border>
    <border diagonalUp="false" diagonalDown="false">
      <left style="thin">
        <color theme="0"/>
      </left>
      <right style="thin">
        <color theme="0"/>
      </right>
      <top/>
      <bottom/>
      <diagonal/>
    </border>
    <border diagonalUp="false" diagonalDown="false">
      <left style="thin">
        <color theme="0"/>
      </left>
      <right style="thin">
        <color theme="0"/>
      </right>
      <top style="thin">
        <color theme="0" tint="-0.35"/>
      </top>
      <bottom/>
      <diagonal/>
    </border>
    <border diagonalUp="false" diagonalDown="false">
      <left style="thin">
        <color theme="0"/>
      </left>
      <right/>
      <top style="thin">
        <color theme="0" tint="-0.35"/>
      </top>
      <bottom/>
      <diagonal/>
    </border>
    <border diagonalUp="false" diagonalDown="false">
      <left style="medium">
        <color theme="7"/>
      </left>
      <right style="medium">
        <color theme="7"/>
      </right>
      <top style="medium">
        <color theme="7"/>
      </top>
      <bottom/>
      <diagonal/>
    </border>
    <border diagonalUp="false" diagonalDown="false">
      <left style="thin">
        <color theme="0"/>
      </left>
      <right style="thin">
        <color theme="0"/>
      </right>
      <top/>
      <bottom style="thin">
        <color theme="3"/>
      </bottom>
      <diagonal/>
    </border>
    <border diagonalUp="false" diagonalDown="false">
      <left style="thin">
        <color theme="0"/>
      </left>
      <right/>
      <top/>
      <bottom style="thin">
        <color theme="3"/>
      </bottom>
      <diagonal/>
    </border>
    <border diagonalUp="false" diagonalDown="false">
      <left style="medium">
        <color theme="7"/>
      </left>
      <right style="medium">
        <color theme="7"/>
      </right>
      <top/>
      <bottom style="thin">
        <color theme="3"/>
      </bottom>
      <diagonal/>
    </border>
    <border diagonalUp="false" diagonalDown="false">
      <left style="medium">
        <color theme="7"/>
      </left>
      <right style="medium">
        <color theme="7"/>
      </right>
      <top/>
      <bottom/>
      <diagonal/>
    </border>
    <border diagonalUp="false" diagonalDown="false">
      <left style="thin">
        <color theme="0"/>
      </left>
      <right style="thin">
        <color theme="0"/>
      </right>
      <top/>
      <bottom style="thin">
        <color theme="0"/>
      </bottom>
      <diagonal/>
    </border>
    <border diagonalUp="false" diagonalDown="false">
      <left style="thin">
        <color theme="0"/>
      </left>
      <right style="thin">
        <color theme="0"/>
      </right>
      <top style="thin">
        <color theme="0"/>
      </top>
      <bottom/>
      <diagonal/>
    </border>
    <border diagonalUp="false" diagonalDown="false">
      <left style="thin">
        <color theme="0"/>
      </left>
      <right style="thin">
        <color theme="0"/>
      </right>
      <top style="thin">
        <color rgb="FF0B3041"/>
      </top>
      <bottom style="thin">
        <color rgb="FF0B3041"/>
      </bottom>
      <diagonal/>
    </border>
    <border diagonalUp="false" diagonalDown="false">
      <left style="thin">
        <color theme="0"/>
      </left>
      <right style="thin">
        <color theme="0"/>
      </right>
      <top style="thin">
        <color theme="3"/>
      </top>
      <bottom style="thin">
        <color theme="0"/>
      </bottom>
      <diagonal/>
    </border>
    <border diagonalUp="false" diagonalDown="false">
      <left style="thin">
        <color theme="0"/>
      </left>
      <right/>
      <top/>
      <bottom/>
      <diagonal/>
    </border>
    <border diagonalUp="false" diagonalDown="false">
      <left style="thin">
        <color theme="0"/>
      </left>
      <right style="medium">
        <color theme="0"/>
      </right>
      <top/>
      <bottom style="thin">
        <color theme="0"/>
      </bottom>
      <diagonal/>
    </border>
    <border diagonalUp="false" diagonalDown="false">
      <left style="thin">
        <color theme="0"/>
      </left>
      <right style="medium">
        <color theme="0"/>
      </right>
      <top style="thin">
        <color theme="0"/>
      </top>
      <bottom/>
      <diagonal/>
    </border>
    <border diagonalUp="false" diagonalDown="false">
      <left/>
      <right/>
      <top/>
      <bottom style="thin">
        <color theme="3"/>
      </bottom>
      <diagonal/>
    </border>
    <border diagonalUp="false" diagonalDown="false">
      <left/>
      <right style="thin">
        <color theme="0"/>
      </right>
      <top/>
      <bottom/>
      <diagonal/>
    </border>
    <border diagonalUp="false" diagonalDown="false">
      <left style="thin">
        <color theme="0"/>
      </left>
      <right style="medium">
        <color theme="0"/>
      </right>
      <top/>
      <bottom style="thin">
        <color theme="0" tint="-0.35"/>
      </bottom>
      <diagonal/>
    </border>
    <border diagonalUp="false" diagonalDown="false">
      <left/>
      <right style="thin">
        <color theme="0"/>
      </right>
      <top/>
      <bottom style="thin">
        <color theme="3"/>
      </bottom>
      <diagonal/>
    </border>
    <border diagonalUp="false" diagonalDown="false">
      <left/>
      <right style="thin">
        <color theme="0"/>
      </right>
      <top style="thin">
        <color theme="0"/>
      </top>
      <bottom style="thin">
        <color theme="3"/>
      </bottom>
      <diagonal/>
    </border>
    <border diagonalUp="false" diagonalDown="false">
      <left style="thin">
        <color theme="0"/>
      </left>
      <right style="thin">
        <color theme="0"/>
      </right>
      <top style="thin">
        <color theme="0"/>
      </top>
      <bottom style="thin">
        <color theme="3"/>
      </bottom>
      <diagonal/>
    </border>
    <border diagonalUp="false" diagonalDown="false">
      <left style="thin">
        <color theme="0"/>
      </left>
      <right/>
      <top style="thin">
        <color rgb="FF0B3041"/>
      </top>
      <bottom style="thin">
        <color theme="3"/>
      </bottom>
      <diagonal/>
    </border>
    <border diagonalUp="false" diagonalDown="false">
      <left style="thin">
        <color theme="0"/>
      </left>
      <right/>
      <top style="thin">
        <color theme="0"/>
      </top>
      <bottom style="thin">
        <color theme="0"/>
      </bottom>
      <diagonal/>
    </border>
    <border diagonalUp="false" diagonalDown="false">
      <left style="thin">
        <color theme="0"/>
      </left>
      <right style="thin">
        <color theme="0"/>
      </right>
      <top style="thin">
        <color theme="0"/>
      </top>
      <bottom style="thin">
        <color theme="0"/>
      </bottom>
      <diagonal/>
    </border>
    <border diagonalUp="false" diagonalDown="false">
      <left style="thin">
        <color theme="0"/>
      </left>
      <right/>
      <top style="thin">
        <color theme="0"/>
      </top>
      <bottom/>
      <diagonal/>
    </border>
    <border diagonalUp="false" diagonalDown="false">
      <left/>
      <right/>
      <top/>
      <bottom style="thin">
        <color theme="0"/>
      </bottom>
      <diagonal/>
    </border>
    <border diagonalUp="false" diagonalDown="false">
      <left/>
      <right style="thin">
        <color theme="0"/>
      </right>
      <top/>
      <bottom style="thin">
        <color theme="0"/>
      </bottom>
      <diagonal/>
    </border>
    <border diagonalUp="false" diagonalDown="false">
      <left style="thin">
        <color theme="0"/>
      </left>
      <right style="thin">
        <color theme="0"/>
      </right>
      <top style="thin">
        <color theme="0"/>
      </top>
      <bottom style="thin">
        <color theme="0" tint="-0.35"/>
      </bottom>
      <diagonal/>
    </border>
    <border diagonalUp="false" diagonalDown="false">
      <left/>
      <right/>
      <top style="thin">
        <color theme="3"/>
      </top>
      <bottom style="thin">
        <color theme="3"/>
      </bottom>
      <diagonal/>
    </border>
    <border diagonalUp="false" diagonalDown="false">
      <left/>
      <right/>
      <top style="thin">
        <color theme="3"/>
      </top>
      <bottom/>
      <diagonal/>
    </border>
    <border diagonalUp="false" diagonalDown="false">
      <left style="thin">
        <color theme="0"/>
      </left>
      <right/>
      <top/>
      <bottom style="thin">
        <color theme="0"/>
      </bottom>
      <diagonal/>
    </border>
    <border diagonalUp="false" diagonalDown="false">
      <left/>
      <right style="thin">
        <color theme="0"/>
      </right>
      <top style="thin">
        <color theme="0"/>
      </top>
      <bottom/>
      <diagonal/>
    </border>
    <border diagonalUp="false" diagonalDown="false">
      <left/>
      <right style="thin">
        <color theme="0"/>
      </right>
      <top style="thin">
        <color rgb="FF0B3041"/>
      </top>
      <bottom style="thin">
        <color rgb="FF0B3041"/>
      </bottom>
      <diagonal/>
    </border>
    <border diagonalUp="false" diagonalDown="false">
      <left style="thin">
        <color theme="0"/>
      </left>
      <right style="medium">
        <color theme="0"/>
      </right>
      <top/>
      <bottom/>
      <diagonal/>
    </border>
    <border diagonalUp="false" diagonalDown="false">
      <left/>
      <right style="thin">
        <color theme="0"/>
      </right>
      <top style="thin">
        <color rgb="FF0B3041"/>
      </top>
      <bottom/>
      <diagonal/>
    </border>
    <border diagonalUp="false" diagonalDown="false">
      <left style="medium">
        <color theme="7"/>
      </left>
      <right style="medium">
        <color theme="7"/>
      </right>
      <top style="thin">
        <color theme="3"/>
      </top>
      <bottom style="thin">
        <color theme="3"/>
      </bottom>
      <diagonal/>
    </border>
    <border diagonalUp="false" diagonalDown="false">
      <left style="medium">
        <color theme="7"/>
      </left>
      <right style="medium">
        <color theme="7"/>
      </right>
      <top style="thin">
        <color theme="3"/>
      </top>
      <bottom style="medium">
        <color theme="7"/>
      </bottom>
      <diagonal/>
    </border>
    <border diagonalUp="false" diagonalDown="false">
      <left style="medium">
        <color theme="0"/>
      </left>
      <right style="medium">
        <color theme="0"/>
      </right>
      <top/>
      <bottom style="thin">
        <color theme="0" tint="-0.35"/>
      </bottom>
      <diagonal/>
    </border>
    <border diagonalUp="false" diagonalDown="false">
      <left style="thin">
        <color theme="0"/>
      </left>
      <right style="thin">
        <color theme="0"/>
      </right>
      <top style="thin">
        <color rgb="FF0B3041"/>
      </top>
      <bottom style="medium">
        <color rgb="FF0B3041"/>
      </bottom>
      <diagonal/>
    </border>
    <border diagonalUp="false" diagonalDown="false">
      <left style="thin">
        <color theme="0"/>
      </left>
      <right/>
      <top style="thin">
        <color rgb="FF0B3041"/>
      </top>
      <bottom style="medium">
        <color rgb="FF0B3041"/>
      </bottom>
      <diagonal/>
    </border>
    <border diagonalUp="false" diagonalDown="false">
      <left style="thin">
        <color theme="0"/>
      </left>
      <right style="thin">
        <color theme="0"/>
      </right>
      <top style="medium">
        <color rgb="FF0B3041"/>
      </top>
      <bottom/>
      <diagonal/>
    </border>
    <border diagonalUp="false" diagonalDown="false">
      <left style="thin">
        <color theme="0"/>
      </left>
      <right/>
      <top style="medium">
        <color rgb="FF0B3041"/>
      </top>
      <bottom/>
      <diagonal/>
    </border>
    <border diagonalUp="false" diagonalDown="false">
      <left style="thin">
        <color theme="0"/>
      </left>
      <right style="medium">
        <color theme="0"/>
      </right>
      <top/>
      <bottom style="thin">
        <color rgb="FF0B3041"/>
      </bottom>
      <diagonal/>
    </border>
    <border diagonalUp="false" diagonalDown="false">
      <left style="medium">
        <color theme="0"/>
      </left>
      <right style="medium">
        <color theme="0"/>
      </right>
      <top/>
      <bottom style="thin">
        <color rgb="FF0B3041"/>
      </bottom>
      <diagonal/>
    </border>
    <border diagonalUp="false" diagonalDown="false">
      <left/>
      <right/>
      <top style="thin">
        <color rgb="FF0B3041"/>
      </top>
      <bottom style="medium">
        <color rgb="FF0B3041"/>
      </bottom>
      <diagonal/>
    </border>
    <border diagonalUp="false" diagonalDown="false">
      <left/>
      <right style="medium">
        <color theme="0"/>
      </right>
      <top/>
      <bottom style="thin">
        <color theme="0" tint="-0.35"/>
      </bottom>
      <diagonal/>
    </border>
    <border diagonalUp="false" diagonalDown="false">
      <left style="thin">
        <color theme="0"/>
      </left>
      <right style="medium">
        <color theme="7" tint="-0.5"/>
      </right>
      <top/>
      <bottom style="thin">
        <color theme="0" tint="-0.35"/>
      </bottom>
      <diagonal/>
    </border>
    <border diagonalUp="false" diagonalDown="false">
      <left style="thin">
        <color theme="0" tint="-0.35"/>
      </left>
      <right style="thin">
        <color theme="0" tint="-0.35"/>
      </right>
      <top style="thin">
        <color theme="0" tint="-0.35"/>
      </top>
      <bottom/>
      <diagonal/>
    </border>
    <border diagonalUp="false" diagonalDown="false">
      <left style="thin">
        <color theme="0" tint="-0.35"/>
      </left>
      <right/>
      <top style="thin">
        <color theme="0" tint="-0.35"/>
      </top>
      <bottom/>
      <diagonal/>
    </border>
    <border diagonalUp="false" diagonalDown="false">
      <left style="medium">
        <color theme="7"/>
      </left>
      <right style="medium">
        <color theme="7"/>
      </right>
      <top/>
      <bottom style="medium">
        <color theme="7"/>
      </bottom>
      <diagonal/>
    </border>
    <border diagonalUp="false" diagonalDown="false">
      <left/>
      <right style="medium">
        <color theme="7" tint="-0.5"/>
      </right>
      <top/>
      <bottom style="thin">
        <color theme="0" tint="-0.35"/>
      </bottom>
      <diagonal/>
    </border>
    <border diagonalUp="false" diagonalDown="false">
      <left style="thin">
        <color theme="0"/>
      </left>
      <right style="thin">
        <color theme="0"/>
      </right>
      <top style="thin">
        <color theme="3"/>
      </top>
      <bottom/>
      <diagonal/>
    </border>
    <border diagonalUp="false" diagonalDown="false">
      <left style="thin">
        <color theme="0"/>
      </left>
      <right style="medium">
        <color theme="7"/>
      </right>
      <top style="thin">
        <color theme="3"/>
      </top>
      <bottom/>
      <diagonal/>
    </border>
    <border diagonalUp="false" diagonalDown="false">
      <left style="medium">
        <color theme="7"/>
      </left>
      <right style="medium">
        <color theme="7"/>
      </right>
      <top style="thin">
        <color theme="3"/>
      </top>
      <bottom/>
      <diagonal/>
    </border>
    <border diagonalUp="false" diagonalDown="false">
      <left style="medium">
        <color theme="7"/>
      </left>
      <right style="medium">
        <color theme="7"/>
      </right>
      <top/>
      <bottom style="thin">
        <color theme="0"/>
      </bottom>
      <diagonal/>
    </border>
    <border diagonalUp="false" diagonalDown="false">
      <left/>
      <right/>
      <top style="thin">
        <color theme="0"/>
      </top>
      <bottom/>
      <diagonal/>
    </border>
    <border diagonalUp="false" diagonalDown="false">
      <left style="medium">
        <color theme="7"/>
      </left>
      <right style="medium">
        <color theme="7"/>
      </right>
      <top style="thin">
        <color theme="0"/>
      </top>
      <bottom style="medium">
        <color theme="7"/>
      </bottom>
      <diagonal/>
    </border>
    <border diagonalUp="false" diagonalDown="false">
      <left style="thin">
        <color theme="0"/>
      </left>
      <right/>
      <top style="thin">
        <color rgb="FF0B3041"/>
      </top>
      <bottom/>
      <diagonal/>
    </border>
    <border diagonalUp="false" diagonalDown="false">
      <left style="medium">
        <color theme="7"/>
      </left>
      <right style="thin">
        <color theme="0"/>
      </right>
      <top style="medium">
        <color theme="7"/>
      </top>
      <bottom style="medium">
        <color theme="7"/>
      </bottom>
      <diagonal/>
    </border>
    <border diagonalUp="false" diagonalDown="false">
      <left style="thin">
        <color theme="0"/>
      </left>
      <right style="medium">
        <color theme="7"/>
      </right>
      <top style="medium">
        <color theme="7"/>
      </top>
      <bottom style="medium">
        <color theme="7"/>
      </bottom>
      <diagonal/>
    </border>
    <border diagonalUp="false" diagonalDown="false">
      <left style="medium">
        <color theme="7"/>
      </left>
      <right style="medium">
        <color theme="7"/>
      </right>
      <top style="medium">
        <color theme="7"/>
      </top>
      <bottom style="thin">
        <color theme="0"/>
      </bottom>
      <diagonal/>
    </border>
    <border diagonalUp="false" diagonalDown="false">
      <left/>
      <right style="thin">
        <color theme="0"/>
      </right>
      <top style="thin">
        <color theme="0"/>
      </top>
      <bottom style="thin">
        <color theme="0"/>
      </bottom>
      <diagonal/>
    </border>
    <border diagonalUp="false" diagonalDown="false">
      <left/>
      <right/>
      <top/>
      <bottom style="thin">
        <color rgb="FFBFBFBF"/>
      </bottom>
      <diagonal/>
    </border>
    <border diagonalUp="false" diagonalDown="false">
      <left style="thin">
        <color theme="0"/>
      </left>
      <right style="thin">
        <color theme="0"/>
      </right>
      <top style="thin">
        <color theme="0" tint="-0.35"/>
      </top>
      <bottom style="thin">
        <color rgb="FF0B3041"/>
      </bottom>
      <diagonal/>
    </border>
    <border diagonalUp="false" diagonalDown="false">
      <left style="thin">
        <color theme="0"/>
      </left>
      <right style="thin">
        <color theme="0"/>
      </right>
      <top style="medium">
        <color theme="7"/>
      </top>
      <bottom style="medium">
        <color theme="7"/>
      </bottom>
      <diagonal/>
    </border>
    <border diagonalUp="false" diagonalDown="false">
      <left style="thin">
        <color theme="0"/>
      </left>
      <right style="thin">
        <color theme="0"/>
      </right>
      <top style="medium">
        <color rgb="FF0B3041"/>
      </top>
      <bottom style="thin">
        <color theme="0"/>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style="thin">
        <color theme="0"/>
      </right>
      <top style="thick">
        <color theme="7"/>
      </top>
      <bottom style="thick">
        <color theme="7"/>
      </bottom>
      <diagonal/>
    </border>
    <border diagonalUp="false" diagonalDown="false">
      <left style="thin">
        <color theme="0"/>
      </left>
      <right style="thin">
        <color theme="0"/>
      </right>
      <top style="thick">
        <color theme="7"/>
      </top>
      <bottom style="thick">
        <color theme="7"/>
      </bottom>
      <diagonal/>
    </border>
    <border diagonalUp="false" diagonalDown="false">
      <left/>
      <right/>
      <top style="thick">
        <color theme="7"/>
      </top>
      <bottom/>
      <diagonal/>
    </border>
    <border diagonalUp="false" diagonalDown="false">
      <left/>
      <right/>
      <top style="thin">
        <color theme="0" tint="-0.35"/>
      </top>
      <bottom style="thin">
        <color theme="3"/>
      </bottom>
      <diagonal/>
    </border>
    <border diagonalUp="false" diagonalDown="false">
      <left/>
      <right style="thin">
        <color theme="0"/>
      </right>
      <top style="thin">
        <color theme="0" tint="-0.35"/>
      </top>
      <bottom/>
      <diagonal/>
    </border>
    <border diagonalUp="false" diagonalDown="false">
      <left/>
      <right/>
      <top style="thin"/>
      <bottom style="thin">
        <color theme="3"/>
      </bottom>
      <diagonal/>
    </border>
    <border diagonalUp="false" diagonalDown="false">
      <left style="hair">
        <color theme="0" tint="-0.25"/>
      </left>
      <right style="hair">
        <color theme="0" tint="-0.25"/>
      </right>
      <top style="hair">
        <color theme="0" tint="-0.25"/>
      </top>
      <bottom style="hair">
        <color theme="0" tint="-0.25"/>
      </bottom>
      <diagonal/>
    </border>
    <border diagonalUp="false" diagonalDown="false">
      <left/>
      <right style="thin">
        <color theme="0"/>
      </right>
      <top style="thin">
        <color theme="0" tint="-0.35"/>
      </top>
      <bottom style="thin">
        <color theme="3"/>
      </bottom>
      <diagonal/>
    </border>
    <border diagonalUp="false" diagonalDown="false">
      <left style="thin">
        <color theme="0"/>
      </left>
      <right style="thin">
        <color theme="0"/>
      </right>
      <top style="thin">
        <color theme="0" tint="-0.35"/>
      </top>
      <bottom style="dotted">
        <color theme="3"/>
      </bottom>
      <diagonal/>
    </border>
    <border diagonalUp="false" diagonalDown="false">
      <left style="thin">
        <color theme="0"/>
      </left>
      <right style="thin">
        <color theme="0"/>
      </right>
      <top style="dotted">
        <color theme="3"/>
      </top>
      <bottom style="thin">
        <color theme="3"/>
      </bottom>
      <diagonal/>
    </border>
    <border diagonalUp="false" diagonalDown="false">
      <left style="thin">
        <color theme="0"/>
      </left>
      <right style="thin">
        <color theme="0"/>
      </right>
      <top style="thin">
        <color theme="3"/>
      </top>
      <bottom style="dotted">
        <color theme="3"/>
      </bottom>
      <diagonal/>
    </border>
    <border diagonalUp="false" diagonalDown="false">
      <left style="thin">
        <color theme="0"/>
      </left>
      <right/>
      <top style="thin">
        <color theme="3"/>
      </top>
      <bottom style="dotted">
        <color theme="3"/>
      </bottom>
      <diagonal/>
    </border>
    <border diagonalUp="false" diagonalDown="false">
      <left style="thin">
        <color theme="0"/>
      </left>
      <right/>
      <top style="thin">
        <color theme="0" tint="-0.35"/>
      </top>
      <bottom style="dotted">
        <color theme="3"/>
      </bottom>
      <diagonal/>
    </border>
    <border diagonalUp="false" diagonalDown="false">
      <left style="thick">
        <color theme="7"/>
      </left>
      <right style="thick">
        <color theme="7"/>
      </right>
      <top style="thin">
        <color theme="0" tint="-0.35"/>
      </top>
      <bottom style="dotted">
        <color theme="3"/>
      </bottom>
      <diagonal/>
    </border>
    <border diagonalUp="false" diagonalDown="false">
      <left style="thin">
        <color theme="0"/>
      </left>
      <right style="thick">
        <color theme="7"/>
      </right>
      <top style="dotted">
        <color theme="3"/>
      </top>
      <bottom style="thin">
        <color theme="3"/>
      </bottom>
      <diagonal/>
    </border>
    <border diagonalUp="false" diagonalDown="false">
      <left style="thick">
        <color theme="7"/>
      </left>
      <right style="thick">
        <color theme="7"/>
      </right>
      <top style="dotted">
        <color theme="3"/>
      </top>
      <bottom style="thin">
        <color theme="3"/>
      </bottom>
      <diagonal/>
    </border>
    <border diagonalUp="false" diagonalDown="false">
      <left/>
      <right style="thin">
        <color theme="0"/>
      </right>
      <top style="dotted">
        <color theme="3"/>
      </top>
      <bottom style="thin">
        <color theme="3"/>
      </bottom>
      <diagonal/>
    </border>
    <border diagonalUp="false" diagonalDown="false">
      <left style="thick">
        <color theme="7"/>
      </left>
      <right style="thick">
        <color theme="7"/>
      </right>
      <top style="thin">
        <color theme="3"/>
      </top>
      <bottom style="dotted">
        <color theme="3"/>
      </bottom>
      <diagonal/>
    </border>
    <border diagonalUp="false" diagonalDown="false">
      <left/>
      <right style="thin">
        <color theme="0"/>
      </right>
      <top style="thin">
        <color theme="3"/>
      </top>
      <bottom style="dotted">
        <color theme="3"/>
      </bottom>
      <diagonal/>
    </border>
    <border diagonalUp="false" diagonalDown="false">
      <left style="thick">
        <color theme="7"/>
      </left>
      <right/>
      <top style="dotted">
        <color theme="3"/>
      </top>
      <bottom style="thin">
        <color theme="3"/>
      </bottom>
      <diagonal/>
    </border>
    <border diagonalUp="false" diagonalDown="false">
      <left style="thick">
        <color theme="7"/>
      </left>
      <right style="thin">
        <color theme="0"/>
      </right>
      <top style="dotted">
        <color theme="3"/>
      </top>
      <bottom style="thin">
        <color theme="3"/>
      </bottom>
      <diagonal/>
    </border>
    <border diagonalUp="false" diagonalDown="false">
      <left style="thin">
        <color theme="0"/>
      </left>
      <right style="thick">
        <color theme="7"/>
      </right>
      <top style="thin">
        <color theme="3"/>
      </top>
      <bottom style="dotted">
        <color theme="3"/>
      </bottom>
      <diagonal/>
    </border>
    <border diagonalUp="false" diagonalDown="false">
      <left/>
      <right/>
      <top style="thin">
        <color theme="3"/>
      </top>
      <bottom style="dotted">
        <color theme="3"/>
      </bottom>
      <diagonal/>
    </border>
    <border diagonalUp="false" diagonalDown="false">
      <left style="thick">
        <color theme="7"/>
      </left>
      <right style="thin">
        <color theme="0"/>
      </right>
      <top style="thin">
        <color theme="3"/>
      </top>
      <bottom style="dotted">
        <color theme="3"/>
      </bottom>
      <diagonal/>
    </border>
    <border diagonalUp="false" diagonalDown="false">
      <left/>
      <right/>
      <top style="dotted">
        <color theme="3"/>
      </top>
      <bottom/>
      <diagonal/>
    </border>
    <border diagonalUp="false" diagonalDown="false">
      <left/>
      <right style="thin">
        <color theme="0"/>
      </right>
      <top style="thin">
        <color theme="3"/>
      </top>
      <bottom style="thick">
        <color theme="7"/>
      </bottom>
      <diagonal/>
    </border>
    <border diagonalUp="false" diagonalDown="false">
      <left style="thick">
        <color theme="7"/>
      </left>
      <right style="thin">
        <color theme="0"/>
      </right>
      <top/>
      <bottom/>
      <diagonal/>
    </border>
    <border diagonalUp="false" diagonalDown="false">
      <left style="thin">
        <color theme="0"/>
      </left>
      <right style="thin">
        <color theme="0"/>
      </right>
      <top style="thick">
        <color theme="7"/>
      </top>
      <bottom style="dotted">
        <color theme="3"/>
      </bottom>
      <diagonal/>
    </border>
    <border diagonalUp="false" diagonalDown="false">
      <left style="thin">
        <color theme="0"/>
      </left>
      <right/>
      <top style="thick">
        <color theme="7"/>
      </top>
      <bottom style="dotted">
        <color theme="3"/>
      </bottom>
      <diagonal/>
    </border>
    <border diagonalUp="false" diagonalDown="false">
      <left style="thick">
        <color theme="7"/>
      </left>
      <right/>
      <top/>
      <bottom/>
      <diagonal/>
    </border>
  </borders>
  <cellStyleXfs count="21">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textRotation="0" wrapText="false" indent="0" shrinkToFit="false"/>
      <protection locked="true" hidden="false"/>
    </xf>
  </cellStyleXfs>
  <cellXfs count="638">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false">
      <alignment horizontal="general" vertical="center" textRotation="0" wrapText="false" indent="0" shrinkToFit="false"/>
      <protection locked="true" hidden="false"/>
    </xf>
    <xf numFmtId="164" fontId="0" fillId="3" borderId="0" xfId="0" applyFont="false" applyBorder="false" applyAlignment="true" applyProtection="false">
      <alignment horizontal="general" vertical="center" textRotation="0" wrapText="false" indent="0" shrinkToFit="false"/>
      <protection locked="true" hidden="false"/>
    </xf>
    <xf numFmtId="164" fontId="0" fillId="4" borderId="0" xfId="0" applyFont="false" applyBorder="false" applyAlignment="true" applyProtection="false">
      <alignment horizontal="general" vertical="center" textRotation="0" wrapText="false" indent="0" shrinkToFit="false"/>
      <protection locked="true" hidden="false"/>
    </xf>
    <xf numFmtId="164" fontId="0" fillId="5" borderId="0" xfId="0" applyFont="false" applyBorder="false" applyAlignment="true" applyProtection="false">
      <alignment horizontal="general" vertical="center" textRotation="0" wrapText="false" indent="0" shrinkToFit="false"/>
      <protection locked="true" hidden="false"/>
    </xf>
    <xf numFmtId="164" fontId="0" fillId="6" borderId="0" xfId="0" applyFont="false" applyBorder="false" applyAlignment="true" applyProtection="false">
      <alignment horizontal="general" vertical="center" textRotation="0" wrapText="fals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4" fontId="7" fillId="2" borderId="2" xfId="0" applyFont="true" applyBorder="true" applyAlignment="true" applyProtection="false">
      <alignment horizontal="center" vertical="center" textRotation="0" wrapText="false" indent="0" shrinkToFit="false"/>
      <protection locked="true" hidden="false"/>
    </xf>
    <xf numFmtId="165" fontId="8" fillId="2" borderId="3" xfId="0" applyFont="true" applyBorder="true" applyAlignment="true" applyProtection="false">
      <alignment horizontal="center" vertical="center" textRotation="0" wrapText="false" indent="0" shrinkToFit="false"/>
      <protection locked="true" hidden="false"/>
    </xf>
    <xf numFmtId="164" fontId="7" fillId="2" borderId="4" xfId="0" applyFont="true" applyBorder="true" applyAlignment="true" applyProtection="false">
      <alignment horizontal="center" vertical="center" textRotation="0" wrapText="false" indent="0" shrinkToFit="false"/>
      <protection locked="true" hidden="false"/>
    </xf>
    <xf numFmtId="164" fontId="7" fillId="6" borderId="5" xfId="0" applyFont="true" applyBorder="true" applyAlignment="true" applyProtection="false">
      <alignment horizontal="center" vertical="center" textRotation="0" wrapText="false" indent="0" shrinkToFit="false"/>
      <protection locked="true" hidden="false"/>
    </xf>
    <xf numFmtId="164" fontId="9" fillId="3" borderId="6" xfId="0" applyFont="true" applyBorder="true" applyAlignment="true" applyProtection="false">
      <alignment horizontal="left" vertical="center" textRotation="0" wrapText="false" indent="1" shrinkToFit="false"/>
      <protection locked="true" hidden="false"/>
    </xf>
    <xf numFmtId="166" fontId="10" fillId="3" borderId="7" xfId="0" applyFont="true" applyBorder="true" applyAlignment="true" applyProtection="false">
      <alignment horizontal="right" vertical="center" textRotation="0" wrapText="false" indent="1" shrinkToFit="false"/>
      <protection locked="true" hidden="false"/>
    </xf>
    <xf numFmtId="166" fontId="10" fillId="3" borderId="8" xfId="0" applyFont="true" applyBorder="true" applyAlignment="true" applyProtection="false">
      <alignment horizontal="right" vertical="center" textRotation="0" wrapText="false" indent="1" shrinkToFit="false"/>
      <protection locked="true" hidden="false"/>
    </xf>
    <xf numFmtId="164" fontId="11" fillId="4" borderId="2" xfId="0" applyFont="true" applyBorder="true" applyAlignment="true" applyProtection="false">
      <alignment horizontal="left" vertical="center" textRotation="0" wrapText="false" indent="3" shrinkToFit="false"/>
      <protection locked="true" hidden="false"/>
    </xf>
    <xf numFmtId="166" fontId="12" fillId="0" borderId="0" xfId="0" applyFont="true" applyBorder="false" applyAlignment="true" applyProtection="false">
      <alignment horizontal="right" vertical="center" textRotation="0" wrapText="false" indent="1" shrinkToFit="false"/>
      <protection locked="true" hidden="false"/>
    </xf>
    <xf numFmtId="166" fontId="12" fillId="0" borderId="9" xfId="0" applyFont="true" applyBorder="true" applyAlignment="true" applyProtection="false">
      <alignment horizontal="right" vertical="center" textRotation="0" wrapText="false" indent="1" shrinkToFit="false"/>
      <protection locked="true" hidden="false"/>
    </xf>
    <xf numFmtId="164" fontId="0" fillId="0" borderId="2" xfId="0" applyFont="false" applyBorder="tru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13" fillId="7" borderId="0" xfId="0" applyFont="true" applyBorder="tru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4" fontId="7" fillId="2" borderId="10" xfId="0" applyFont="true" applyBorder="true" applyAlignment="true" applyProtection="false">
      <alignment horizontal="center" vertical="center" textRotation="0" wrapText="false" indent="0" shrinkToFit="false"/>
      <protection locked="true" hidden="false"/>
    </xf>
    <xf numFmtId="164" fontId="7" fillId="2" borderId="11" xfId="0" applyFont="true" applyBorder="true" applyAlignment="true" applyProtection="false">
      <alignment horizontal="center" vertical="center" textRotation="0" wrapText="false" indent="0" shrinkToFit="false"/>
      <protection locked="true" hidden="false"/>
    </xf>
    <xf numFmtId="164" fontId="8" fillId="2" borderId="11" xfId="0" applyFont="true" applyBorder="true" applyAlignment="true" applyProtection="false">
      <alignment horizontal="center" vertical="center" textRotation="0" wrapText="false" indent="0" shrinkToFit="false"/>
      <protection locked="true" hidden="false"/>
    </xf>
    <xf numFmtId="164" fontId="8" fillId="8" borderId="11" xfId="0" applyFont="true" applyBorder="true" applyAlignment="true" applyProtection="false">
      <alignment horizontal="center" vertical="center" textRotation="0" wrapText="true" indent="0" shrinkToFit="false"/>
      <protection locked="true" hidden="false"/>
    </xf>
    <xf numFmtId="165" fontId="10" fillId="3" borderId="6" xfId="0" applyFont="true" applyBorder="true" applyAlignment="true" applyProtection="false">
      <alignment horizontal="right" vertical="center" textRotation="0" wrapText="false" indent="1" shrinkToFit="false"/>
      <protection locked="true" hidden="false"/>
    </xf>
    <xf numFmtId="165" fontId="12" fillId="0" borderId="2" xfId="0" applyFont="true" applyBorder="true" applyAlignment="true" applyProtection="false">
      <alignment horizontal="right" vertical="center" textRotation="0" wrapText="false" indent="1" shrinkToFit="false"/>
      <protection locked="true" hidden="false"/>
    </xf>
    <xf numFmtId="164" fontId="16" fillId="4" borderId="6" xfId="0" applyFont="true" applyBorder="true" applyAlignment="true" applyProtection="false">
      <alignment horizontal="left" vertical="center" textRotation="0" wrapText="false" indent="3" shrinkToFit="false"/>
      <protection locked="true" hidden="false"/>
    </xf>
    <xf numFmtId="165" fontId="12" fillId="0" borderId="6" xfId="0" applyFont="true" applyBorder="true" applyAlignment="true" applyProtection="false">
      <alignment horizontal="right" vertical="center" textRotation="0" wrapText="false" indent="1" shrinkToFit="false"/>
      <protection locked="true" hidden="false"/>
    </xf>
    <xf numFmtId="164" fontId="11" fillId="5" borderId="6" xfId="0" applyFont="true" applyBorder="true" applyAlignment="true" applyProtection="false">
      <alignment horizontal="left" vertical="center" textRotation="0" wrapText="false" indent="2" shrinkToFit="false"/>
      <protection locked="true" hidden="false"/>
    </xf>
    <xf numFmtId="165" fontId="12" fillId="5" borderId="6" xfId="0" applyFont="true" applyBorder="true" applyAlignment="true" applyProtection="false">
      <alignment horizontal="right" vertical="center" textRotation="0" wrapText="false" indent="1" shrinkToFit="false"/>
      <protection locked="true" hidden="false"/>
    </xf>
    <xf numFmtId="166" fontId="12" fillId="5" borderId="6" xfId="0" applyFont="true" applyBorder="true" applyAlignment="true" applyProtection="false">
      <alignment horizontal="right" vertical="center" textRotation="0" wrapText="false" indent="1" shrinkToFit="false"/>
      <protection locked="true" hidden="false"/>
    </xf>
    <xf numFmtId="166" fontId="12" fillId="0" borderId="2" xfId="0" applyFont="true" applyBorder="true" applyAlignment="true" applyProtection="false">
      <alignment horizontal="right" vertical="center" textRotation="0" wrapText="false" indent="1" shrinkToFit="false"/>
      <protection locked="true" hidden="false"/>
    </xf>
    <xf numFmtId="166" fontId="12" fillId="5" borderId="2" xfId="0" applyFont="true" applyBorder="true" applyAlignment="true" applyProtection="false">
      <alignment horizontal="right" vertical="center" textRotation="0" wrapText="false" indent="1" shrinkToFit="false"/>
      <protection locked="true" hidden="false"/>
    </xf>
    <xf numFmtId="166" fontId="12" fillId="0" borderId="6" xfId="0" applyFont="true" applyBorder="true" applyAlignment="true" applyProtection="false">
      <alignment horizontal="right" vertical="center" textRotation="0" wrapText="false" indent="1" shrinkToFit="false"/>
      <protection locked="true" hidden="false"/>
    </xf>
    <xf numFmtId="164" fontId="11" fillId="5" borderId="6" xfId="0" applyFont="true" applyBorder="true" applyAlignment="true" applyProtection="false">
      <alignment horizontal="left" vertical="center" textRotation="0" wrapText="false" indent="1" shrinkToFit="false"/>
      <protection locked="true" hidden="false"/>
    </xf>
    <xf numFmtId="164" fontId="9" fillId="9" borderId="12" xfId="0" applyFont="true" applyBorder="true" applyAlignment="true" applyProtection="false">
      <alignment horizontal="left" vertical="center" textRotation="0" wrapText="false" indent="0" shrinkToFit="false"/>
      <protection locked="true" hidden="false"/>
    </xf>
    <xf numFmtId="166" fontId="10" fillId="9" borderId="12" xfId="0" applyFont="true" applyBorder="true" applyAlignment="true" applyProtection="false">
      <alignment horizontal="right" vertical="center" textRotation="0" wrapText="false" indent="1" shrinkToFit="false"/>
      <protection locked="true" hidden="false"/>
    </xf>
    <xf numFmtId="164" fontId="7" fillId="2" borderId="12" xfId="0" applyFont="true" applyBorder="true" applyAlignment="true" applyProtection="false">
      <alignment horizontal="left" vertical="center" textRotation="0" wrapText="false" indent="1" shrinkToFit="false"/>
      <protection locked="true" hidden="false"/>
    </xf>
    <xf numFmtId="166" fontId="17" fillId="2" borderId="13" xfId="0" applyFont="true" applyBorder="true" applyAlignment="true" applyProtection="false">
      <alignment horizontal="right" vertical="center" textRotation="0" wrapText="false" indent="1" shrinkToFit="false"/>
      <protection locked="true" hidden="false"/>
    </xf>
    <xf numFmtId="166" fontId="0" fillId="0" borderId="0" xfId="0" applyFont="false" applyBorder="false" applyAlignment="true" applyProtection="false">
      <alignment horizontal="general" vertical="center" textRotation="0" wrapText="false" indent="0" shrinkToFit="false"/>
      <protection locked="true" hidden="false"/>
    </xf>
    <xf numFmtId="164" fontId="13" fillId="0" borderId="14" xfId="0" applyFont="true" applyBorder="true" applyAlignment="true" applyProtection="false">
      <alignment horizontal="general" vertical="center" textRotation="0" wrapText="false" indent="0" shrinkToFit="false"/>
      <protection locked="true" hidden="false"/>
    </xf>
    <xf numFmtId="166" fontId="18" fillId="0" borderId="0" xfId="0" applyFont="true" applyBorder="false" applyAlignment="true" applyProtection="false">
      <alignment horizontal="general" vertical="center" textRotation="0" wrapText="false" indent="0" shrinkToFit="false"/>
      <protection locked="true" hidden="false"/>
    </xf>
    <xf numFmtId="164" fontId="0" fillId="0" borderId="14" xfId="0" applyFont="false" applyBorder="true" applyAlignment="true" applyProtection="false">
      <alignment horizontal="general" vertical="center" textRotation="0" wrapText="false" indent="0" shrinkToFit="false"/>
      <protection locked="true" hidden="false"/>
    </xf>
    <xf numFmtId="164" fontId="19" fillId="0" borderId="0" xfId="0" applyFont="true" applyBorder="false" applyAlignment="true" applyProtection="false">
      <alignment horizontal="right" vertical="center" textRotation="0" wrapText="false" indent="0" shrinkToFit="false"/>
      <protection locked="true" hidden="false"/>
    </xf>
    <xf numFmtId="164" fontId="7" fillId="2" borderId="15" xfId="0" applyFont="true" applyBorder="true" applyAlignment="true" applyProtection="false">
      <alignment horizontal="center" vertical="center" textRotation="0" wrapText="false" indent="0" shrinkToFit="false"/>
      <protection locked="true" hidden="false"/>
    </xf>
    <xf numFmtId="164" fontId="8" fillId="8" borderId="16" xfId="0" applyFont="true" applyBorder="true" applyAlignment="true" applyProtection="false">
      <alignment horizontal="center" vertical="center" textRotation="0" wrapText="true" indent="0" shrinkToFit="false"/>
      <protection locked="true" hidden="false"/>
    </xf>
    <xf numFmtId="164" fontId="9" fillId="3" borderId="7" xfId="0" applyFont="true" applyBorder="true" applyAlignment="true" applyProtection="false">
      <alignment horizontal="left" vertical="center" textRotation="0" wrapText="false" indent="1" shrinkToFit="false"/>
      <protection locked="true" hidden="false"/>
    </xf>
    <xf numFmtId="164" fontId="11" fillId="4" borderId="14" xfId="0" applyFont="true" applyBorder="true" applyAlignment="true" applyProtection="false">
      <alignment horizontal="left" vertical="center" textRotation="0" wrapText="false" indent="3" shrinkToFit="false"/>
      <protection locked="true" hidden="false"/>
    </xf>
    <xf numFmtId="166" fontId="12" fillId="0" borderId="14" xfId="0" applyFont="true" applyBorder="true" applyAlignment="true" applyProtection="false">
      <alignment horizontal="right" vertical="center" textRotation="0" wrapText="false" indent="1" shrinkToFit="false"/>
      <protection locked="true" hidden="false"/>
    </xf>
    <xf numFmtId="164" fontId="16" fillId="4" borderId="7" xfId="0" applyFont="true" applyBorder="true" applyAlignment="true" applyProtection="false">
      <alignment horizontal="left" vertical="center" textRotation="0" wrapText="false" indent="3" shrinkToFit="false"/>
      <protection locked="true" hidden="false"/>
    </xf>
    <xf numFmtId="166" fontId="12" fillId="0" borderId="7" xfId="0" applyFont="true" applyBorder="true" applyAlignment="true" applyProtection="false">
      <alignment horizontal="right" vertical="center" textRotation="0" wrapText="false" indent="1" shrinkToFit="false"/>
      <protection locked="true" hidden="false"/>
    </xf>
    <xf numFmtId="166" fontId="12" fillId="0" borderId="17" xfId="0" applyFont="true" applyBorder="true" applyAlignment="true" applyProtection="false">
      <alignment horizontal="right" vertical="center" textRotation="0" wrapText="false" indent="1" shrinkToFit="false"/>
      <protection locked="true" hidden="false"/>
    </xf>
    <xf numFmtId="164" fontId="7" fillId="2" borderId="7" xfId="0" applyFont="true" applyBorder="true" applyAlignment="true" applyProtection="false">
      <alignment horizontal="left" vertical="center" textRotation="0" wrapText="false" indent="1" shrinkToFit="false"/>
      <protection locked="true" hidden="false"/>
    </xf>
    <xf numFmtId="166" fontId="17" fillId="2" borderId="7" xfId="0" applyFont="true" applyBorder="true" applyAlignment="true" applyProtection="false">
      <alignment horizontal="right" vertical="center" textRotation="0" wrapText="false" indent="1" shrinkToFit="false"/>
      <protection locked="true" hidden="false"/>
    </xf>
    <xf numFmtId="166" fontId="17" fillId="2" borderId="17" xfId="0" applyFont="true" applyBorder="true" applyAlignment="true" applyProtection="false">
      <alignment horizontal="right" vertical="center" textRotation="0" wrapText="false" indent="1" shrinkToFit="false"/>
      <protection locked="true" hidden="false"/>
    </xf>
    <xf numFmtId="165" fontId="12" fillId="0" borderId="14" xfId="0" applyFont="true" applyBorder="true" applyAlignment="true" applyProtection="false">
      <alignment horizontal="right" vertical="center" textRotation="0" wrapText="false" indent="1" shrinkToFit="false"/>
      <protection locked="true" hidden="false"/>
    </xf>
    <xf numFmtId="166" fontId="12" fillId="0" borderId="18" xfId="0" applyFont="true" applyBorder="true" applyAlignment="true" applyProtection="false">
      <alignment horizontal="right" vertical="center" textRotation="0" wrapText="false" indent="1" shrinkToFit="false"/>
      <protection locked="true" hidden="false"/>
    </xf>
    <xf numFmtId="164" fontId="7" fillId="2" borderId="19" xfId="0" applyFont="true" applyBorder="true" applyAlignment="true" applyProtection="false">
      <alignment horizontal="center" vertical="center" textRotation="0" wrapText="false" indent="0" shrinkToFit="false"/>
      <protection locked="true" hidden="false"/>
    </xf>
    <xf numFmtId="164" fontId="11" fillId="3" borderId="7" xfId="0" applyFont="true" applyBorder="true" applyAlignment="true" applyProtection="false">
      <alignment horizontal="left" vertical="center" textRotation="0" wrapText="false" indent="1" shrinkToFit="false"/>
      <protection locked="true" hidden="false"/>
    </xf>
    <xf numFmtId="166" fontId="12" fillId="3" borderId="20" xfId="0" applyFont="true" applyBorder="true" applyAlignment="true" applyProtection="false">
      <alignment horizontal="right" vertical="center" textRotation="0" wrapText="false" indent="1" shrinkToFit="false"/>
      <protection locked="true" hidden="false"/>
    </xf>
    <xf numFmtId="166" fontId="12" fillId="0" borderId="20" xfId="0" applyFont="true" applyBorder="true" applyAlignment="true" applyProtection="false">
      <alignment horizontal="right" vertical="center" textRotation="0" wrapText="false" indent="1" shrinkToFit="false"/>
      <protection locked="true" hidden="false"/>
    </xf>
    <xf numFmtId="164" fontId="20" fillId="4" borderId="0" xfId="0" applyFont="true" applyBorder="false" applyAlignment="true" applyProtection="false">
      <alignment horizontal="left" vertical="center" textRotation="0" wrapText="false" indent="3" shrinkToFit="false"/>
      <protection locked="true" hidden="false"/>
    </xf>
    <xf numFmtId="166" fontId="12" fillId="0" borderId="21" xfId="0" applyFont="true" applyBorder="true" applyAlignment="true" applyProtection="false">
      <alignment horizontal="right" vertical="center" textRotation="0" wrapText="false" indent="1" shrinkToFit="false"/>
      <protection locked="true" hidden="false"/>
    </xf>
    <xf numFmtId="166" fontId="12" fillId="0" borderId="22" xfId="0" applyFont="true" applyBorder="true" applyAlignment="true" applyProtection="false">
      <alignment horizontal="right" vertical="center" textRotation="0" wrapText="false" indent="1" shrinkToFit="false"/>
      <protection locked="true" hidden="false"/>
    </xf>
    <xf numFmtId="164" fontId="11" fillId="3" borderId="23" xfId="0" applyFont="true" applyBorder="true" applyAlignment="true" applyProtection="false">
      <alignment horizontal="left" vertical="center" textRotation="0" wrapText="false" indent="1" shrinkToFit="false"/>
      <protection locked="true" hidden="false"/>
    </xf>
    <xf numFmtId="164" fontId="11" fillId="3" borderId="14" xfId="0" applyFont="true" applyBorder="true" applyAlignment="true" applyProtection="false">
      <alignment horizontal="left" vertical="center" textRotation="0" wrapText="false" indent="1" shrinkToFit="false"/>
      <protection locked="true" hidden="false"/>
    </xf>
    <xf numFmtId="166" fontId="12" fillId="3" borderId="18" xfId="0" applyFont="true" applyBorder="true" applyAlignment="true" applyProtection="false">
      <alignment horizontal="right" vertical="center" textRotation="0" wrapText="false" indent="1" shrinkToFit="false"/>
      <protection locked="true" hidden="false"/>
    </xf>
    <xf numFmtId="166" fontId="12" fillId="3" borderId="2" xfId="0" applyFont="true" applyBorder="true" applyAlignment="true" applyProtection="false">
      <alignment horizontal="right" vertical="center" textRotation="0" wrapText="false" indent="1" shrinkToFit="false"/>
      <protection locked="true" hidden="false"/>
    </xf>
    <xf numFmtId="164" fontId="7" fillId="2" borderId="24" xfId="0" applyFont="true" applyBorder="true" applyAlignment="true" applyProtection="false">
      <alignment horizontal="left" vertical="center" textRotation="0" wrapText="false" indent="1" shrinkToFit="false"/>
      <protection locked="true" hidden="false"/>
    </xf>
    <xf numFmtId="166" fontId="17" fillId="2" borderId="25" xfId="0" applyFont="true" applyBorder="true" applyAlignment="true" applyProtection="false">
      <alignment horizontal="right" vertical="center" textRotation="0" wrapText="false" indent="1" shrinkToFit="false"/>
      <protection locked="true" hidden="false"/>
    </xf>
    <xf numFmtId="164" fontId="7" fillId="2" borderId="26" xfId="0" applyFont="true" applyBorder="true" applyAlignment="true" applyProtection="false">
      <alignment horizontal="left" vertical="center" textRotation="0" wrapText="false" indent="1" shrinkToFit="false"/>
      <protection locked="true" hidden="false"/>
    </xf>
    <xf numFmtId="166" fontId="17" fillId="2" borderId="11" xfId="0" applyFont="true" applyBorder="true" applyAlignment="true" applyProtection="false">
      <alignment horizontal="right" vertical="center" textRotation="0" wrapText="false" indent="1" shrinkToFit="false"/>
      <protection locked="true" hidden="false"/>
    </xf>
    <xf numFmtId="166" fontId="0" fillId="0" borderId="14" xfId="0" applyFont="false" applyBorder="true" applyAlignment="true" applyProtection="false">
      <alignment horizontal="general" vertical="center" textRotation="0" wrapText="false" indent="0" shrinkToFit="false"/>
      <protection locked="true" hidden="false"/>
    </xf>
    <xf numFmtId="166" fontId="14" fillId="0" borderId="14" xfId="0" applyFont="true" applyBorder="true" applyAlignment="true" applyProtection="false">
      <alignment horizontal="general" vertical="center" textRotation="0" wrapText="false" indent="0" shrinkToFit="false"/>
      <protection locked="true" hidden="false"/>
    </xf>
    <xf numFmtId="164" fontId="0" fillId="0" borderId="18" xfId="0" applyFont="false" applyBorder="true" applyAlignment="true" applyProtection="false">
      <alignment horizontal="general" vertical="center" textRotation="0" wrapText="false" indent="0" shrinkToFit="false"/>
      <protection locked="true" hidden="false"/>
    </xf>
    <xf numFmtId="164" fontId="8" fillId="2" borderId="0" xfId="0" applyFont="true" applyBorder="true" applyAlignment="true" applyProtection="false">
      <alignment horizontal="center" vertical="center" textRotation="0" wrapText="false" indent="0" shrinkToFit="false"/>
      <protection locked="true" hidden="false"/>
    </xf>
    <xf numFmtId="164" fontId="8" fillId="2" borderId="10" xfId="0" applyFont="true" applyBorder="true" applyAlignment="true" applyProtection="false">
      <alignment horizontal="center" vertical="center" textRotation="0" wrapText="false" indent="0" shrinkToFit="false"/>
      <protection locked="true" hidden="false"/>
    </xf>
    <xf numFmtId="164" fontId="8" fillId="2" borderId="27" xfId="0" applyFont="true" applyBorder="true" applyAlignment="true" applyProtection="false">
      <alignment horizontal="center" vertical="center" textRotation="0" wrapText="false" indent="0" shrinkToFit="false"/>
      <protection locked="true" hidden="false"/>
    </xf>
    <xf numFmtId="164" fontId="8" fillId="2" borderId="28" xfId="0" applyFont="true" applyBorder="true" applyAlignment="true" applyProtection="false">
      <alignment horizontal="center" vertical="center" textRotation="0" wrapText="true" indent="0" shrinkToFit="false"/>
      <protection locked="true" hidden="false"/>
    </xf>
    <xf numFmtId="164" fontId="7" fillId="2" borderId="29" xfId="0" applyFont="true" applyBorder="true" applyAlignment="true" applyProtection="false">
      <alignment horizontal="center" vertical="center" textRotation="0" wrapText="false" indent="0" shrinkToFit="false"/>
      <protection locked="true" hidden="false"/>
    </xf>
    <xf numFmtId="164" fontId="7" fillId="2" borderId="18" xfId="0" applyFont="true" applyBorder="true" applyAlignment="true" applyProtection="false">
      <alignment horizontal="center" vertical="center" textRotation="0" wrapText="false" indent="0" shrinkToFit="false"/>
      <protection locked="true" hidden="false"/>
    </xf>
    <xf numFmtId="164" fontId="7" fillId="8" borderId="29" xfId="0" applyFont="true" applyBorder="true" applyAlignment="true" applyProtection="false">
      <alignment horizontal="center" vertical="center" textRotation="0" wrapText="false" indent="0" shrinkToFit="false"/>
      <protection locked="true" hidden="false"/>
    </xf>
    <xf numFmtId="164" fontId="7" fillId="8" borderId="18" xfId="0" applyFont="true" applyBorder="true" applyAlignment="true" applyProtection="false">
      <alignment horizontal="center" vertical="center" textRotation="0" wrapText="false" indent="0" shrinkToFit="false"/>
      <protection locked="true" hidden="false"/>
    </xf>
    <xf numFmtId="164" fontId="11" fillId="4" borderId="4" xfId="0" applyFont="true" applyBorder="true" applyAlignment="true" applyProtection="false">
      <alignment horizontal="left" vertical="center" textRotation="0" wrapText="false" indent="2" shrinkToFit="false"/>
      <protection locked="true" hidden="false"/>
    </xf>
    <xf numFmtId="166" fontId="12" fillId="0" borderId="3" xfId="0" applyFont="true" applyBorder="true" applyAlignment="true" applyProtection="false">
      <alignment horizontal="right" vertical="center" textRotation="0" wrapText="false" indent="1" shrinkToFit="false"/>
      <protection locked="true" hidden="false"/>
    </xf>
    <xf numFmtId="167" fontId="12" fillId="0" borderId="2" xfId="0" applyFont="true" applyBorder="true" applyAlignment="true" applyProtection="false">
      <alignment horizontal="right" vertical="center" textRotation="0" wrapText="false" indent="1" shrinkToFit="false"/>
      <protection locked="true" hidden="false"/>
    </xf>
    <xf numFmtId="164" fontId="11" fillId="4" borderId="0" xfId="0" applyFont="true" applyBorder="false" applyAlignment="true" applyProtection="false">
      <alignment horizontal="left" vertical="center" textRotation="0" wrapText="false" indent="2" shrinkToFit="false"/>
      <protection locked="true" hidden="false"/>
    </xf>
    <xf numFmtId="164" fontId="16" fillId="4" borderId="17" xfId="0" applyFont="true" applyBorder="true" applyAlignment="true" applyProtection="false">
      <alignment horizontal="left" vertical="center" textRotation="0" wrapText="false" indent="2" shrinkToFit="false"/>
      <protection locked="true" hidden="false"/>
    </xf>
    <xf numFmtId="167" fontId="12" fillId="0" borderId="6" xfId="0" applyFont="true" applyBorder="true" applyAlignment="true" applyProtection="false">
      <alignment horizontal="right" vertical="center" textRotation="0" wrapText="false" indent="1" shrinkToFit="false"/>
      <protection locked="true" hidden="false"/>
    </xf>
    <xf numFmtId="164" fontId="9" fillId="3" borderId="30" xfId="0" applyFont="true" applyBorder="true" applyAlignment="true" applyProtection="false">
      <alignment horizontal="left" vertical="center" textRotation="0" wrapText="false" indent="1" shrinkToFit="false"/>
      <protection locked="true" hidden="false"/>
    </xf>
    <xf numFmtId="166" fontId="10" fillId="3" borderId="6" xfId="0" applyFont="true" applyBorder="true" applyAlignment="true" applyProtection="false">
      <alignment horizontal="right" vertical="center" textRotation="0" wrapText="false" indent="1" shrinkToFit="false"/>
      <protection locked="true" hidden="false"/>
    </xf>
    <xf numFmtId="167" fontId="10" fillId="3" borderId="6" xfId="0" applyFont="true" applyBorder="true" applyAlignment="true" applyProtection="false">
      <alignment horizontal="right" vertical="center" textRotation="0" wrapText="false" indent="1" shrinkToFit="false"/>
      <protection locked="true" hidden="false"/>
    </xf>
    <xf numFmtId="164" fontId="11" fillId="4" borderId="31" xfId="0" applyFont="true" applyBorder="true" applyAlignment="true" applyProtection="false">
      <alignment horizontal="left" vertical="center" textRotation="0" wrapText="false" indent="2" shrinkToFit="false"/>
      <protection locked="true" hidden="false"/>
    </xf>
    <xf numFmtId="164" fontId="9" fillId="4" borderId="30" xfId="0" applyFont="true" applyBorder="true" applyAlignment="true" applyProtection="false">
      <alignment horizontal="left" vertical="center" textRotation="0" wrapText="false" indent="2" shrinkToFit="false"/>
      <protection locked="true" hidden="false"/>
    </xf>
    <xf numFmtId="166" fontId="10" fillId="0" borderId="12" xfId="0" applyFont="true" applyBorder="true" applyAlignment="true" applyProtection="false">
      <alignment horizontal="right" vertical="center" textRotation="0" wrapText="false" indent="1" shrinkToFit="false"/>
      <protection locked="true" hidden="false"/>
    </xf>
    <xf numFmtId="167" fontId="10" fillId="0" borderId="12" xfId="0" applyFont="true" applyBorder="true" applyAlignment="true" applyProtection="false">
      <alignment horizontal="right" vertical="center" textRotation="0" wrapText="false" indent="1" shrinkToFit="false"/>
      <protection locked="true" hidden="false"/>
    </xf>
    <xf numFmtId="166" fontId="10" fillId="0" borderId="6" xfId="0" applyFont="true" applyBorder="true" applyAlignment="true" applyProtection="false">
      <alignment horizontal="right" vertical="center" textRotation="0" wrapText="false" indent="1" shrinkToFit="false"/>
      <protection locked="true" hidden="false"/>
    </xf>
    <xf numFmtId="167" fontId="10" fillId="0" borderId="6" xfId="0" applyFont="true" applyBorder="true" applyAlignment="true" applyProtection="false">
      <alignment horizontal="right" vertical="center" textRotation="0" wrapText="false" indent="1" shrinkToFit="false"/>
      <protection locked="true" hidden="false"/>
    </xf>
    <xf numFmtId="164" fontId="11" fillId="4" borderId="31" xfId="0" applyFont="true" applyBorder="true" applyAlignment="true" applyProtection="false">
      <alignment horizontal="left" vertical="center" textRotation="0" wrapText="false" indent="3" shrinkToFit="false"/>
      <protection locked="true" hidden="false"/>
    </xf>
    <xf numFmtId="164" fontId="11" fillId="4" borderId="0" xfId="0" applyFont="true" applyBorder="false" applyAlignment="true" applyProtection="false">
      <alignment horizontal="left" vertical="center" textRotation="0" wrapText="false" indent="3" shrinkToFit="false"/>
      <protection locked="true" hidden="false"/>
    </xf>
    <xf numFmtId="164" fontId="16" fillId="4" borderId="17" xfId="0" applyFont="true" applyBorder="true" applyAlignment="true" applyProtection="false">
      <alignment horizontal="left" vertical="center" textRotation="0" wrapText="false" indent="3" shrinkToFit="false"/>
      <protection locked="true" hidden="false"/>
    </xf>
    <xf numFmtId="164" fontId="21" fillId="4" borderId="17" xfId="0" applyFont="true" applyBorder="true" applyAlignment="true" applyProtection="false">
      <alignment horizontal="left" vertical="center" textRotation="0" wrapText="false" indent="1" shrinkToFit="false"/>
      <protection locked="true" hidden="false"/>
    </xf>
    <xf numFmtId="167" fontId="0" fillId="0" borderId="0" xfId="0" applyFont="false" applyBorder="false" applyAlignment="true" applyProtection="false">
      <alignment horizontal="general" vertical="center" textRotation="0" wrapText="false" indent="0" shrinkToFit="false"/>
      <protection locked="true" hidden="false"/>
    </xf>
    <xf numFmtId="167" fontId="0" fillId="0" borderId="14" xfId="0" applyFont="false" applyBorder="true" applyAlignment="true" applyProtection="false">
      <alignment horizontal="general" vertical="center"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7" fontId="0" fillId="0" borderId="18" xfId="0" applyFont="false" applyBorder="true" applyAlignment="true" applyProtection="false">
      <alignment horizontal="general" vertical="center" textRotation="0" wrapText="false" indent="0" shrinkToFit="false"/>
      <protection locked="true" hidden="false"/>
    </xf>
    <xf numFmtId="164" fontId="7" fillId="2" borderId="32" xfId="0" applyFont="true" applyBorder="true" applyAlignment="true" applyProtection="false">
      <alignment horizontal="center" vertical="center" textRotation="0" wrapText="false" indent="0" shrinkToFit="false"/>
      <protection locked="true" hidden="false"/>
    </xf>
    <xf numFmtId="164" fontId="8" fillId="8" borderId="10" xfId="0" applyFont="true" applyBorder="true" applyAlignment="true" applyProtection="false">
      <alignment horizontal="center" vertical="center" textRotation="0" wrapText="true" indent="0" shrinkToFit="false"/>
      <protection locked="true" hidden="false"/>
    </xf>
    <xf numFmtId="164" fontId="7" fillId="2" borderId="25" xfId="0" applyFont="true" applyBorder="true" applyAlignment="true" applyProtection="false">
      <alignment horizontal="center" vertical="center" textRotation="0" wrapText="false" indent="0" shrinkToFit="false"/>
      <protection locked="true" hidden="false"/>
    </xf>
    <xf numFmtId="167" fontId="7" fillId="2" borderId="28" xfId="0" applyFont="true" applyBorder="true" applyAlignment="true" applyProtection="false">
      <alignment horizontal="center" vertical="center" textRotation="0" wrapText="false" indent="0" shrinkToFit="false"/>
      <protection locked="true" hidden="false"/>
    </xf>
    <xf numFmtId="167" fontId="7" fillId="2" borderId="25" xfId="0" applyFont="true" applyBorder="true" applyAlignment="true" applyProtection="false">
      <alignment horizontal="center" vertical="center" textRotation="0" wrapText="false" indent="0" shrinkToFit="false"/>
      <protection locked="true" hidden="false"/>
    </xf>
    <xf numFmtId="164" fontId="7" fillId="8" borderId="25" xfId="0" applyFont="true" applyBorder="true" applyAlignment="true" applyProtection="false">
      <alignment horizontal="center" vertical="center" textRotation="0" wrapText="false" indent="0" shrinkToFit="false"/>
      <protection locked="true" hidden="false"/>
    </xf>
    <xf numFmtId="167" fontId="7" fillId="8" borderId="28" xfId="0" applyFont="true" applyBorder="true" applyAlignment="true" applyProtection="false">
      <alignment horizontal="center" vertical="center" textRotation="0" wrapText="false" indent="0" shrinkToFit="false"/>
      <protection locked="true" hidden="false"/>
    </xf>
    <xf numFmtId="165" fontId="23" fillId="5" borderId="18" xfId="0" applyFont="true" applyBorder="true" applyAlignment="true" applyProtection="false">
      <alignment horizontal="left" vertical="center" textRotation="0" wrapText="false" indent="1" shrinkToFit="false"/>
      <protection locked="true" hidden="false"/>
    </xf>
    <xf numFmtId="164" fontId="11" fillId="10" borderId="26" xfId="0" applyFont="true" applyBorder="true" applyAlignment="true" applyProtection="false">
      <alignment horizontal="left" vertical="center" textRotation="0" wrapText="false" indent="2" shrinkToFit="false"/>
      <protection locked="true" hidden="false"/>
    </xf>
    <xf numFmtId="166" fontId="12" fillId="10" borderId="33" xfId="0" applyFont="true" applyBorder="true" applyAlignment="true" applyProtection="false">
      <alignment horizontal="right" vertical="center" textRotation="0" wrapText="false" indent="1" shrinkToFit="false"/>
      <protection locked="true" hidden="false"/>
    </xf>
    <xf numFmtId="167" fontId="12" fillId="10" borderId="11" xfId="0" applyFont="true" applyBorder="true" applyAlignment="true" applyProtection="false">
      <alignment horizontal="right" vertical="center" textRotation="0" wrapText="false" indent="1" shrinkToFit="false"/>
      <protection locked="true" hidden="false"/>
    </xf>
    <xf numFmtId="166" fontId="12" fillId="10" borderId="11" xfId="0" applyFont="true" applyBorder="true" applyAlignment="true" applyProtection="false">
      <alignment horizontal="right" vertical="center" textRotation="0" wrapText="false" indent="1" shrinkToFit="false"/>
      <protection locked="true" hidden="false"/>
    </xf>
    <xf numFmtId="164" fontId="11" fillId="4" borderId="14" xfId="0" applyFont="true" applyBorder="true" applyAlignment="true" applyProtection="false">
      <alignment horizontal="left" vertical="center" textRotation="0" wrapText="false" indent="2" shrinkToFit="false"/>
      <protection locked="true" hidden="false"/>
    </xf>
    <xf numFmtId="164" fontId="9" fillId="3" borderId="30" xfId="0" applyFont="true" applyBorder="true" applyAlignment="true" applyProtection="false">
      <alignment horizontal="left" vertical="center" textRotation="0" wrapText="false" indent="3" shrinkToFit="false"/>
      <protection locked="true" hidden="false"/>
    </xf>
    <xf numFmtId="166" fontId="10" fillId="3" borderId="20" xfId="0" applyFont="true" applyBorder="true" applyAlignment="true" applyProtection="false">
      <alignment horizontal="right" vertical="center" textRotation="0" wrapText="false" indent="1" shrinkToFit="false"/>
      <protection locked="true" hidden="false"/>
    </xf>
    <xf numFmtId="164" fontId="9" fillId="3" borderId="30" xfId="0" applyFont="true" applyBorder="true" applyAlignment="true" applyProtection="false">
      <alignment horizontal="left" vertical="center" textRotation="0" wrapText="false" indent="2" shrinkToFit="false"/>
      <protection locked="true" hidden="false"/>
    </xf>
    <xf numFmtId="164" fontId="11" fillId="0" borderId="30" xfId="0" applyFont="true" applyBorder="true" applyAlignment="true" applyProtection="false">
      <alignment horizontal="left" vertical="center" textRotation="0" wrapText="false" indent="2" shrinkToFit="false"/>
      <protection locked="true" hidden="false"/>
    </xf>
    <xf numFmtId="164" fontId="25" fillId="0" borderId="30" xfId="0" applyFont="true" applyBorder="true" applyAlignment="true" applyProtection="false">
      <alignment horizontal="left" vertical="center" textRotation="0" wrapText="false" indent="2" shrinkToFit="false"/>
      <protection locked="true" hidden="false"/>
    </xf>
    <xf numFmtId="166" fontId="26" fillId="0" borderId="20" xfId="0" applyFont="true" applyBorder="true" applyAlignment="true" applyProtection="false">
      <alignment horizontal="right" vertical="center" textRotation="0" wrapText="false" indent="1" shrinkToFit="false"/>
      <protection locked="true" hidden="false"/>
    </xf>
    <xf numFmtId="167" fontId="26" fillId="0" borderId="6" xfId="0" applyFont="true" applyBorder="true" applyAlignment="true" applyProtection="false">
      <alignment horizontal="right" vertical="center" textRotation="0" wrapText="false" indent="1" shrinkToFit="false"/>
      <protection locked="true" hidden="false"/>
    </xf>
    <xf numFmtId="166" fontId="26" fillId="0" borderId="6" xfId="0" applyFont="true" applyBorder="true" applyAlignment="true" applyProtection="false">
      <alignment horizontal="right" vertical="center" textRotation="0" wrapText="false" indent="1" shrinkToFit="false"/>
      <protection locked="true" hidden="false"/>
    </xf>
    <xf numFmtId="166" fontId="0" fillId="0" borderId="18" xfId="0" applyFont="false" applyBorder="true" applyAlignment="true" applyProtection="false">
      <alignment horizontal="general" vertical="center" textRotation="0" wrapText="false" indent="0" shrinkToFit="false"/>
      <protection locked="true" hidden="false"/>
    </xf>
    <xf numFmtId="167" fontId="0" fillId="0" borderId="2" xfId="0" applyFont="false" applyBorder="true" applyAlignment="true" applyProtection="false">
      <alignment horizontal="general" vertical="center" textRotation="0" wrapText="false" indent="0" shrinkToFit="false"/>
      <protection locked="true" hidden="false"/>
    </xf>
    <xf numFmtId="166" fontId="0" fillId="0" borderId="2" xfId="0" applyFont="false" applyBorder="true" applyAlignment="true" applyProtection="false">
      <alignment horizontal="general" vertical="center" textRotation="0" wrapText="false" indent="0" shrinkToFit="false"/>
      <protection locked="true" hidden="false"/>
    </xf>
    <xf numFmtId="164" fontId="7" fillId="2" borderId="14" xfId="0" applyFont="true" applyBorder="true" applyAlignment="true" applyProtection="false">
      <alignment horizontal="center" vertical="center" textRotation="0" wrapText="false" indent="0" shrinkToFit="false"/>
      <protection locked="true" hidden="false"/>
    </xf>
    <xf numFmtId="164" fontId="7" fillId="8" borderId="11" xfId="0" applyFont="true" applyBorder="true" applyAlignment="true" applyProtection="false">
      <alignment horizontal="center" vertical="center" textRotation="0" wrapText="false" indent="0" shrinkToFit="false"/>
      <protection locked="true" hidden="false"/>
    </xf>
    <xf numFmtId="164" fontId="9" fillId="3" borderId="30" xfId="0" applyFont="true" applyBorder="true" applyAlignment="true" applyProtection="false">
      <alignment horizontal="left" vertical="center" textRotation="0" wrapText="false" indent="0" shrinkToFit="false"/>
      <protection locked="true" hidden="false"/>
    </xf>
    <xf numFmtId="166" fontId="10" fillId="3" borderId="34" xfId="0" applyFont="true" applyBorder="true" applyAlignment="true" applyProtection="false">
      <alignment horizontal="right" vertical="center" textRotation="0" wrapText="false" indent="1" shrinkToFit="false"/>
      <protection locked="true" hidden="false"/>
    </xf>
    <xf numFmtId="167" fontId="12" fillId="3" borderId="12" xfId="0" applyFont="true" applyBorder="true" applyAlignment="true" applyProtection="false">
      <alignment horizontal="right" vertical="center" textRotation="0" wrapText="false" indent="1" shrinkToFit="false"/>
      <protection locked="true" hidden="false"/>
    </xf>
    <xf numFmtId="166" fontId="10" fillId="3" borderId="12" xfId="0" applyFont="true" applyBorder="true" applyAlignment="true" applyProtection="false">
      <alignment horizontal="right" vertical="center" textRotation="0" wrapText="false" indent="1"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8" fontId="32" fillId="0" borderId="0" xfId="0" applyFont="true" applyBorder="false" applyAlignment="tru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general" vertical="bottom" textRotation="0" wrapText="false" indent="0" shrinkToFit="false"/>
      <protection locked="true" hidden="false"/>
    </xf>
    <xf numFmtId="168" fontId="35" fillId="0" borderId="0" xfId="0" applyFont="true" applyBorder="false" applyAlignment="true" applyProtection="false">
      <alignment horizontal="general" vertical="bottom" textRotation="0" wrapText="false" indent="0" shrinkToFit="false"/>
      <protection locked="true" hidden="false"/>
    </xf>
    <xf numFmtId="164" fontId="13" fillId="5" borderId="0" xfId="0" applyFont="true" applyBorder="false" applyAlignment="true" applyProtection="false">
      <alignment horizontal="general" vertical="center" textRotation="0" wrapText="false" indent="0" shrinkToFit="false"/>
      <protection locked="true" hidden="false"/>
    </xf>
    <xf numFmtId="164" fontId="8" fillId="2" borderId="35" xfId="0" applyFont="true" applyBorder="true" applyAlignment="true" applyProtection="false">
      <alignment horizontal="general" vertical="center" textRotation="0" wrapText="false" indent="0" shrinkToFit="false"/>
      <protection locked="true" hidden="false"/>
    </xf>
    <xf numFmtId="164" fontId="8" fillId="2" borderId="3" xfId="0" applyFont="true" applyBorder="true" applyAlignment="true" applyProtection="false">
      <alignment horizontal="center" vertical="center" textRotation="0" wrapText="false" indent="0" shrinkToFit="false"/>
      <protection locked="true" hidden="false"/>
    </xf>
    <xf numFmtId="164" fontId="8" fillId="2" borderId="36" xfId="0" applyFont="true" applyBorder="true" applyAlignment="true" applyProtection="false">
      <alignment horizontal="center" vertical="center" textRotation="0" wrapText="false" indent="0" shrinkToFit="false"/>
      <protection locked="true" hidden="false"/>
    </xf>
    <xf numFmtId="164" fontId="11" fillId="4" borderId="34" xfId="0" applyFont="true" applyBorder="true" applyAlignment="true" applyProtection="false">
      <alignment horizontal="left" vertical="center" textRotation="0" wrapText="false" indent="1" shrinkToFit="false"/>
      <protection locked="true" hidden="false"/>
    </xf>
    <xf numFmtId="165" fontId="12" fillId="0" borderId="12" xfId="0" applyFont="true" applyBorder="true" applyAlignment="true" applyProtection="false">
      <alignment horizontal="right" vertical="center" textRotation="0" wrapText="false" indent="1" shrinkToFit="false"/>
      <protection locked="true" hidden="false"/>
    </xf>
    <xf numFmtId="165" fontId="12" fillId="0" borderId="34" xfId="0" applyFont="true" applyBorder="true" applyAlignment="true" applyProtection="false">
      <alignment horizontal="right" vertical="center" textRotation="0" wrapText="false" indent="1" shrinkToFit="false"/>
      <protection locked="true" hidden="false"/>
    </xf>
    <xf numFmtId="165" fontId="36" fillId="0" borderId="12" xfId="0" applyFont="true" applyBorder="true" applyAlignment="true" applyProtection="false">
      <alignment horizontal="right" vertical="center" textRotation="0" wrapText="false" indent="1" shrinkToFit="false"/>
      <protection locked="true" hidden="false"/>
    </xf>
    <xf numFmtId="164" fontId="11" fillId="4" borderId="12" xfId="0" applyFont="true" applyBorder="true" applyAlignment="true" applyProtection="false">
      <alignment horizontal="left" vertical="center" textRotation="0" wrapText="false" indent="1" shrinkToFit="false"/>
      <protection locked="true" hidden="false"/>
    </xf>
    <xf numFmtId="166" fontId="32" fillId="0" borderId="0" xfId="0" applyFont="true" applyBorder="false" applyAlignment="true" applyProtection="false">
      <alignment horizontal="right" vertical="center" textRotation="0" wrapText="false" indent="1" shrinkToFit="false"/>
      <protection locked="true" hidden="false"/>
    </xf>
    <xf numFmtId="166" fontId="10" fillId="3" borderId="37" xfId="0" applyFont="true" applyBorder="true" applyAlignment="true" applyProtection="false">
      <alignment horizontal="right" vertical="center" textRotation="0" wrapText="false" indent="1" shrinkToFit="false"/>
      <protection locked="true" hidden="false"/>
    </xf>
    <xf numFmtId="166" fontId="12" fillId="5" borderId="8" xfId="0" applyFont="true" applyBorder="true" applyAlignment="true" applyProtection="false">
      <alignment horizontal="right" vertical="center" textRotation="0" wrapText="false" indent="1" shrinkToFit="false"/>
      <protection locked="true" hidden="false"/>
    </xf>
    <xf numFmtId="166" fontId="12" fillId="5" borderId="12" xfId="0" applyFont="true" applyBorder="true" applyAlignment="true" applyProtection="false">
      <alignment horizontal="right" vertical="center" textRotation="0" wrapText="false" indent="1" shrinkToFit="false"/>
      <protection locked="true" hidden="false"/>
    </xf>
    <xf numFmtId="166" fontId="12" fillId="5" borderId="23" xfId="0" applyFont="true" applyBorder="true" applyAlignment="true" applyProtection="false">
      <alignment horizontal="right" vertical="center" textRotation="0" wrapText="false" indent="1" shrinkToFit="false"/>
      <protection locked="true" hidden="false"/>
    </xf>
    <xf numFmtId="166" fontId="12" fillId="5" borderId="37" xfId="0" applyFont="true" applyBorder="true" applyAlignment="true" applyProtection="false">
      <alignment horizontal="right" vertical="center" textRotation="0" wrapText="false" indent="1" shrinkToFit="false"/>
      <protection locked="true" hidden="false"/>
    </xf>
    <xf numFmtId="166" fontId="12" fillId="5" borderId="12" xfId="0" applyFont="true" applyBorder="true" applyAlignment="true" applyProtection="false">
      <alignment horizontal="right" vertical="center" textRotation="0" wrapText="false" indent="2" shrinkToFit="false"/>
      <protection locked="true" hidden="false"/>
    </xf>
    <xf numFmtId="166" fontId="12" fillId="5" borderId="23" xfId="0" applyFont="true" applyBorder="true" applyAlignment="true" applyProtection="false">
      <alignment horizontal="right" vertical="center" textRotation="0" wrapText="false" indent="2" shrinkToFit="false"/>
      <protection locked="true" hidden="false"/>
    </xf>
    <xf numFmtId="166" fontId="12" fillId="5" borderId="37" xfId="0" applyFont="true" applyBorder="true" applyAlignment="true" applyProtection="false">
      <alignment horizontal="right" vertical="center" textRotation="0" wrapText="false" indent="2" shrinkToFit="false"/>
      <protection locked="true" hidden="false"/>
    </xf>
    <xf numFmtId="164" fontId="11" fillId="4" borderId="2" xfId="0" applyFont="true" applyBorder="true" applyAlignment="true" applyProtection="false">
      <alignment horizontal="left" vertical="center" textRotation="0" wrapText="false" indent="1" shrinkToFit="false"/>
      <protection locked="true" hidden="false"/>
    </xf>
    <xf numFmtId="164" fontId="9" fillId="9" borderId="12" xfId="0" applyFont="true" applyBorder="true" applyAlignment="true" applyProtection="false">
      <alignment horizontal="left" vertical="center" textRotation="0" wrapText="false" indent="1" shrinkToFit="false"/>
      <protection locked="true" hidden="false"/>
    </xf>
    <xf numFmtId="166" fontId="10" fillId="9" borderId="37" xfId="0" applyFont="true" applyBorder="true" applyAlignment="true" applyProtection="false">
      <alignment horizontal="right" vertical="center" textRotation="0" wrapText="false" indent="1" shrinkToFit="false"/>
      <protection locked="true" hidden="false"/>
    </xf>
    <xf numFmtId="166" fontId="12" fillId="5" borderId="0" xfId="0" applyFont="true" applyBorder="false" applyAlignment="true" applyProtection="false">
      <alignment horizontal="right" vertical="center" textRotation="0" wrapText="false" indent="1" shrinkToFit="false"/>
      <protection locked="true" hidden="false"/>
    </xf>
    <xf numFmtId="164" fontId="16" fillId="4" borderId="6" xfId="0" applyFont="true" applyBorder="true" applyAlignment="true" applyProtection="false">
      <alignment horizontal="left" vertical="center" textRotation="0" wrapText="false" indent="1" shrinkToFit="false"/>
      <protection locked="true" hidden="false"/>
    </xf>
    <xf numFmtId="166" fontId="12" fillId="5" borderId="17" xfId="0" applyFont="true" applyBorder="true" applyAlignment="true" applyProtection="false">
      <alignment horizontal="right" vertical="center" textRotation="0" wrapText="false" indent="1" shrinkToFit="false"/>
      <protection locked="true" hidden="false"/>
    </xf>
    <xf numFmtId="166" fontId="12" fillId="0" borderId="8" xfId="0" applyFont="true" applyBorder="true" applyAlignment="true" applyProtection="false">
      <alignment horizontal="right" vertical="center" textRotation="0" wrapText="false" indent="1" shrinkToFit="false"/>
      <protection locked="true" hidden="false"/>
    </xf>
    <xf numFmtId="164" fontId="9" fillId="9" borderId="6" xfId="0" applyFont="true" applyBorder="true" applyAlignment="true" applyProtection="false">
      <alignment horizontal="left" vertical="center" textRotation="0" wrapText="false" indent="1" shrinkToFit="false"/>
      <protection locked="true" hidden="false"/>
    </xf>
    <xf numFmtId="166" fontId="10" fillId="9" borderId="17" xfId="0" applyFont="true" applyBorder="true" applyAlignment="true" applyProtection="false">
      <alignment horizontal="right" vertical="center" textRotation="0" wrapText="false" indent="1" shrinkToFit="false"/>
      <protection locked="true" hidden="false"/>
    </xf>
    <xf numFmtId="166" fontId="10" fillId="9" borderId="9" xfId="0" applyFont="true" applyBorder="true" applyAlignment="true" applyProtection="false">
      <alignment horizontal="right" vertical="center" textRotation="0" wrapText="false" indent="1" shrinkToFit="false"/>
      <protection locked="true" hidden="false"/>
    </xf>
    <xf numFmtId="166" fontId="17" fillId="2" borderId="12" xfId="0" applyFont="true" applyBorder="true" applyAlignment="true" applyProtection="false">
      <alignment horizontal="right" vertical="center" textRotation="0" wrapText="false" indent="1" shrinkToFit="false"/>
      <protection locked="true" hidden="false"/>
    </xf>
    <xf numFmtId="166" fontId="17" fillId="2" borderId="38" xfId="0" applyFont="true" applyBorder="true" applyAlignment="true" applyProtection="false">
      <alignment horizontal="right" vertical="center" textRotation="0" wrapText="false" indent="1" shrinkToFit="false"/>
      <protection locked="true" hidden="false"/>
    </xf>
    <xf numFmtId="166" fontId="39" fillId="0" borderId="0" xfId="0" applyFont="true" applyBorder="false" applyAlignment="true" applyProtection="false">
      <alignment horizontal="general" vertical="center" textRotation="0" wrapText="false" indent="0" shrinkToFit="false"/>
      <protection locked="true" hidden="false"/>
    </xf>
    <xf numFmtId="165" fontId="39" fillId="0" borderId="0" xfId="0" applyFont="true" applyBorder="false" applyAlignment="true" applyProtection="false">
      <alignment horizontal="general" vertical="center" textRotation="0" wrapText="false" indent="0" shrinkToFit="false"/>
      <protection locked="true" hidden="false"/>
    </xf>
    <xf numFmtId="164" fontId="39" fillId="0" borderId="0" xfId="0" applyFont="true" applyBorder="false" applyAlignment="true" applyProtection="false">
      <alignment horizontal="general" vertical="center" textRotation="0" wrapText="false" indent="0" shrinkToFit="false"/>
      <protection locked="true" hidden="false"/>
    </xf>
    <xf numFmtId="164" fontId="7" fillId="2" borderId="39" xfId="0" applyFont="true" applyBorder="true" applyAlignment="true" applyProtection="false">
      <alignment horizontal="center" vertical="center" textRotation="0" wrapText="false" indent="0" shrinkToFit="false"/>
      <protection locked="true" hidden="false"/>
    </xf>
    <xf numFmtId="164" fontId="7" fillId="2" borderId="0" xfId="0" applyFont="true" applyBorder="false" applyAlignment="true" applyProtection="false">
      <alignment horizontal="center" vertical="center" textRotation="0" wrapText="false" indent="0" shrinkToFit="false"/>
      <protection locked="true" hidden="false"/>
    </xf>
    <xf numFmtId="164" fontId="11" fillId="4" borderId="3" xfId="0" applyFont="true" applyBorder="true" applyAlignment="true" applyProtection="false">
      <alignment horizontal="left" vertical="center" textRotation="0" wrapText="false" indent="1" shrinkToFit="false"/>
      <protection locked="true" hidden="false"/>
    </xf>
    <xf numFmtId="164" fontId="40" fillId="5" borderId="23" xfId="0" applyFont="true" applyBorder="true" applyAlignment="true" applyProtection="false">
      <alignment horizontal="left" vertical="center" textRotation="0" wrapText="false" indent="1" shrinkToFit="false"/>
      <protection locked="true" hidden="false"/>
    </xf>
    <xf numFmtId="166" fontId="12" fillId="0" borderId="12" xfId="0" applyFont="true" applyBorder="true" applyAlignment="true" applyProtection="false">
      <alignment horizontal="right" vertical="center" textRotation="0" wrapText="false" indent="1" shrinkToFit="false"/>
      <protection locked="true" hidden="false"/>
    </xf>
    <xf numFmtId="164" fontId="40" fillId="5" borderId="23" xfId="0" applyFont="true" applyBorder="true" applyAlignment="true" applyProtection="false">
      <alignment horizontal="left" vertical="center" textRotation="0" wrapText="true" indent="1" shrinkToFit="false"/>
      <protection locked="true" hidden="false"/>
    </xf>
    <xf numFmtId="164" fontId="16" fillId="4" borderId="40" xfId="0" applyFont="true" applyBorder="true" applyAlignment="true" applyProtection="false">
      <alignment horizontal="left" vertical="center" textRotation="0" wrapText="false" indent="1" shrinkToFit="false"/>
      <protection locked="true" hidden="false"/>
    </xf>
    <xf numFmtId="166" fontId="12" fillId="0" borderId="40" xfId="0" applyFont="true" applyBorder="true" applyAlignment="true" applyProtection="false">
      <alignment horizontal="right" vertical="center" textRotation="0" wrapText="false" indent="1" shrinkToFit="false"/>
      <protection locked="true" hidden="false"/>
    </xf>
    <xf numFmtId="164" fontId="40" fillId="5" borderId="41" xfId="0" applyFont="true" applyBorder="true" applyAlignment="true" applyProtection="false">
      <alignment horizontal="left" vertical="center" textRotation="0" wrapText="false" indent="1" shrinkToFit="false"/>
      <protection locked="true" hidden="false"/>
    </xf>
    <xf numFmtId="164" fontId="21" fillId="9" borderId="42" xfId="0" applyFont="true" applyBorder="true" applyAlignment="true" applyProtection="false">
      <alignment horizontal="left" vertical="center" textRotation="0" wrapText="false" indent="1" shrinkToFit="false"/>
      <protection locked="true" hidden="false"/>
    </xf>
    <xf numFmtId="166" fontId="42" fillId="9" borderId="42" xfId="0" applyFont="true" applyBorder="true" applyAlignment="true" applyProtection="false">
      <alignment horizontal="right" vertical="center" textRotation="0" wrapText="false" indent="1" shrinkToFit="false"/>
      <protection locked="true" hidden="false"/>
    </xf>
    <xf numFmtId="164" fontId="43" fillId="9" borderId="43" xfId="0" applyFont="true" applyBorder="true" applyAlignment="true" applyProtection="false">
      <alignment horizontal="left" vertical="center" textRotation="0" wrapText="false" indent="1" shrinkToFit="false"/>
      <protection locked="true" hidden="false"/>
    </xf>
    <xf numFmtId="164" fontId="7" fillId="2" borderId="44" xfId="0" applyFont="true" applyBorder="true" applyAlignment="true" applyProtection="false">
      <alignment horizontal="center" vertical="center" textRotation="0" wrapText="false" indent="0" shrinkToFit="false"/>
      <protection locked="true" hidden="false"/>
    </xf>
    <xf numFmtId="164" fontId="7" fillId="2" borderId="45" xfId="0" applyFont="true" applyBorder="true" applyAlignment="true" applyProtection="false">
      <alignment horizontal="center" vertical="center" textRotation="0" wrapText="false" indent="0" shrinkToFit="false"/>
      <protection locked="true" hidden="false"/>
    </xf>
    <xf numFmtId="164" fontId="29" fillId="4" borderId="30" xfId="0" applyFont="true" applyBorder="true" applyAlignment="true" applyProtection="false">
      <alignment horizontal="left" vertical="center" textRotation="0" wrapText="false" indent="1" shrinkToFit="false"/>
      <protection locked="true" hidden="false"/>
    </xf>
    <xf numFmtId="168" fontId="32" fillId="0" borderId="30" xfId="0" applyFont="true" applyBorder="true" applyAlignment="true" applyProtection="false">
      <alignment horizontal="right" vertical="center" textRotation="0" wrapText="false" indent="1" shrinkToFit="false"/>
      <protection locked="true" hidden="false"/>
    </xf>
    <xf numFmtId="164" fontId="31" fillId="5" borderId="30" xfId="0" applyFont="true" applyBorder="true" applyAlignment="true" applyProtection="false">
      <alignment horizontal="left" vertical="center" textRotation="0" wrapText="true" indent="1" shrinkToFit="false"/>
      <protection locked="true" hidden="false"/>
    </xf>
    <xf numFmtId="164" fontId="29" fillId="5" borderId="30" xfId="0" applyFont="true" applyBorder="true" applyAlignment="true" applyProtection="false">
      <alignment horizontal="left" vertical="center" textRotation="0" wrapText="false" indent="1" shrinkToFit="false"/>
      <protection locked="true" hidden="false"/>
    </xf>
    <xf numFmtId="164" fontId="29" fillId="4" borderId="0" xfId="0" applyFont="true" applyBorder="false" applyAlignment="true" applyProtection="false">
      <alignment horizontal="left" vertical="center" textRotation="0" wrapText="false" indent="1" shrinkToFit="false"/>
      <protection locked="true" hidden="false"/>
    </xf>
    <xf numFmtId="168" fontId="32" fillId="0" borderId="0" xfId="0" applyFont="true" applyBorder="false" applyAlignment="true" applyProtection="false">
      <alignment horizontal="right" vertical="center" textRotation="0" wrapText="false" indent="1" shrinkToFit="false"/>
      <protection locked="true" hidden="false"/>
    </xf>
    <xf numFmtId="164" fontId="29" fillId="5" borderId="0" xfId="0" applyFont="true" applyBorder="false" applyAlignment="true" applyProtection="false">
      <alignment horizontal="left" vertical="center" textRotation="0" wrapText="false" indent="1" shrinkToFit="false"/>
      <protection locked="true" hidden="false"/>
    </xf>
    <xf numFmtId="164" fontId="33" fillId="4" borderId="46" xfId="0" applyFont="true" applyBorder="true" applyAlignment="true" applyProtection="false">
      <alignment horizontal="left" vertical="center" textRotation="0" wrapText="false" indent="1" shrinkToFit="false"/>
      <protection locked="true" hidden="false"/>
    </xf>
    <xf numFmtId="168" fontId="35" fillId="0" borderId="46" xfId="0" applyFont="true" applyBorder="true" applyAlignment="true" applyProtection="false">
      <alignment horizontal="right" vertical="center" textRotation="0" wrapText="false" indent="1" shrinkToFit="false"/>
      <protection locked="true" hidden="false"/>
    </xf>
    <xf numFmtId="164" fontId="40" fillId="5" borderId="46" xfId="0" applyFont="true" applyBorder="true" applyAlignment="true" applyProtection="false">
      <alignment horizontal="left" vertical="center" textRotation="0" wrapText="true" indent="1" shrinkToFit="false"/>
      <protection locked="true" hidden="false"/>
    </xf>
    <xf numFmtId="166" fontId="42" fillId="9" borderId="0" xfId="0" applyFont="true" applyBorder="false" applyAlignment="true" applyProtection="false">
      <alignment horizontal="right" vertical="center" textRotation="0" wrapText="false" indent="1" shrinkToFit="false"/>
      <protection locked="true" hidden="false"/>
    </xf>
    <xf numFmtId="164" fontId="40" fillId="9" borderId="0" xfId="0" applyFont="true" applyBorder="false" applyAlignment="true" applyProtection="false">
      <alignment horizontal="left" vertical="center" textRotation="0" wrapText="false" indent="1" shrinkToFit="false"/>
      <protection locked="true" hidden="false"/>
    </xf>
    <xf numFmtId="164" fontId="29" fillId="4" borderId="3" xfId="0" applyFont="true" applyBorder="true" applyAlignment="true" applyProtection="false">
      <alignment horizontal="general" vertical="top" textRotation="0" wrapText="false" indent="0" shrinkToFit="false"/>
      <protection locked="true" hidden="false"/>
    </xf>
    <xf numFmtId="164" fontId="29" fillId="4" borderId="3" xfId="0" applyFont="true" applyBorder="true" applyAlignment="true" applyProtection="false">
      <alignment horizontal="left" vertical="center" textRotation="0" wrapText="false" indent="1" shrinkToFit="false"/>
      <protection locked="true" hidden="false"/>
    </xf>
    <xf numFmtId="169" fontId="32" fillId="0" borderId="3" xfId="0" applyFont="true" applyBorder="true" applyAlignment="true" applyProtection="false">
      <alignment horizontal="right" vertical="center" textRotation="0" wrapText="false" indent="1" shrinkToFit="false"/>
      <protection locked="true" hidden="false"/>
    </xf>
    <xf numFmtId="168" fontId="32" fillId="0" borderId="3" xfId="0" applyFont="true" applyBorder="true" applyAlignment="true" applyProtection="false">
      <alignment horizontal="right" vertical="center" textRotation="0" wrapText="false" indent="1" shrinkToFit="false"/>
      <protection locked="true" hidden="false"/>
    </xf>
    <xf numFmtId="164" fontId="29" fillId="5" borderId="23" xfId="0" applyFont="true" applyBorder="true" applyAlignment="true" applyProtection="false">
      <alignment horizontal="left" vertical="center" textRotation="0" wrapText="false" indent="1" shrinkToFit="false"/>
      <protection locked="true" hidden="false"/>
    </xf>
    <xf numFmtId="169" fontId="12" fillId="0" borderId="12" xfId="0" applyFont="true" applyBorder="true" applyAlignment="true" applyProtection="false">
      <alignment horizontal="right" vertical="center" textRotation="0" wrapText="false" indent="1" shrinkToFit="false"/>
      <protection locked="true" hidden="false"/>
    </xf>
    <xf numFmtId="169" fontId="12" fillId="0" borderId="40" xfId="0" applyFont="true" applyBorder="true" applyAlignment="true" applyProtection="false">
      <alignment horizontal="right" vertical="center" textRotation="0" wrapText="false" indent="1" shrinkToFit="false"/>
      <protection locked="true" hidden="false"/>
    </xf>
    <xf numFmtId="164" fontId="33" fillId="9" borderId="42" xfId="0" applyFont="true" applyBorder="true" applyAlignment="true" applyProtection="false">
      <alignment horizontal="left" vertical="center" textRotation="0" wrapText="false" indent="1" shrinkToFit="false"/>
      <protection locked="true" hidden="false"/>
    </xf>
    <xf numFmtId="169" fontId="35" fillId="9" borderId="42" xfId="0" applyFont="true" applyBorder="true" applyAlignment="true" applyProtection="false">
      <alignment horizontal="right" vertical="center" textRotation="0" wrapText="false" indent="1" shrinkToFit="false"/>
      <protection locked="true" hidden="false"/>
    </xf>
    <xf numFmtId="168" fontId="35" fillId="9" borderId="42" xfId="0" applyFont="true" applyBorder="true" applyAlignment="true" applyProtection="false">
      <alignment horizontal="right" vertical="center" textRotation="0" wrapText="false" indent="1" shrinkToFit="false"/>
      <protection locked="true" hidden="false"/>
    </xf>
    <xf numFmtId="164" fontId="45" fillId="9" borderId="43" xfId="0" applyFont="true" applyBorder="true" applyAlignment="true" applyProtection="false">
      <alignment horizontal="left" vertical="center" textRotation="0" wrapText="false" indent="1" shrinkToFit="false"/>
      <protection locked="true" hidden="false"/>
    </xf>
    <xf numFmtId="164" fontId="21" fillId="3" borderId="42" xfId="0" applyFont="true" applyBorder="true" applyAlignment="true" applyProtection="false">
      <alignment horizontal="left" vertical="center" textRotation="0" wrapText="false" indent="1" shrinkToFit="false"/>
      <protection locked="true" hidden="false"/>
    </xf>
    <xf numFmtId="164" fontId="7" fillId="2" borderId="47" xfId="0" applyFont="true" applyBorder="true" applyAlignment="true" applyProtection="false">
      <alignment horizontal="center" vertical="center" textRotation="0" wrapText="false" indent="0" shrinkToFit="false"/>
      <protection locked="true" hidden="false"/>
    </xf>
    <xf numFmtId="170" fontId="21" fillId="5" borderId="3" xfId="0" applyFont="true" applyBorder="true" applyAlignment="true" applyProtection="false">
      <alignment horizontal="right" vertical="center" textRotation="0" wrapText="false" indent="1" shrinkToFit="false"/>
      <protection locked="true" hidden="false"/>
    </xf>
    <xf numFmtId="170" fontId="21" fillId="5" borderId="12" xfId="0" applyFont="true" applyBorder="true" applyAlignment="true" applyProtection="false">
      <alignment horizontal="right" vertical="center" textRotation="0" wrapText="false" indent="1" shrinkToFit="false"/>
      <protection locked="true" hidden="false"/>
    </xf>
    <xf numFmtId="170" fontId="21" fillId="5" borderId="2" xfId="0" applyFont="true" applyBorder="true" applyAlignment="true" applyProtection="false">
      <alignment horizontal="right" vertical="center" textRotation="0" wrapText="false" indent="1" shrinkToFit="false"/>
      <protection locked="true" hidden="false"/>
    </xf>
    <xf numFmtId="170" fontId="21" fillId="5" borderId="40" xfId="0" applyFont="true" applyBorder="true" applyAlignment="true" applyProtection="false">
      <alignment horizontal="right" vertical="center" textRotation="0" wrapText="false" indent="1" shrinkToFit="false"/>
      <protection locked="true" hidden="false"/>
    </xf>
    <xf numFmtId="164" fontId="21" fillId="9" borderId="42" xfId="0" applyFont="true" applyBorder="true" applyAlignment="true" applyProtection="false">
      <alignment horizontal="right" vertical="center" textRotation="0" wrapText="false" indent="1" shrinkToFit="false"/>
      <protection locked="true" hidden="false"/>
    </xf>
    <xf numFmtId="164" fontId="7" fillId="2" borderId="48" xfId="0" applyFont="true" applyBorder="true" applyAlignment="true" applyProtection="false">
      <alignment horizontal="center" vertical="center" textRotation="0" wrapText="false" indent="0" shrinkToFit="false"/>
      <protection locked="true" hidden="false"/>
    </xf>
    <xf numFmtId="164" fontId="8" fillId="2" borderId="49" xfId="0" applyFont="true" applyBorder="true" applyAlignment="true" applyProtection="false">
      <alignment horizontal="center" vertical="center" textRotation="0" wrapText="false" indent="0" shrinkToFit="false"/>
      <protection locked="true" hidden="false"/>
    </xf>
    <xf numFmtId="164" fontId="7" fillId="2" borderId="50" xfId="0" applyFont="true" applyBorder="true" applyAlignment="true" applyProtection="false">
      <alignment horizontal="center" vertical="center" textRotation="0" wrapText="false" indent="0" shrinkToFit="false"/>
      <protection locked="true" hidden="false"/>
    </xf>
    <xf numFmtId="164" fontId="9" fillId="3" borderId="17" xfId="0" applyFont="true" applyBorder="true" applyAlignment="true" applyProtection="false">
      <alignment horizontal="left" vertical="center" textRotation="0" wrapText="false" indent="1" shrinkToFit="false"/>
      <protection locked="true" hidden="false"/>
    </xf>
    <xf numFmtId="166" fontId="10" fillId="3" borderId="23" xfId="0" applyFont="true" applyBorder="true" applyAlignment="true" applyProtection="false">
      <alignment horizontal="right" vertical="center" textRotation="0" wrapText="false" indent="1" shrinkToFit="false"/>
      <protection locked="true" hidden="false"/>
    </xf>
    <xf numFmtId="164" fontId="7" fillId="2" borderId="17" xfId="0" applyFont="true" applyBorder="true" applyAlignment="true" applyProtection="false">
      <alignment horizontal="left" vertical="center" textRotation="0" wrapText="false" indent="1" shrinkToFit="false"/>
      <protection locked="true" hidden="false"/>
    </xf>
    <xf numFmtId="166" fontId="17" fillId="2" borderId="6" xfId="0" applyFont="true" applyBorder="true" applyAlignment="true" applyProtection="false">
      <alignment horizontal="right" vertical="center" textRotation="0" wrapText="false" indent="1" shrinkToFit="false"/>
      <protection locked="true" hidden="false"/>
    </xf>
    <xf numFmtId="166" fontId="17" fillId="2" borderId="51" xfId="0" applyFont="true" applyBorder="true" applyAlignment="true" applyProtection="false">
      <alignment horizontal="right" vertical="center" textRotation="0" wrapText="false" indent="1" shrinkToFit="false"/>
      <protection locked="true" hidden="false"/>
    </xf>
    <xf numFmtId="165" fontId="12" fillId="0" borderId="0" xfId="0" applyFont="true" applyBorder="false" applyAlignment="true" applyProtection="false">
      <alignment horizontal="right" vertical="center" textRotation="0" wrapText="false" indent="1" shrinkToFit="false"/>
      <protection locked="true" hidden="false"/>
    </xf>
    <xf numFmtId="164" fontId="7" fillId="2" borderId="52" xfId="0" applyFont="true" applyBorder="true" applyAlignment="true" applyProtection="false">
      <alignment horizontal="center" vertical="center" textRotation="0" wrapText="false" indent="0" shrinkToFit="false"/>
      <protection locked="true" hidden="false"/>
    </xf>
    <xf numFmtId="164" fontId="11" fillId="4" borderId="0" xfId="0" applyFont="true" applyBorder="false" applyAlignment="true" applyProtection="false">
      <alignment horizontal="left" vertical="center" textRotation="0" wrapText="false" indent="1" shrinkToFit="false"/>
      <protection locked="true" hidden="false"/>
    </xf>
    <xf numFmtId="164" fontId="16" fillId="4" borderId="17" xfId="0" applyFont="true" applyBorder="true" applyAlignment="true" applyProtection="false">
      <alignment horizontal="left" vertical="center" textRotation="0" wrapText="false" indent="1" shrinkToFit="false"/>
      <protection locked="true" hidden="false"/>
    </xf>
    <xf numFmtId="164" fontId="16" fillId="4" borderId="36" xfId="0" applyFont="true" applyBorder="true" applyAlignment="true" applyProtection="false">
      <alignment horizontal="left" vertical="center" textRotation="0" wrapText="false" indent="1" shrinkToFit="false"/>
      <protection locked="true" hidden="false"/>
    </xf>
    <xf numFmtId="166" fontId="12" fillId="0" borderId="53" xfId="0" applyFont="true" applyBorder="true" applyAlignment="true" applyProtection="false">
      <alignment horizontal="right" vertical="center" textRotation="0" wrapText="false" indent="1" shrinkToFit="false"/>
      <protection locked="true" hidden="false"/>
    </xf>
    <xf numFmtId="166" fontId="12" fillId="0" borderId="54" xfId="0" applyFont="true" applyBorder="true" applyAlignment="true" applyProtection="false">
      <alignment horizontal="right" vertical="center" textRotation="0" wrapText="false" indent="1" shrinkToFit="false"/>
      <protection locked="true" hidden="false"/>
    </xf>
    <xf numFmtId="166" fontId="12" fillId="0" borderId="55" xfId="0" applyFont="true" applyBorder="true" applyAlignment="true" applyProtection="false">
      <alignment horizontal="right" vertical="center" textRotation="0" wrapText="false" indent="1" shrinkToFit="false"/>
      <protection locked="true" hidden="false"/>
    </xf>
    <xf numFmtId="164" fontId="20" fillId="4" borderId="17" xfId="0" applyFont="true" applyBorder="true" applyAlignment="true" applyProtection="false">
      <alignment horizontal="left" vertical="center" textRotation="0" wrapText="false" indent="1" shrinkToFit="false"/>
      <protection locked="true" hidden="false"/>
    </xf>
    <xf numFmtId="164" fontId="11" fillId="5" borderId="36" xfId="0" applyFont="true" applyBorder="true" applyAlignment="true" applyProtection="false">
      <alignment horizontal="left" vertical="center" textRotation="0" wrapText="false" indent="3" shrinkToFit="false"/>
      <protection locked="true" hidden="false"/>
    </xf>
    <xf numFmtId="166" fontId="46" fillId="5" borderId="53" xfId="0" applyFont="true" applyBorder="true" applyAlignment="true" applyProtection="false">
      <alignment horizontal="right" vertical="center" textRotation="0" wrapText="false" indent="1" shrinkToFit="false"/>
      <protection locked="true" hidden="false"/>
    </xf>
    <xf numFmtId="166" fontId="12" fillId="5" borderId="54" xfId="0" applyFont="true" applyBorder="true" applyAlignment="true" applyProtection="false">
      <alignment horizontal="right" vertical="center" textRotation="0" wrapText="false" indent="1" shrinkToFit="false"/>
      <protection locked="true" hidden="false"/>
    </xf>
    <xf numFmtId="166" fontId="12" fillId="5" borderId="55" xfId="0" applyFont="true" applyBorder="true" applyAlignment="true" applyProtection="false">
      <alignment horizontal="right" vertical="center" textRotation="0" wrapText="false" indent="1" shrinkToFit="false"/>
      <protection locked="true" hidden="false"/>
    </xf>
    <xf numFmtId="164" fontId="11" fillId="5" borderId="17" xfId="0" applyFont="true" applyBorder="true" applyAlignment="true" applyProtection="false">
      <alignment horizontal="left" vertical="center" textRotation="0" wrapText="false" indent="3" shrinkToFit="false"/>
      <protection locked="true" hidden="false"/>
    </xf>
    <xf numFmtId="166" fontId="12" fillId="5" borderId="7" xfId="0" applyFont="true" applyBorder="true" applyAlignment="true" applyProtection="false">
      <alignment horizontal="right" vertical="center" textRotation="0" wrapText="false" indent="1" shrinkToFit="false"/>
      <protection locked="true" hidden="false"/>
    </xf>
    <xf numFmtId="164" fontId="7" fillId="2" borderId="27" xfId="0" applyFont="true" applyBorder="true" applyAlignment="true" applyProtection="false">
      <alignment horizontal="left" vertical="center" textRotation="0" wrapText="false" indent="1" shrinkToFit="false"/>
      <protection locked="true" hidden="false"/>
    </xf>
    <xf numFmtId="166" fontId="17" fillId="2" borderId="10" xfId="0" applyFont="true" applyBorder="true" applyAlignment="true" applyProtection="false">
      <alignment horizontal="right" vertical="center" textRotation="0" wrapText="false" indent="1" shrinkToFit="false"/>
      <protection locked="true" hidden="false"/>
    </xf>
    <xf numFmtId="166" fontId="17" fillId="2" borderId="56" xfId="0" applyFont="true" applyBorder="true" applyAlignment="true" applyProtection="false">
      <alignment horizontal="right" vertical="center" textRotation="0" wrapText="false" indent="1" shrinkToFit="false"/>
      <protection locked="true" hidden="false"/>
    </xf>
    <xf numFmtId="164" fontId="7" fillId="2" borderId="57" xfId="0" applyFont="true" applyBorder="true" applyAlignment="true" applyProtection="false">
      <alignment horizontal="left" vertical="center" textRotation="0" wrapText="false" indent="1" shrinkToFit="false"/>
      <protection locked="true" hidden="false"/>
    </xf>
    <xf numFmtId="166" fontId="17" fillId="2" borderId="26" xfId="0" applyFont="true" applyBorder="true" applyAlignment="true" applyProtection="false">
      <alignment horizontal="right" vertical="center" textRotation="0" wrapText="false" indent="1" shrinkToFit="false"/>
      <protection locked="true" hidden="false"/>
    </xf>
    <xf numFmtId="166" fontId="17" fillId="2" borderId="58" xfId="0" applyFont="true" applyBorder="true" applyAlignment="true" applyProtection="false">
      <alignment horizontal="right" vertical="center" textRotation="0" wrapText="false" indent="1" shrinkToFit="false"/>
      <protection locked="true" hidden="false"/>
    </xf>
    <xf numFmtId="164" fontId="33" fillId="2" borderId="19" xfId="0" applyFont="true" applyBorder="true" applyAlignment="true" applyProtection="false">
      <alignment horizontal="center" vertical="center" textRotation="0" wrapText="false" indent="0" shrinkToFit="false"/>
      <protection locked="true" hidden="false"/>
    </xf>
    <xf numFmtId="166" fontId="7" fillId="2" borderId="12" xfId="0" applyFont="true" applyBorder="true" applyAlignment="true" applyProtection="false">
      <alignment horizontal="center" vertical="center" textRotation="0" wrapText="false" indent="0" shrinkToFit="false"/>
      <protection locked="true" hidden="false"/>
    </xf>
    <xf numFmtId="166" fontId="29" fillId="5" borderId="3" xfId="0" applyFont="true" applyBorder="true" applyAlignment="true" applyProtection="false">
      <alignment horizontal="general" vertical="top" textRotation="0" wrapText="false" indent="0" shrinkToFit="false"/>
      <protection locked="true" hidden="false"/>
    </xf>
    <xf numFmtId="166" fontId="16" fillId="5" borderId="3" xfId="0" applyFont="true" applyBorder="true" applyAlignment="true" applyProtection="false">
      <alignment horizontal="right" vertical="center" textRotation="0" wrapText="false" indent="1" shrinkToFit="false"/>
      <protection locked="true" hidden="false"/>
    </xf>
    <xf numFmtId="166" fontId="12" fillId="9" borderId="3" xfId="0" applyFont="true" applyBorder="true" applyAlignment="true" applyProtection="false">
      <alignment horizontal="right" vertical="center" textRotation="0" wrapText="false" indent="1" shrinkToFit="false"/>
      <protection locked="true" hidden="false"/>
    </xf>
    <xf numFmtId="166" fontId="12" fillId="5" borderId="53" xfId="0" applyFont="true" applyBorder="true" applyAlignment="true" applyProtection="false">
      <alignment horizontal="right" vertical="center" textRotation="0" wrapText="false" indent="1" shrinkToFit="false"/>
      <protection locked="true" hidden="false"/>
    </xf>
    <xf numFmtId="166" fontId="12" fillId="5" borderId="3" xfId="0" applyFont="true" applyBorder="true" applyAlignment="true" applyProtection="false">
      <alignment horizontal="right" vertical="center" textRotation="0" wrapText="false" indent="1" shrinkToFit="false"/>
      <protection locked="true" hidden="false"/>
    </xf>
    <xf numFmtId="166" fontId="46" fillId="5" borderId="3" xfId="0" applyFont="true" applyBorder="true" applyAlignment="true" applyProtection="false">
      <alignment horizontal="right" vertical="center" textRotation="0" wrapText="false" indent="1" shrinkToFit="false"/>
      <protection locked="true" hidden="false"/>
    </xf>
    <xf numFmtId="166" fontId="12" fillId="3" borderId="3" xfId="0" applyFont="true" applyBorder="true" applyAlignment="true" applyProtection="false">
      <alignment horizontal="right" vertical="center" textRotation="0" wrapText="false" indent="1" shrinkToFit="false"/>
      <protection locked="true" hidden="false"/>
    </xf>
    <xf numFmtId="166" fontId="12" fillId="9" borderId="2" xfId="0" applyFont="true" applyBorder="true" applyAlignment="true" applyProtection="false">
      <alignment horizontal="right" vertical="center" textRotation="0" wrapText="false" indent="1" shrinkToFit="false"/>
      <protection locked="true" hidden="false"/>
    </xf>
    <xf numFmtId="164" fontId="8" fillId="2" borderId="19" xfId="0" applyFont="true" applyBorder="true" applyAlignment="true" applyProtection="false">
      <alignment horizontal="center" vertical="center" textRotation="0" wrapText="false" indent="0" shrinkToFit="false"/>
      <protection locked="true" hidden="false"/>
    </xf>
    <xf numFmtId="171" fontId="16" fillId="4" borderId="3" xfId="0" applyFont="true" applyBorder="true" applyAlignment="true" applyProtection="false">
      <alignment horizontal="left" vertical="center" textRotation="0" wrapText="false" indent="1" shrinkToFit="false"/>
      <protection locked="true" hidden="false"/>
    </xf>
    <xf numFmtId="166" fontId="29" fillId="4" borderId="3" xfId="0" applyFont="true" applyBorder="true" applyAlignment="true" applyProtection="false">
      <alignment horizontal="general" vertical="top" textRotation="0" wrapText="false" indent="0" shrinkToFit="false"/>
      <protection locked="true" hidden="false"/>
    </xf>
    <xf numFmtId="166" fontId="16" fillId="4" borderId="3" xfId="0" applyFont="true" applyBorder="true" applyAlignment="true" applyProtection="false">
      <alignment horizontal="left" vertical="center" textRotation="0" wrapText="false" indent="1" shrinkToFit="false"/>
      <protection locked="true" hidden="false"/>
    </xf>
    <xf numFmtId="170" fontId="31" fillId="5" borderId="3" xfId="0" applyFont="true" applyBorder="true" applyAlignment="true" applyProtection="false">
      <alignment horizontal="center" vertical="center" textRotation="0" wrapText="false" indent="0" shrinkToFit="false"/>
      <protection locked="true" hidden="false"/>
    </xf>
    <xf numFmtId="166" fontId="29" fillId="0" borderId="3" xfId="0" applyFont="true" applyBorder="true" applyAlignment="true" applyProtection="false">
      <alignment horizontal="right" vertical="center" textRotation="0" wrapText="false" indent="1" shrinkToFit="false"/>
      <protection locked="true" hidden="false"/>
    </xf>
    <xf numFmtId="164" fontId="29" fillId="5" borderId="59" xfId="0" applyFont="true" applyBorder="true" applyAlignment="true" applyProtection="false">
      <alignment horizontal="left" vertical="center" textRotation="0" wrapText="false" indent="1" shrinkToFit="false"/>
      <protection locked="true" hidden="false"/>
    </xf>
    <xf numFmtId="164" fontId="29" fillId="4" borderId="12" xfId="0" applyFont="true" applyBorder="true" applyAlignment="true" applyProtection="false">
      <alignment horizontal="left" vertical="center" textRotation="0" wrapText="false" indent="1" shrinkToFit="false"/>
      <protection locked="true" hidden="false"/>
    </xf>
    <xf numFmtId="170" fontId="31" fillId="5" borderId="12" xfId="0" applyFont="true" applyBorder="true" applyAlignment="true" applyProtection="false">
      <alignment horizontal="center" vertical="center" textRotation="0" wrapText="false" indent="0" shrinkToFit="false"/>
      <protection locked="true" hidden="false"/>
    </xf>
    <xf numFmtId="168" fontId="32" fillId="0" borderId="12" xfId="0" applyFont="true" applyBorder="true" applyAlignment="true" applyProtection="false">
      <alignment horizontal="right" vertical="center" textRotation="0" wrapText="false" indent="1" shrinkToFit="false"/>
      <protection locked="true" hidden="false"/>
    </xf>
    <xf numFmtId="166" fontId="29" fillId="0" borderId="12" xfId="0" applyFont="true" applyBorder="true" applyAlignment="true" applyProtection="false">
      <alignment horizontal="right" vertical="center" textRotation="0" wrapText="false" indent="1" shrinkToFit="false"/>
      <protection locked="true" hidden="false"/>
    </xf>
    <xf numFmtId="170" fontId="16" fillId="5" borderId="12" xfId="0" applyFont="true" applyBorder="true" applyAlignment="true" applyProtection="false">
      <alignment horizontal="center" vertical="center" textRotation="0" wrapText="false" indent="0" shrinkToFit="false"/>
      <protection locked="true" hidden="false"/>
    </xf>
    <xf numFmtId="166" fontId="46" fillId="0" borderId="12" xfId="0" applyFont="true" applyBorder="true" applyAlignment="true" applyProtection="false">
      <alignment horizontal="right" vertical="center" textRotation="0" wrapText="false" indent="1" shrinkToFit="false"/>
      <protection locked="true" hidden="false"/>
    </xf>
    <xf numFmtId="164" fontId="29" fillId="4" borderId="12" xfId="0" applyFont="true" applyBorder="true" applyAlignment="true" applyProtection="false">
      <alignment horizontal="general" vertical="top" textRotation="0" wrapText="false" indent="0" shrinkToFit="false"/>
      <protection locked="true" hidden="false"/>
    </xf>
    <xf numFmtId="170" fontId="16" fillId="5" borderId="40" xfId="0" applyFont="true" applyBorder="true" applyAlignment="true" applyProtection="false">
      <alignment horizontal="center" vertical="center" textRotation="0" wrapText="false" indent="0" shrinkToFit="false"/>
      <protection locked="true" hidden="false"/>
    </xf>
    <xf numFmtId="164" fontId="16" fillId="9" borderId="42" xfId="0" applyFont="true" applyBorder="true" applyAlignment="true" applyProtection="false">
      <alignment horizontal="right" vertical="center" textRotation="0" wrapText="false" indent="1" shrinkToFit="false"/>
      <protection locked="true" hidden="false"/>
    </xf>
    <xf numFmtId="166" fontId="11" fillId="4" borderId="3" xfId="0" applyFont="true" applyBorder="true" applyAlignment="true" applyProtection="false">
      <alignment horizontal="left" vertical="center" textRotation="0" wrapText="false" indent="1" shrinkToFit="false"/>
      <protection locked="true" hidden="false"/>
    </xf>
    <xf numFmtId="168" fontId="47" fillId="5" borderId="3" xfId="0" applyFont="true" applyBorder="true" applyAlignment="true" applyProtection="false">
      <alignment horizontal="right" vertical="center" textRotation="0" wrapText="false" indent="1" shrinkToFit="false"/>
      <protection locked="true" hidden="false"/>
    </xf>
    <xf numFmtId="166" fontId="11" fillId="4" borderId="12" xfId="0" applyFont="true" applyBorder="true" applyAlignment="true" applyProtection="false">
      <alignment horizontal="left" vertical="center" textRotation="0" wrapText="false" indent="1" shrinkToFit="false"/>
      <protection locked="true" hidden="false"/>
    </xf>
    <xf numFmtId="166" fontId="16" fillId="5" borderId="12" xfId="0" applyFont="true" applyBorder="true" applyAlignment="true" applyProtection="false">
      <alignment horizontal="right" vertical="center" textRotation="0" wrapText="false" indent="1" shrinkToFit="false"/>
      <protection locked="true" hidden="false"/>
    </xf>
    <xf numFmtId="168" fontId="47" fillId="5" borderId="12" xfId="0" applyFont="true" applyBorder="true" applyAlignment="true" applyProtection="false">
      <alignment horizontal="right" vertical="center" textRotation="0" wrapText="false" indent="1" shrinkToFit="false"/>
      <protection locked="true" hidden="false"/>
    </xf>
    <xf numFmtId="166" fontId="11" fillId="4" borderId="2" xfId="0" applyFont="true" applyBorder="true" applyAlignment="true" applyProtection="false">
      <alignment horizontal="left" vertical="center" textRotation="0" wrapText="false" indent="1" shrinkToFit="false"/>
      <protection locked="true" hidden="false"/>
    </xf>
    <xf numFmtId="166" fontId="16" fillId="5" borderId="2" xfId="0" applyFont="true" applyBorder="true" applyAlignment="true" applyProtection="false">
      <alignment horizontal="right" vertical="center" textRotation="0" wrapText="false" indent="1" shrinkToFit="false"/>
      <protection locked="true" hidden="false"/>
    </xf>
    <xf numFmtId="164" fontId="9" fillId="9" borderId="42" xfId="0" applyFont="true" applyBorder="true" applyAlignment="true" applyProtection="false">
      <alignment horizontal="left" vertical="center" textRotation="0" wrapText="false" indent="1" shrinkToFit="false"/>
      <protection locked="true" hidden="false"/>
    </xf>
    <xf numFmtId="168" fontId="48" fillId="9" borderId="42" xfId="0" applyFont="true" applyBorder="true" applyAlignment="true" applyProtection="false">
      <alignment horizontal="right" vertical="center" textRotation="0" wrapText="false" indent="1" shrinkToFit="false"/>
      <protection locked="true" hidden="false"/>
    </xf>
    <xf numFmtId="164" fontId="29" fillId="9" borderId="60" xfId="0" applyFont="true" applyBorder="true" applyAlignment="true" applyProtection="false">
      <alignment horizontal="left" vertical="center" textRotation="0" wrapText="false" indent="1" shrinkToFit="false"/>
      <protection locked="true" hidden="false"/>
    </xf>
    <xf numFmtId="166" fontId="49" fillId="9" borderId="61" xfId="0" applyFont="true" applyBorder="true" applyAlignment="true" applyProtection="false">
      <alignment horizontal="right" vertical="center" textRotation="0" wrapText="false" indent="1" shrinkToFit="false"/>
      <protection locked="true" hidden="false"/>
    </xf>
    <xf numFmtId="164" fontId="9" fillId="9" borderId="60" xfId="0" applyFont="true" applyBorder="true" applyAlignment="true" applyProtection="false">
      <alignment horizontal="left" vertical="center" textRotation="0" wrapText="false" indent="1" shrinkToFit="false"/>
      <protection locked="true" hidden="false"/>
    </xf>
    <xf numFmtId="164" fontId="8" fillId="8" borderId="2" xfId="0" applyFont="true" applyBorder="true" applyAlignment="true" applyProtection="false">
      <alignment horizontal="center" vertical="center" textRotation="0" wrapText="true" indent="0" shrinkToFit="false"/>
      <protection locked="true" hidden="false"/>
    </xf>
    <xf numFmtId="164" fontId="7" fillId="2" borderId="24" xfId="0" applyFont="true" applyBorder="true" applyAlignment="true" applyProtection="false">
      <alignment horizontal="center" vertical="center" textRotation="0" wrapText="false" indent="0" shrinkToFit="false"/>
      <protection locked="true" hidden="false"/>
    </xf>
    <xf numFmtId="164" fontId="7" fillId="6" borderId="62" xfId="0" applyFont="true" applyBorder="true" applyAlignment="true" applyProtection="false">
      <alignment horizontal="center" vertical="center" textRotation="0" wrapText="false" indent="0" shrinkToFit="false"/>
      <protection locked="true" hidden="false"/>
    </xf>
    <xf numFmtId="164" fontId="7" fillId="2" borderId="63" xfId="0" applyFont="true" applyBorder="true" applyAlignment="true" applyProtection="false">
      <alignment horizontal="center" vertical="center" textRotation="0" wrapText="false" indent="0" shrinkToFit="false"/>
      <protection locked="true" hidden="false"/>
    </xf>
    <xf numFmtId="166" fontId="10" fillId="0" borderId="37" xfId="0" applyFont="true" applyBorder="true" applyAlignment="true" applyProtection="false">
      <alignment horizontal="right" vertical="center" textRotation="0" wrapText="false" indent="1" shrinkToFit="false"/>
      <protection locked="true" hidden="false"/>
    </xf>
    <xf numFmtId="166" fontId="10" fillId="0" borderId="7" xfId="0" applyFont="true" applyBorder="true" applyAlignment="true" applyProtection="false">
      <alignment horizontal="right" vertical="center" textRotation="0" wrapText="false" indent="1" shrinkToFit="false"/>
      <protection locked="true" hidden="false"/>
    </xf>
    <xf numFmtId="166" fontId="10" fillId="0" borderId="8" xfId="0" applyFont="true" applyBorder="true" applyAlignment="true" applyProtection="false">
      <alignment horizontal="right" vertical="center" textRotation="0" wrapText="false" indent="1" shrinkToFit="false"/>
      <protection locked="true" hidden="false"/>
    </xf>
    <xf numFmtId="166" fontId="32" fillId="0" borderId="7" xfId="0" applyFont="true" applyBorder="true" applyAlignment="true" applyProtection="false">
      <alignment horizontal="right" vertical="center" textRotation="0" wrapText="false" indent="1" shrinkToFit="false"/>
      <protection locked="true" hidden="false"/>
    </xf>
    <xf numFmtId="166" fontId="32" fillId="0" borderId="14" xfId="0" applyFont="true" applyBorder="true" applyAlignment="true" applyProtection="false">
      <alignment horizontal="right" vertical="center" textRotation="0" wrapText="false" indent="1" shrinkToFit="false"/>
      <protection locked="true" hidden="false"/>
    </xf>
    <xf numFmtId="166" fontId="10" fillId="3" borderId="51" xfId="0" applyFont="true" applyBorder="true" applyAlignment="true" applyProtection="false">
      <alignment horizontal="right" vertical="center" textRotation="0" wrapText="false" indent="1" shrinkToFit="false"/>
      <protection locked="true" hidden="false"/>
    </xf>
    <xf numFmtId="168" fontId="32" fillId="0" borderId="2" xfId="0" applyFont="true" applyBorder="true" applyAlignment="true" applyProtection="false">
      <alignment horizontal="general" vertical="center" textRotation="0" wrapText="false" indent="0" shrinkToFit="false"/>
      <protection locked="true" hidden="false"/>
    </xf>
    <xf numFmtId="168" fontId="35" fillId="0" borderId="2" xfId="0" applyFont="true" applyBorder="true" applyAlignment="true" applyProtection="false">
      <alignment horizontal="general" vertical="center" textRotation="0" wrapText="false" indent="0" shrinkToFit="false"/>
      <protection locked="true" hidden="false"/>
    </xf>
    <xf numFmtId="164" fontId="8" fillId="8" borderId="14" xfId="0" applyFont="true" applyBorder="true" applyAlignment="true" applyProtection="false">
      <alignment horizontal="center" vertical="center" textRotation="0" wrapText="true" indent="0" shrinkToFit="false"/>
      <protection locked="true" hidden="false"/>
    </xf>
    <xf numFmtId="164" fontId="7" fillId="8" borderId="24" xfId="0" applyFont="true" applyBorder="true" applyAlignment="true" applyProtection="false">
      <alignment horizontal="center" vertical="center" textRotation="0" wrapText="false" indent="0" shrinkToFit="false"/>
      <protection locked="true" hidden="false"/>
    </xf>
    <xf numFmtId="164" fontId="11" fillId="4" borderId="2" xfId="0" applyFont="true" applyBorder="true" applyAlignment="true" applyProtection="false">
      <alignment horizontal="left" vertical="center" textRotation="0" wrapText="false" indent="2" shrinkToFit="false"/>
      <protection locked="true" hidden="false"/>
    </xf>
    <xf numFmtId="166" fontId="10" fillId="3" borderId="38" xfId="0" applyFont="true" applyBorder="true" applyAlignment="true" applyProtection="false">
      <alignment horizontal="right" vertical="center" textRotation="0" wrapText="false" indent="1" shrinkToFit="false"/>
      <protection locked="true" hidden="false"/>
    </xf>
    <xf numFmtId="166" fontId="35" fillId="3" borderId="6" xfId="0" applyFont="true" applyBorder="true" applyAlignment="true" applyProtection="false">
      <alignment horizontal="right" vertical="center" textRotation="0" wrapText="false" indent="1" shrinkToFit="false"/>
      <protection locked="true" hidden="false"/>
    </xf>
    <xf numFmtId="164" fontId="22" fillId="0" borderId="0" xfId="0" applyFont="true" applyBorder="false" applyAlignment="true" applyProtection="false">
      <alignment horizontal="general" vertical="center" textRotation="0" wrapText="false" indent="0" shrinkToFit="false"/>
      <protection locked="true" hidden="false"/>
    </xf>
    <xf numFmtId="166" fontId="10" fillId="3" borderId="55" xfId="0" applyFont="true" applyBorder="true" applyAlignment="true" applyProtection="false">
      <alignment horizontal="right" vertical="center" textRotation="0" wrapText="false" indent="1" shrinkToFit="false"/>
      <protection locked="true" hidden="false"/>
    </xf>
    <xf numFmtId="166" fontId="26" fillId="0" borderId="17" xfId="0" applyFont="true" applyBorder="true" applyAlignment="true" applyProtection="false">
      <alignment horizontal="right" vertical="center" textRotation="0" wrapText="false" indent="1" shrinkToFit="false"/>
      <protection locked="true" hidden="false"/>
    </xf>
    <xf numFmtId="166" fontId="26" fillId="0" borderId="9" xfId="0" applyFont="true" applyBorder="true" applyAlignment="true" applyProtection="false">
      <alignment horizontal="right" vertical="center" textRotation="0" wrapText="false" indent="1" shrinkToFit="false"/>
      <protection locked="true" hidden="false"/>
    </xf>
    <xf numFmtId="164" fontId="50" fillId="2" borderId="0" xfId="0" applyFont="true" applyBorder="false" applyAlignment="true" applyProtection="false">
      <alignment horizontal="center" vertical="center" textRotation="0" wrapText="false" indent="0" shrinkToFit="false"/>
      <protection locked="true" hidden="false"/>
    </xf>
    <xf numFmtId="164" fontId="51" fillId="2" borderId="0" xfId="0" applyFont="true" applyBorder="false" applyAlignment="true" applyProtection="false">
      <alignment horizontal="center" vertical="center" textRotation="0" wrapText="false" indent="0" shrinkToFit="false"/>
      <protection locked="true" hidden="false"/>
    </xf>
    <xf numFmtId="164" fontId="52" fillId="0" borderId="64" xfId="0" applyFont="true" applyBorder="true" applyAlignment="true" applyProtection="false">
      <alignment horizontal="center" vertical="center" textRotation="0" wrapText="false" indent="0" shrinkToFit="false"/>
      <protection locked="true" hidden="false"/>
    </xf>
    <xf numFmtId="164" fontId="29" fillId="0" borderId="64" xfId="0" applyFont="true" applyBorder="true" applyAlignment="true" applyProtection="false">
      <alignment horizontal="left" vertical="center" textRotation="0" wrapText="false" indent="0" shrinkToFit="false"/>
      <protection locked="true" hidden="false"/>
    </xf>
    <xf numFmtId="168" fontId="32" fillId="0" borderId="64" xfId="0" applyFont="true" applyBorder="true" applyAlignment="true" applyProtection="false">
      <alignment horizontal="general" vertical="bottom" textRotation="0" wrapText="false" indent="0" shrinkToFit="false"/>
      <protection locked="true" hidden="false"/>
    </xf>
    <xf numFmtId="164" fontId="31" fillId="0" borderId="64" xfId="0" applyFont="true" applyBorder="true" applyAlignment="true" applyProtection="false">
      <alignment horizontal="general" vertical="center" textRotation="0" wrapText="true" indent="0" shrinkToFit="false"/>
      <protection locked="true" hidden="false"/>
    </xf>
    <xf numFmtId="164" fontId="29" fillId="0" borderId="64" xfId="0" applyFont="true" applyBorder="true" applyAlignment="true" applyProtection="false">
      <alignment horizontal="general" vertical="center" textRotation="0" wrapText="true" indent="0" shrinkToFit="false"/>
      <protection locked="true" hidden="false"/>
    </xf>
    <xf numFmtId="164" fontId="53" fillId="0" borderId="0" xfId="0" applyFont="true" applyBorder="false" applyAlignment="true" applyProtection="false">
      <alignment horizontal="general" vertical="center" textRotation="0" wrapText="false" indent="0" shrinkToFit="false"/>
      <protection locked="true" hidden="false"/>
    </xf>
    <xf numFmtId="168" fontId="47" fillId="0" borderId="3" xfId="0" applyFont="true" applyBorder="true" applyAlignment="true" applyProtection="false">
      <alignment horizontal="right" vertical="center" textRotation="0" wrapText="false" indent="1" shrinkToFit="false"/>
      <protection locked="true" hidden="false"/>
    </xf>
    <xf numFmtId="164" fontId="11" fillId="4" borderId="65" xfId="0" applyFont="true" applyBorder="true" applyAlignment="true" applyProtection="false">
      <alignment horizontal="left" vertical="center" textRotation="0" wrapText="false" indent="1" shrinkToFit="false"/>
      <protection locked="true" hidden="false"/>
    </xf>
    <xf numFmtId="168" fontId="48" fillId="0" borderId="65" xfId="0" applyFont="true" applyBorder="true" applyAlignment="true" applyProtection="false">
      <alignment horizontal="center" vertical="center" textRotation="0" wrapText="false" indent="0" shrinkToFit="false"/>
      <protection locked="true" hidden="false"/>
    </xf>
    <xf numFmtId="168" fontId="47" fillId="0" borderId="12" xfId="0" applyFont="true" applyBorder="true" applyAlignment="true" applyProtection="false">
      <alignment horizontal="right" vertical="center" textRotation="0" wrapText="false" indent="1" shrinkToFit="false"/>
      <protection locked="true" hidden="false"/>
    </xf>
    <xf numFmtId="168" fontId="48" fillId="0" borderId="2" xfId="0" applyFont="true" applyBorder="true" applyAlignment="true" applyProtection="false">
      <alignment horizontal="right" vertical="center" textRotation="0" wrapText="false" indent="1" shrinkToFit="false"/>
      <protection locked="true" hidden="false"/>
    </xf>
    <xf numFmtId="168" fontId="48" fillId="0" borderId="53" xfId="0" applyFont="true" applyBorder="true" applyAlignment="true" applyProtection="false">
      <alignment horizontal="right" vertical="center" textRotation="0" wrapText="false" indent="1" shrinkToFit="false"/>
      <protection locked="true" hidden="false"/>
    </xf>
    <xf numFmtId="168" fontId="48" fillId="0" borderId="12" xfId="0" applyFont="true" applyBorder="true" applyAlignment="true" applyProtection="false">
      <alignment horizontal="right" vertical="center" textRotation="0" wrapText="false" indent="1" shrinkToFit="false"/>
      <protection locked="true" hidden="false"/>
    </xf>
    <xf numFmtId="164" fontId="9" fillId="3" borderId="34" xfId="0" applyFont="true" applyBorder="true" applyAlignment="true" applyProtection="false">
      <alignment horizontal="left" vertical="center" textRotation="0" wrapText="false" indent="1" shrinkToFit="false"/>
      <protection locked="true" hidden="false"/>
    </xf>
    <xf numFmtId="168" fontId="47" fillId="3" borderId="12" xfId="0" applyFont="true" applyBorder="true" applyAlignment="true" applyProtection="false">
      <alignment horizontal="right" vertical="center" textRotation="0" wrapText="false" indent="1" shrinkToFit="false"/>
      <protection locked="true" hidden="false"/>
    </xf>
    <xf numFmtId="164" fontId="9" fillId="3" borderId="60" xfId="0" applyFont="true" applyBorder="true" applyAlignment="true" applyProtection="false">
      <alignment horizontal="left" vertical="center" textRotation="0" wrapText="false" indent="1" shrinkToFit="false"/>
      <protection locked="true" hidden="false"/>
    </xf>
    <xf numFmtId="168" fontId="48" fillId="3" borderId="66" xfId="0" applyFont="true" applyBorder="true" applyAlignment="true" applyProtection="false">
      <alignment horizontal="right" vertical="center" textRotation="0" wrapText="false" indent="1" shrinkToFit="false"/>
      <protection locked="true" hidden="false"/>
    </xf>
    <xf numFmtId="168" fontId="48" fillId="3" borderId="61" xfId="0" applyFont="true" applyBorder="true" applyAlignment="true" applyProtection="false">
      <alignment horizontal="right" vertical="center" textRotation="0" wrapText="false" indent="1" shrinkToFit="false"/>
      <protection locked="true" hidden="false"/>
    </xf>
    <xf numFmtId="164" fontId="9" fillId="9" borderId="42" xfId="0" applyFont="true" applyBorder="true" applyAlignment="true" applyProtection="false">
      <alignment horizontal="center" vertical="center" textRotation="0" wrapText="true" indent="0" shrinkToFit="false"/>
      <protection locked="true" hidden="false"/>
    </xf>
    <xf numFmtId="168" fontId="47" fillId="9" borderId="42" xfId="0" applyFont="true" applyBorder="true" applyAlignment="true" applyProtection="false">
      <alignment horizontal="right" vertical="center" textRotation="0" wrapText="false" indent="1" shrinkToFit="false"/>
      <protection locked="true" hidden="false"/>
    </xf>
    <xf numFmtId="166" fontId="9" fillId="9" borderId="42" xfId="0" applyFont="true" applyBorder="true" applyAlignment="true" applyProtection="false">
      <alignment horizontal="center" vertical="center" textRotation="0" wrapText="true" indent="0" shrinkToFit="false"/>
      <protection locked="true" hidden="false"/>
    </xf>
    <xf numFmtId="164" fontId="29" fillId="0" borderId="0" xfId="0" applyFont="true" applyBorder="false" applyAlignment="true" applyProtection="false">
      <alignment horizontal="general" vertical="bottom" textRotation="0" wrapText="true" indent="0" shrinkToFit="false"/>
      <protection locked="true" hidden="false"/>
    </xf>
    <xf numFmtId="164" fontId="9" fillId="4" borderId="3" xfId="0" applyFont="true" applyBorder="true" applyAlignment="true" applyProtection="false">
      <alignment horizontal="left" vertical="center" textRotation="0" wrapText="false" indent="1" shrinkToFit="false"/>
      <protection locked="true" hidden="false"/>
    </xf>
    <xf numFmtId="164" fontId="16" fillId="4" borderId="65" xfId="0" applyFont="true" applyBorder="true" applyAlignment="true" applyProtection="false">
      <alignment horizontal="left" vertical="center" textRotation="0" wrapText="false" indent="1" shrinkToFit="false"/>
      <protection locked="true" hidden="false"/>
    </xf>
    <xf numFmtId="168" fontId="48" fillId="0" borderId="65" xfId="0" applyFont="true" applyBorder="true" applyAlignment="true" applyProtection="false">
      <alignment horizontal="right" vertical="center" textRotation="0" wrapText="false" indent="0" shrinkToFit="false"/>
      <protection locked="true" hidden="false"/>
    </xf>
    <xf numFmtId="168" fontId="48" fillId="0" borderId="3" xfId="0" applyFont="true" applyBorder="true" applyAlignment="true" applyProtection="false">
      <alignment horizontal="right" vertical="center" textRotation="0" wrapText="false" indent="0" shrinkToFit="false"/>
      <protection locked="true" hidden="false"/>
    </xf>
    <xf numFmtId="164" fontId="9" fillId="4" borderId="34" xfId="0" applyFont="true" applyBorder="true" applyAlignment="true" applyProtection="false">
      <alignment horizontal="left" vertical="center" textRotation="0" wrapText="false" indent="1" shrinkToFit="false"/>
      <protection locked="true" hidden="false"/>
    </xf>
    <xf numFmtId="168" fontId="48" fillId="0" borderId="2" xfId="0" applyFont="true" applyBorder="true" applyAlignment="true" applyProtection="false">
      <alignment horizontal="center" vertical="center" textRotation="0" wrapText="false" indent="0" shrinkToFit="false"/>
      <protection locked="true" hidden="false"/>
    </xf>
    <xf numFmtId="164" fontId="9" fillId="9" borderId="42" xfId="0" applyFont="true" applyBorder="true" applyAlignment="true" applyProtection="false">
      <alignment horizontal="left" vertical="center" textRotation="0" wrapText="true" indent="1" shrinkToFit="false"/>
      <protection locked="true" hidden="false"/>
    </xf>
    <xf numFmtId="164" fontId="8" fillId="2" borderId="39" xfId="0" applyFont="true" applyBorder="true" applyAlignment="true" applyProtection="false">
      <alignment horizontal="center" vertical="center" textRotation="0" wrapText="false" indent="0" shrinkToFit="false"/>
      <protection locked="true" hidden="false"/>
    </xf>
    <xf numFmtId="164" fontId="16" fillId="0" borderId="3" xfId="0" applyFont="true" applyBorder="true" applyAlignment="true" applyProtection="false">
      <alignment horizontal="left" vertical="center" textRotation="0" wrapText="false" indent="1" shrinkToFit="false"/>
      <protection locked="true" hidden="false"/>
    </xf>
    <xf numFmtId="172" fontId="12" fillId="0" borderId="3" xfId="0" applyFont="true" applyBorder="true" applyAlignment="true" applyProtection="false">
      <alignment horizontal="right" vertical="center" textRotation="0" wrapText="false" indent="1" shrinkToFit="false"/>
      <protection locked="true" hidden="false"/>
    </xf>
    <xf numFmtId="164" fontId="16" fillId="0" borderId="34" xfId="0" applyFont="true" applyBorder="true" applyAlignment="true" applyProtection="false">
      <alignment horizontal="left" vertical="center" textRotation="0" wrapText="false" indent="1" shrinkToFit="false"/>
      <protection locked="true" hidden="false"/>
    </xf>
    <xf numFmtId="172" fontId="12" fillId="0" borderId="12" xfId="0" applyFont="true" applyBorder="true" applyAlignment="true" applyProtection="false">
      <alignment horizontal="right" vertical="center" textRotation="0" wrapText="false" indent="1" shrinkToFit="false"/>
      <protection locked="true" hidden="false"/>
    </xf>
    <xf numFmtId="164" fontId="16" fillId="0" borderId="18" xfId="0" applyFont="true" applyBorder="true" applyAlignment="true" applyProtection="false">
      <alignment horizontal="left" vertical="center" textRotation="0" wrapText="false" indent="1" shrinkToFit="false"/>
      <protection locked="true" hidden="false"/>
    </xf>
    <xf numFmtId="172" fontId="12" fillId="0" borderId="2" xfId="0" applyFont="true" applyBorder="true" applyAlignment="true" applyProtection="false">
      <alignment horizontal="right" vertical="center" textRotation="0" wrapText="false" indent="1" shrinkToFit="false"/>
      <protection locked="true" hidden="false"/>
    </xf>
    <xf numFmtId="164" fontId="21" fillId="9" borderId="67" xfId="0" applyFont="true" applyBorder="true" applyAlignment="true" applyProtection="false">
      <alignment horizontal="left" vertical="center" textRotation="0" wrapText="false" indent="1" shrinkToFit="false"/>
      <protection locked="true" hidden="false"/>
    </xf>
    <xf numFmtId="164" fontId="21" fillId="9" borderId="67" xfId="0" applyFont="true" applyBorder="true" applyAlignment="true" applyProtection="false">
      <alignment horizontal="right" vertical="center" textRotation="0" wrapText="false" indent="1" shrinkToFit="false"/>
      <protection locked="true" hidden="false"/>
    </xf>
    <xf numFmtId="172" fontId="42" fillId="9" borderId="67" xfId="0" applyFont="true" applyBorder="true" applyAlignment="true" applyProtection="false">
      <alignment horizontal="right" vertical="center" textRotation="0" wrapText="false" indent="1" shrinkToFit="false"/>
      <protection locked="true" hidden="false"/>
    </xf>
    <xf numFmtId="164" fontId="21" fillId="9" borderId="33" xfId="0" applyFont="true" applyBorder="true" applyAlignment="true" applyProtection="false">
      <alignment horizontal="left" vertical="center" textRotation="0" wrapText="false" indent="1" shrinkToFit="false"/>
      <protection locked="true" hidden="false"/>
    </xf>
    <xf numFmtId="164" fontId="21" fillId="9" borderId="33" xfId="0" applyFont="true" applyBorder="true" applyAlignment="true" applyProtection="false">
      <alignment horizontal="right" vertical="center" textRotation="0" wrapText="false" indent="1" shrinkToFit="false"/>
      <protection locked="true" hidden="false"/>
    </xf>
    <xf numFmtId="172" fontId="42" fillId="9" borderId="0" xfId="0" applyFont="true" applyBorder="false" applyAlignment="true" applyProtection="false">
      <alignment horizontal="right" vertical="center" textRotation="0" wrapText="false" indent="1" shrinkToFit="false"/>
      <protection locked="true" hidden="false"/>
    </xf>
    <xf numFmtId="164" fontId="19" fillId="0" borderId="0" xfId="0" applyFont="true" applyBorder="false" applyAlignment="true" applyProtection="false">
      <alignment horizontal="general" vertical="center" textRotation="0" wrapText="false" indent="0" shrinkToFit="false"/>
      <protection locked="true" hidden="false"/>
    </xf>
    <xf numFmtId="173" fontId="16" fillId="0" borderId="65" xfId="0" applyFont="true" applyBorder="true" applyAlignment="true" applyProtection="false">
      <alignment horizontal="left" vertical="center" textRotation="0" wrapText="true" indent="1" shrinkToFit="false"/>
      <protection locked="true" hidden="false"/>
    </xf>
    <xf numFmtId="173" fontId="11" fillId="0" borderId="6" xfId="0" applyFont="true" applyBorder="true" applyAlignment="true" applyProtection="false">
      <alignment horizontal="left" vertical="center" textRotation="0" wrapText="true" indent="1" shrinkToFit="false"/>
      <protection locked="true" hidden="false"/>
    </xf>
    <xf numFmtId="173" fontId="16" fillId="0" borderId="6" xfId="0" applyFont="true" applyBorder="true" applyAlignment="true" applyProtection="false">
      <alignment horizontal="left" vertical="center" textRotation="0" wrapText="false" indent="1" shrinkToFit="false"/>
      <protection locked="true" hidden="false"/>
    </xf>
    <xf numFmtId="164" fontId="31" fillId="0" borderId="0" xfId="0" applyFont="true" applyBorder="false" applyAlignment="true" applyProtection="false">
      <alignment horizontal="right" vertical="bottom" textRotation="0" wrapText="false" indent="0" shrinkToFit="false"/>
      <protection locked="true" hidden="false"/>
    </xf>
    <xf numFmtId="164" fontId="51" fillId="2" borderId="25" xfId="0" applyFont="true" applyBorder="true" applyAlignment="true" applyProtection="false">
      <alignment horizontal="center" vertical="center" textRotation="0" wrapText="false" indent="0" shrinkToFit="false"/>
      <protection locked="true" hidden="false"/>
    </xf>
    <xf numFmtId="164" fontId="50" fillId="2" borderId="25" xfId="0" applyFont="true" applyBorder="true" applyAlignment="true" applyProtection="false">
      <alignment horizontal="center" vertical="center" textRotation="0" wrapText="false" indent="0" shrinkToFit="false"/>
      <protection locked="true" hidden="false"/>
    </xf>
    <xf numFmtId="164" fontId="29" fillId="0" borderId="68" xfId="0" applyFont="true" applyBorder="true" applyAlignment="true" applyProtection="false">
      <alignment horizontal="general" vertical="bottom" textRotation="0" wrapText="false" indent="0" shrinkToFit="false"/>
      <protection locked="true" hidden="false"/>
    </xf>
    <xf numFmtId="168" fontId="32" fillId="0" borderId="68" xfId="0" applyFont="true" applyBorder="true" applyAlignment="true" applyProtection="false">
      <alignment horizontal="general" vertical="bottom" textRotation="0" wrapText="false" indent="0" shrinkToFit="false"/>
      <protection locked="true" hidden="false"/>
    </xf>
    <xf numFmtId="174" fontId="56" fillId="0" borderId="68" xfId="0" applyFont="true" applyBorder="true" applyAlignment="true" applyProtection="false">
      <alignment horizontal="general" vertical="bottom" textRotation="0" wrapText="false" indent="0" shrinkToFit="false"/>
      <protection locked="true" hidden="false"/>
    </xf>
    <xf numFmtId="164" fontId="33" fillId="3" borderId="68" xfId="0" applyFont="true" applyBorder="true" applyAlignment="true" applyProtection="false">
      <alignment horizontal="general" vertical="bottom" textRotation="0" wrapText="false" indent="0" shrinkToFit="false"/>
      <protection locked="true" hidden="false"/>
    </xf>
    <xf numFmtId="168" fontId="35" fillId="3" borderId="68" xfId="0" applyFont="true" applyBorder="true" applyAlignment="true" applyProtection="false">
      <alignment horizontal="general" vertical="bottom" textRotation="0" wrapText="false" indent="0" shrinkToFit="false"/>
      <protection locked="true" hidden="false"/>
    </xf>
    <xf numFmtId="174" fontId="56" fillId="3" borderId="68" xfId="0" applyFont="true" applyBorder="true" applyAlignment="true" applyProtection="false">
      <alignment horizontal="general" vertical="bottom" textRotation="0" wrapText="false" indent="0" shrinkToFit="false"/>
      <protection locked="true" hidden="false"/>
    </xf>
    <xf numFmtId="164" fontId="57" fillId="0" borderId="0" xfId="0" applyFont="true" applyBorder="false" applyAlignment="true" applyProtection="false">
      <alignment horizontal="general" vertical="bottom" textRotation="0" wrapText="false" indent="0" shrinkToFit="false"/>
      <protection locked="true" hidden="false"/>
    </xf>
    <xf numFmtId="164" fontId="51" fillId="2" borderId="25" xfId="0" applyFont="true" applyBorder="true" applyAlignment="true" applyProtection="false">
      <alignment horizontal="center" vertical="center" textRotation="0" wrapText="true" indent="0" shrinkToFit="false"/>
      <protection locked="true" hidden="false"/>
    </xf>
    <xf numFmtId="164" fontId="50" fillId="2" borderId="25" xfId="0" applyFont="true" applyBorder="true" applyAlignment="true" applyProtection="false">
      <alignment horizontal="center" vertical="center" textRotation="0" wrapText="true" indent="0" shrinkToFit="false"/>
      <protection locked="true" hidden="false"/>
    </xf>
    <xf numFmtId="164" fontId="29" fillId="0" borderId="0" xfId="0" applyFont="true" applyBorder="false" applyAlignment="true" applyProtection="false">
      <alignment horizontal="general" vertical="top" textRotation="0" wrapText="true" indent="0" shrinkToFit="false"/>
      <protection locked="true" hidden="false"/>
    </xf>
    <xf numFmtId="164" fontId="59" fillId="2" borderId="19" xfId="0" applyFont="true" applyBorder="true" applyAlignment="true" applyProtection="false">
      <alignment horizontal="center" vertical="center" textRotation="0" wrapText="false" indent="0" shrinkToFit="false"/>
      <protection locked="true" hidden="false"/>
    </xf>
    <xf numFmtId="164" fontId="60" fillId="2" borderId="39" xfId="0" applyFont="true" applyBorder="true" applyAlignment="true" applyProtection="false">
      <alignment horizontal="center" vertical="center" textRotation="0" wrapText="false" indent="0" shrinkToFit="false"/>
      <protection locked="true" hidden="false"/>
    </xf>
    <xf numFmtId="164" fontId="59" fillId="2" borderId="39" xfId="0" applyFont="true" applyBorder="true" applyAlignment="true" applyProtection="false">
      <alignment horizontal="center" vertical="center" textRotation="0" wrapText="false" indent="0" shrinkToFit="false"/>
      <protection locked="true" hidden="false"/>
    </xf>
    <xf numFmtId="164" fontId="60" fillId="8" borderId="39" xfId="0" applyFont="true" applyBorder="true" applyAlignment="true" applyProtection="false">
      <alignment horizontal="center" vertical="center" textRotation="0" wrapText="false" indent="0" shrinkToFit="false"/>
      <protection locked="true" hidden="false"/>
    </xf>
    <xf numFmtId="164" fontId="62" fillId="0" borderId="0" xfId="0" applyFont="true" applyBorder="false" applyAlignment="true" applyProtection="false">
      <alignment horizontal="general" vertical="center" textRotation="0" wrapText="false" indent="0" shrinkToFit="false"/>
      <protection locked="true" hidden="false"/>
    </xf>
    <xf numFmtId="164" fontId="63" fillId="0" borderId="0" xfId="0" applyFont="true" applyBorder="false" applyAlignment="true" applyProtection="false">
      <alignment horizontal="general" vertical="center" textRotation="0" wrapText="false" indent="0" shrinkToFit="false"/>
      <protection locked="true" hidden="false"/>
    </xf>
    <xf numFmtId="164" fontId="64" fillId="4" borderId="20" xfId="0" applyFont="true" applyBorder="true" applyAlignment="true" applyProtection="false">
      <alignment horizontal="right" vertical="center" textRotation="0" wrapText="false" indent="1" shrinkToFit="false"/>
      <protection locked="true" hidden="false"/>
    </xf>
    <xf numFmtId="167" fontId="65" fillId="0" borderId="6" xfId="0" applyFont="true" applyBorder="true" applyAlignment="true" applyProtection="false">
      <alignment horizontal="right" vertical="center" textRotation="0" wrapText="false" indent="1" shrinkToFit="false"/>
      <protection locked="true" hidden="false"/>
    </xf>
    <xf numFmtId="164" fontId="11" fillId="4" borderId="36" xfId="0" applyFont="true" applyBorder="true" applyAlignment="true" applyProtection="false">
      <alignment horizontal="left" vertical="center" textRotation="0" wrapText="false" indent="1" shrinkToFit="false"/>
      <protection locked="true" hidden="false"/>
    </xf>
    <xf numFmtId="166" fontId="12" fillId="0" borderId="12" xfId="0" applyFont="true" applyBorder="true" applyAlignment="true" applyProtection="false">
      <alignment horizontal="right" vertical="center" textRotation="0" wrapText="false" indent="0" shrinkToFit="false"/>
      <protection locked="true" hidden="false"/>
    </xf>
    <xf numFmtId="166" fontId="66" fillId="0" borderId="30" xfId="0" applyFont="true" applyBorder="true" applyAlignment="true" applyProtection="false">
      <alignment horizontal="general" vertical="center" textRotation="0" wrapText="false" indent="0" shrinkToFit="false"/>
      <protection locked="true" hidden="false"/>
    </xf>
    <xf numFmtId="164" fontId="11" fillId="4" borderId="36" xfId="0" applyFont="true" applyBorder="true" applyAlignment="true" applyProtection="false">
      <alignment horizontal="left" vertical="center" textRotation="0" wrapText="false" indent="2" shrinkToFit="false"/>
      <protection locked="true" hidden="false"/>
    </xf>
    <xf numFmtId="166" fontId="12" fillId="0" borderId="36" xfId="0" applyFont="true" applyBorder="true" applyAlignment="true" applyProtection="false">
      <alignment horizontal="right" vertical="center" textRotation="0" wrapText="false" indent="0" shrinkToFit="false"/>
      <protection locked="true" hidden="false"/>
    </xf>
    <xf numFmtId="164" fontId="11" fillId="4" borderId="18" xfId="0" applyFont="true" applyBorder="true" applyAlignment="true" applyProtection="false">
      <alignment horizontal="left" vertical="center" textRotation="0" wrapText="false" indent="2" shrinkToFit="false"/>
      <protection locked="true" hidden="false"/>
    </xf>
    <xf numFmtId="166" fontId="67" fillId="0" borderId="2" xfId="0" applyFont="true" applyBorder="true" applyAlignment="true" applyProtection="false">
      <alignment horizontal="right" vertical="center" textRotation="0" wrapText="false" indent="0" shrinkToFit="false"/>
      <protection locked="true" hidden="false"/>
    </xf>
    <xf numFmtId="166" fontId="12" fillId="0" borderId="2" xfId="0" applyFont="true" applyBorder="true" applyAlignment="true" applyProtection="false">
      <alignment horizontal="right" vertical="center" textRotation="0" wrapText="false" indent="0" shrinkToFit="false"/>
      <protection locked="true" hidden="false"/>
    </xf>
    <xf numFmtId="164" fontId="16" fillId="4" borderId="20" xfId="0" applyFont="true" applyBorder="true" applyAlignment="true" applyProtection="false">
      <alignment horizontal="left" vertical="center" textRotation="0" wrapText="false" indent="2" shrinkToFit="false"/>
      <protection locked="true" hidden="false"/>
    </xf>
    <xf numFmtId="166" fontId="12" fillId="0" borderId="6" xfId="0" applyFont="true" applyBorder="true" applyAlignment="true" applyProtection="false">
      <alignment horizontal="right" vertical="center" textRotation="0" wrapText="false" indent="0" shrinkToFit="false"/>
      <protection locked="true" hidden="false"/>
    </xf>
    <xf numFmtId="164" fontId="11" fillId="4" borderId="18" xfId="0" applyFont="true" applyBorder="true" applyAlignment="true" applyProtection="false">
      <alignment horizontal="left" vertical="center" textRotation="0" wrapText="false" indent="1" shrinkToFit="false"/>
      <protection locked="true" hidden="false"/>
    </xf>
    <xf numFmtId="164" fontId="68" fillId="0" borderId="0" xfId="0" applyFont="true" applyBorder="false" applyAlignment="true" applyProtection="false">
      <alignment horizontal="general" vertical="center" textRotation="0" wrapText="false" indent="0" shrinkToFit="false"/>
      <protection locked="true" hidden="false"/>
    </xf>
    <xf numFmtId="164" fontId="9" fillId="3" borderId="69" xfId="0" applyFont="true" applyBorder="true" applyAlignment="true" applyProtection="false">
      <alignment horizontal="left" vertical="center" textRotation="0" wrapText="false" indent="1" shrinkToFit="false"/>
      <protection locked="true" hidden="false"/>
    </xf>
    <xf numFmtId="166" fontId="10" fillId="0" borderId="70" xfId="0" applyFont="true" applyBorder="true" applyAlignment="true" applyProtection="false">
      <alignment horizontal="right" vertical="center" textRotation="0" wrapText="false" indent="1" shrinkToFit="false"/>
      <protection locked="true" hidden="false"/>
    </xf>
    <xf numFmtId="164" fontId="19" fillId="0" borderId="71" xfId="0" applyFont="true" applyBorder="true" applyAlignment="true" applyProtection="false">
      <alignment horizontal="general" vertical="center" textRotation="0" wrapText="false" indent="0" shrinkToFit="false"/>
      <protection locked="true" hidden="false"/>
    </xf>
    <xf numFmtId="166" fontId="39" fillId="0" borderId="71" xfId="0" applyFont="true" applyBorder="true" applyAlignment="true" applyProtection="false">
      <alignment horizontal="general" vertical="center" textRotation="0" wrapText="false" indent="0" shrinkToFit="false"/>
      <protection locked="true" hidden="false"/>
    </xf>
    <xf numFmtId="164" fontId="69" fillId="0" borderId="0" xfId="0" applyFont="true" applyBorder="false" applyAlignment="true" applyProtection="false">
      <alignment horizontal="general" vertical="center" textRotation="0" wrapText="false" indent="0" shrinkToFit="false"/>
      <protection locked="true" hidden="false"/>
    </xf>
    <xf numFmtId="166" fontId="70" fillId="0" borderId="0" xfId="0" applyFont="true" applyBorder="false" applyAlignment="true" applyProtection="false">
      <alignment horizontal="center" vertical="center" textRotation="0" wrapText="false" indent="0" shrinkToFit="false"/>
      <protection locked="true" hidden="false"/>
    </xf>
    <xf numFmtId="166" fontId="70" fillId="0" borderId="0" xfId="0" applyFont="true" applyBorder="false" applyAlignment="true" applyProtection="false">
      <alignment horizontal="general" vertical="center" textRotation="0" wrapText="false" indent="0" shrinkToFit="false"/>
      <protection locked="true" hidden="false"/>
    </xf>
    <xf numFmtId="164" fontId="29" fillId="0" borderId="0" xfId="0" applyFont="true" applyBorder="false" applyAlignment="true" applyProtection="false">
      <alignment horizontal="general" vertical="center" textRotation="0" wrapText="false" indent="0" shrinkToFit="false"/>
      <protection locked="true" hidden="false"/>
    </xf>
    <xf numFmtId="166" fontId="69" fillId="0" borderId="0" xfId="0" applyFont="true" applyBorder="false" applyAlignment="true" applyProtection="false">
      <alignment horizontal="center" vertical="center" textRotation="0" wrapText="false" indent="0" shrinkToFit="false"/>
      <protection locked="true" hidden="false"/>
    </xf>
    <xf numFmtId="166" fontId="69" fillId="0" borderId="0" xfId="0" applyFont="true" applyBorder="false" applyAlignment="true" applyProtection="false">
      <alignment horizontal="general" vertical="center" textRotation="0" wrapText="false" indent="0" shrinkToFit="false"/>
      <protection locked="true" hidden="false"/>
    </xf>
    <xf numFmtId="164" fontId="69" fillId="0" borderId="0" xfId="0" applyFont="true" applyBorder="false" applyAlignment="true" applyProtection="false">
      <alignment horizontal="center" vertical="center" textRotation="0" wrapText="false" indent="0" shrinkToFit="false"/>
      <protection locked="true" hidden="false"/>
    </xf>
    <xf numFmtId="164" fontId="59" fillId="2" borderId="1" xfId="0" applyFont="true" applyBorder="true" applyAlignment="true" applyProtection="false">
      <alignment horizontal="center" vertical="center" textRotation="0" wrapText="false" indent="0" shrinkToFit="false"/>
      <protection locked="true" hidden="false"/>
    </xf>
    <xf numFmtId="164" fontId="11" fillId="4" borderId="72" xfId="0" applyFont="true" applyBorder="true" applyAlignment="true" applyProtection="false">
      <alignment horizontal="left" vertical="center" textRotation="0" wrapText="false" indent="1" shrinkToFit="false"/>
      <protection locked="true" hidden="false"/>
    </xf>
    <xf numFmtId="165" fontId="12" fillId="4" borderId="72" xfId="0" applyFont="true" applyBorder="true" applyAlignment="true" applyProtection="false">
      <alignment horizontal="right" vertical="center" textRotation="0" wrapText="false" indent="1" shrinkToFit="false"/>
      <protection locked="true" hidden="false"/>
    </xf>
    <xf numFmtId="173" fontId="16" fillId="0" borderId="73" xfId="0" applyFont="true" applyBorder="true" applyAlignment="true" applyProtection="false">
      <alignment horizontal="right" vertical="center" textRotation="0" wrapText="false" indent="1" shrinkToFit="false"/>
      <protection locked="true" hidden="false"/>
    </xf>
    <xf numFmtId="164" fontId="11" fillId="4" borderId="23" xfId="0" applyFont="true" applyBorder="true" applyAlignment="true" applyProtection="false">
      <alignment horizontal="left" vertical="center" textRotation="0" wrapText="false" indent="1" shrinkToFit="false"/>
      <protection locked="true" hidden="false"/>
    </xf>
    <xf numFmtId="165" fontId="12" fillId="4" borderId="30" xfId="0" applyFont="true" applyBorder="true" applyAlignment="true" applyProtection="false">
      <alignment horizontal="general" vertical="center" textRotation="0" wrapText="false" indent="0" shrinkToFit="false"/>
      <protection locked="true" hidden="false"/>
    </xf>
    <xf numFmtId="164" fontId="11" fillId="0" borderId="18" xfId="0" applyFont="true" applyBorder="true" applyAlignment="true" applyProtection="false">
      <alignment horizontal="left" vertical="center" textRotation="0" wrapText="false" indent="2" shrinkToFit="false"/>
      <protection locked="true" hidden="false"/>
    </xf>
    <xf numFmtId="173" fontId="16" fillId="0" borderId="2" xfId="0" applyFont="true" applyBorder="true" applyAlignment="true" applyProtection="false">
      <alignment horizontal="right" vertical="center" textRotation="0" wrapText="false" indent="1" shrinkToFit="false"/>
      <protection locked="true" hidden="false"/>
    </xf>
    <xf numFmtId="173" fontId="11" fillId="0" borderId="2" xfId="0" applyFont="true" applyBorder="true" applyAlignment="true" applyProtection="false">
      <alignment horizontal="left" vertical="center" textRotation="0" wrapText="false" indent="2" shrinkToFit="false"/>
      <protection locked="true" hidden="false"/>
    </xf>
    <xf numFmtId="165" fontId="12" fillId="0" borderId="2" xfId="0" applyFont="true" applyBorder="true" applyAlignment="true" applyProtection="false">
      <alignment horizontal="general"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2" shrinkToFit="false"/>
      <protection locked="true" hidden="false"/>
    </xf>
    <xf numFmtId="173" fontId="16" fillId="0" borderId="0" xfId="0" applyFont="true" applyBorder="false" applyAlignment="true" applyProtection="false">
      <alignment horizontal="right" vertical="center" textRotation="0" wrapText="false" indent="1" shrinkToFit="false"/>
      <protection locked="true" hidden="false"/>
    </xf>
    <xf numFmtId="173" fontId="11" fillId="0" borderId="0" xfId="0" applyFont="true" applyBorder="false" applyAlignment="true" applyProtection="false">
      <alignment horizontal="left" vertical="center" textRotation="0" wrapText="false" indent="2" shrinkToFit="false"/>
      <protection locked="true" hidden="false"/>
    </xf>
    <xf numFmtId="165" fontId="12" fillId="0" borderId="0" xfId="0" applyFont="true" applyBorder="false" applyAlignment="true" applyProtection="false">
      <alignment horizontal="general" vertical="center" textRotation="0" wrapText="false" indent="0" shrinkToFit="false"/>
      <protection locked="true" hidden="false"/>
    </xf>
    <xf numFmtId="165" fontId="12" fillId="4" borderId="34" xfId="0" applyFont="true" applyBorder="true" applyAlignment="true" applyProtection="false">
      <alignment horizontal="right" vertical="center" textRotation="0" wrapText="false" indent="1" shrinkToFit="false"/>
      <protection locked="true" hidden="false"/>
    </xf>
    <xf numFmtId="165" fontId="12" fillId="4" borderId="34" xfId="0" applyFont="true" applyBorder="true" applyAlignment="true" applyProtection="false">
      <alignment horizontal="general" vertical="center" textRotation="0" wrapText="false" indent="0" shrinkToFit="false"/>
      <protection locked="true" hidden="false"/>
    </xf>
    <xf numFmtId="164" fontId="9" fillId="4" borderId="74" xfId="0" applyFont="true" applyBorder="true" applyAlignment="true" applyProtection="false">
      <alignment horizontal="left" vertical="center" textRotation="0" wrapText="false" indent="1" shrinkToFit="false"/>
      <protection locked="true" hidden="false"/>
    </xf>
    <xf numFmtId="165" fontId="10" fillId="4" borderId="74" xfId="0" applyFont="true" applyBorder="true" applyAlignment="true" applyProtection="false">
      <alignment horizontal="general" vertical="center" textRotation="0" wrapText="false" indent="0" shrinkToFit="false"/>
      <protection locked="true" hidden="false"/>
    </xf>
    <xf numFmtId="164" fontId="9" fillId="4" borderId="30" xfId="0" applyFont="true" applyBorder="true" applyAlignment="true" applyProtection="false">
      <alignment horizontal="left" vertical="center" textRotation="0" wrapText="false" indent="1" shrinkToFit="false"/>
      <protection locked="true" hidden="false"/>
    </xf>
    <xf numFmtId="165" fontId="10" fillId="4" borderId="30" xfId="0" applyFont="true" applyBorder="true" applyAlignment="true" applyProtection="false">
      <alignment horizontal="general" vertical="center" textRotation="0" wrapText="false" indent="0" shrinkToFit="false"/>
      <protection locked="true" hidden="false"/>
    </xf>
    <xf numFmtId="165" fontId="10" fillId="4" borderId="30" xfId="0" applyFont="true" applyBorder="true" applyAlignment="true" applyProtection="false">
      <alignment horizontal="right" vertical="center" textRotation="0" wrapText="false" indent="1" shrinkToFit="false"/>
      <protection locked="true" hidden="false"/>
    </xf>
    <xf numFmtId="165" fontId="19" fillId="0" borderId="0" xfId="0" applyFont="true" applyBorder="false" applyAlignment="true" applyProtection="false">
      <alignment horizontal="general" vertical="center" textRotation="0" wrapText="false" indent="0" shrinkToFit="false"/>
      <protection locked="true" hidden="false"/>
    </xf>
    <xf numFmtId="164" fontId="32" fillId="0" borderId="68" xfId="0" applyFont="true" applyBorder="true" applyAlignment="true" applyProtection="false">
      <alignment horizontal="center" vertical="bottom" textRotation="0" wrapText="false" indent="0" shrinkToFit="false"/>
      <protection locked="true" hidden="false"/>
    </xf>
    <xf numFmtId="175" fontId="32" fillId="0" borderId="68" xfId="0" applyFont="true" applyBorder="true" applyAlignment="true" applyProtection="false">
      <alignment horizontal="general" vertical="bottom" textRotation="0" wrapText="false" indent="0" shrinkToFit="false"/>
      <protection locked="true" hidden="false"/>
    </xf>
    <xf numFmtId="167" fontId="56" fillId="0" borderId="68" xfId="0" applyFont="true" applyBorder="true" applyAlignment="true" applyProtection="false">
      <alignment horizontal="general" vertical="bottom" textRotation="0" wrapText="false" indent="0" shrinkToFit="false"/>
      <protection locked="true" hidden="false"/>
    </xf>
    <xf numFmtId="175" fontId="32" fillId="0" borderId="68" xfId="0" applyFont="true" applyBorder="true" applyAlignment="true" applyProtection="false">
      <alignment horizontal="center" vertical="bottom" textRotation="0" wrapText="false" indent="0" shrinkToFit="false"/>
      <protection locked="true" hidden="false"/>
    </xf>
    <xf numFmtId="176" fontId="32" fillId="0" borderId="68" xfId="0" applyFont="true" applyBorder="true" applyAlignment="true" applyProtection="false">
      <alignment horizontal="center" vertical="bottom" textRotation="0" wrapText="false" indent="0" shrinkToFit="false"/>
      <protection locked="true" hidden="false"/>
    </xf>
    <xf numFmtId="164" fontId="52" fillId="0" borderId="68" xfId="0" applyFont="true" applyBorder="true" applyAlignment="true" applyProtection="false">
      <alignment horizontal="general" vertical="bottom" textRotation="0" wrapText="false" indent="0" shrinkToFit="false"/>
      <protection locked="true" hidden="false"/>
    </xf>
    <xf numFmtId="175" fontId="35" fillId="3" borderId="68" xfId="0" applyFont="true" applyBorder="true" applyAlignment="true" applyProtection="false">
      <alignment horizontal="general" vertical="bottom" textRotation="0" wrapText="false" indent="0" shrinkToFit="false"/>
      <protection locked="true" hidden="false"/>
    </xf>
    <xf numFmtId="164" fontId="33" fillId="3" borderId="68" xfId="0" applyFont="true" applyBorder="true" applyAlignment="true" applyProtection="false">
      <alignment horizontal="center" vertical="bottom" textRotation="0" wrapText="false" indent="0" shrinkToFit="false"/>
      <protection locked="true" hidden="false"/>
    </xf>
    <xf numFmtId="176" fontId="35" fillId="3" borderId="68" xfId="0" applyFont="true" applyBorder="true" applyAlignment="true" applyProtection="false">
      <alignment horizontal="center" vertical="bottom" textRotation="0" wrapText="false" indent="0" shrinkToFit="false"/>
      <protection locked="true" hidden="false"/>
    </xf>
    <xf numFmtId="177" fontId="56" fillId="0" borderId="68" xfId="0" applyFont="true" applyBorder="true" applyAlignment="true" applyProtection="false">
      <alignment horizontal="general" vertical="bottom" textRotation="0" wrapText="false" indent="0" shrinkToFit="false"/>
      <protection locked="true" hidden="false"/>
    </xf>
    <xf numFmtId="177" fontId="72" fillId="3" borderId="68" xfId="0" applyFont="true" applyBorder="true" applyAlignment="true" applyProtection="false">
      <alignment horizontal="general" vertical="bottom" textRotation="0" wrapText="false" indent="0" shrinkToFit="false"/>
      <protection locked="true" hidden="false"/>
    </xf>
    <xf numFmtId="164" fontId="73" fillId="2" borderId="68" xfId="0" applyFont="true" applyBorder="true" applyAlignment="true" applyProtection="false">
      <alignment horizontal="center" vertical="center" textRotation="0" wrapText="true" indent="0" shrinkToFit="false"/>
      <protection locked="true" hidden="false"/>
    </xf>
    <xf numFmtId="164" fontId="51" fillId="2" borderId="68" xfId="0" applyFont="true" applyBorder="true" applyAlignment="true" applyProtection="false">
      <alignment horizontal="center" vertical="center" textRotation="0" wrapText="true" indent="0" shrinkToFit="false"/>
      <protection locked="true" hidden="false"/>
    </xf>
    <xf numFmtId="177" fontId="32" fillId="0" borderId="68" xfId="0" applyFont="true" applyBorder="true" applyAlignment="true" applyProtection="false">
      <alignment horizontal="general" vertical="bottom" textRotation="0" wrapText="false" indent="0" shrinkToFit="false"/>
      <protection locked="true" hidden="false"/>
    </xf>
    <xf numFmtId="164" fontId="35" fillId="3" borderId="68" xfId="0" applyFont="true" applyBorder="true" applyAlignment="true" applyProtection="false">
      <alignment horizontal="center" vertical="bottom" textRotation="0" wrapText="false" indent="0" shrinkToFit="false"/>
      <protection locked="true" hidden="false"/>
    </xf>
    <xf numFmtId="177" fontId="35" fillId="3" borderId="68" xfId="0" applyFont="true" applyBorder="true" applyAlignment="true" applyProtection="false">
      <alignment horizontal="general" vertical="bottom" textRotation="0" wrapText="false" indent="0" shrinkToFit="false"/>
      <protection locked="true" hidden="false"/>
    </xf>
    <xf numFmtId="164" fontId="31" fillId="0" borderId="68" xfId="0" applyFont="true" applyBorder="true" applyAlignment="true" applyProtection="false">
      <alignment horizontal="general" vertical="bottom" textRotation="0" wrapText="false" indent="0" shrinkToFit="false"/>
      <protection locked="true" hidden="false"/>
    </xf>
    <xf numFmtId="164" fontId="31" fillId="3" borderId="68" xfId="0" applyFont="true" applyBorder="true" applyAlignment="true" applyProtection="false">
      <alignment horizontal="general" vertical="bottom" textRotation="0" wrapText="false" indent="0" shrinkToFit="false"/>
      <protection locked="true" hidden="false"/>
    </xf>
    <xf numFmtId="164" fontId="16" fillId="4" borderId="6" xfId="0" applyFont="true" applyBorder="true" applyAlignment="true" applyProtection="false">
      <alignment horizontal="center" vertical="center" textRotation="0" wrapText="false" indent="0" shrinkToFit="false"/>
      <protection locked="true" hidden="false"/>
    </xf>
    <xf numFmtId="165" fontId="12" fillId="0" borderId="6" xfId="0" applyFont="true" applyBorder="true" applyAlignment="true" applyProtection="false">
      <alignment horizontal="general" vertical="center" textRotation="0" wrapText="false" indent="0" shrinkToFit="false"/>
      <protection locked="true" hidden="false"/>
    </xf>
    <xf numFmtId="164" fontId="16" fillId="4" borderId="20" xfId="0" applyFont="true" applyBorder="true" applyAlignment="true" applyProtection="false">
      <alignment horizontal="center" vertical="center" textRotation="0" wrapText="false" indent="0" shrinkToFit="false"/>
      <protection locked="true" hidden="false"/>
    </xf>
    <xf numFmtId="164" fontId="11" fillId="5" borderId="7" xfId="0" applyFont="true" applyBorder="true" applyAlignment="true" applyProtection="false">
      <alignment horizontal="left" vertical="center" textRotation="0" wrapText="false" indent="1" shrinkToFit="false"/>
      <protection locked="true" hidden="false"/>
    </xf>
    <xf numFmtId="164" fontId="16" fillId="4" borderId="65" xfId="0" applyFont="true" applyBorder="true" applyAlignment="true" applyProtection="false">
      <alignment horizontal="center" vertical="center" textRotation="0" wrapText="false" indent="0" shrinkToFit="false"/>
      <protection locked="true" hidden="false"/>
    </xf>
    <xf numFmtId="164" fontId="21" fillId="4" borderId="65" xfId="0" applyFont="true" applyBorder="true" applyAlignment="true" applyProtection="false">
      <alignment horizontal="left" vertical="center" textRotation="0" wrapText="false" indent="1" shrinkToFit="false"/>
      <protection locked="true" hidden="false"/>
    </xf>
    <xf numFmtId="173" fontId="11" fillId="0" borderId="6" xfId="0" applyFont="true" applyBorder="true" applyAlignment="true" applyProtection="false">
      <alignment horizontal="center" vertical="center" textRotation="0" wrapText="false" indent="0" shrinkToFit="false"/>
      <protection locked="true" hidden="false"/>
    </xf>
    <xf numFmtId="164" fontId="21" fillId="3" borderId="65" xfId="0" applyFont="true" applyBorder="true" applyAlignment="true" applyProtection="false">
      <alignment horizontal="left" vertical="center" textRotation="0" wrapText="false" indent="1" shrinkToFit="false"/>
      <protection locked="true" hidden="false"/>
    </xf>
    <xf numFmtId="173" fontId="9" fillId="3" borderId="6" xfId="0" applyFont="true" applyBorder="true" applyAlignment="true" applyProtection="false">
      <alignment horizontal="center" vertical="center" textRotation="0" wrapText="false" indent="0" shrinkToFit="false"/>
      <protection locked="true" hidden="false"/>
    </xf>
    <xf numFmtId="165" fontId="10" fillId="3" borderId="6" xfId="0" applyFont="true" applyBorder="true" applyAlignment="true" applyProtection="false">
      <alignment horizontal="general" vertical="center" textRotation="0" wrapText="false" indent="0" shrinkToFit="false"/>
      <protection locked="true" hidden="false"/>
    </xf>
    <xf numFmtId="173" fontId="10" fillId="3" borderId="6" xfId="0" applyFont="true" applyBorder="true" applyAlignment="true" applyProtection="false">
      <alignment horizontal="right" vertical="center" textRotation="0" wrapText="false" indent="0" shrinkToFit="false"/>
      <protection locked="true" hidden="false"/>
    </xf>
    <xf numFmtId="164" fontId="7" fillId="2" borderId="10" xfId="0" applyFont="true" applyBorder="true" applyAlignment="true" applyProtection="false">
      <alignment horizontal="center" vertical="center" textRotation="0" wrapText="true" indent="0" shrinkToFit="false"/>
      <protection locked="true" hidden="false"/>
    </xf>
    <xf numFmtId="173" fontId="12" fillId="0" borderId="6" xfId="0" applyFont="true" applyBorder="true" applyAlignment="true" applyProtection="false">
      <alignment horizontal="right" vertical="center" textRotation="0" wrapText="false" indent="1" shrinkToFit="false"/>
      <protection locked="true" hidden="false"/>
    </xf>
    <xf numFmtId="164" fontId="21" fillId="3" borderId="20" xfId="0" applyFont="true" applyBorder="true" applyAlignment="true" applyProtection="false">
      <alignment horizontal="center" vertical="center" textRotation="0" wrapText="false" indent="0" shrinkToFit="false"/>
      <protection locked="true" hidden="false"/>
    </xf>
    <xf numFmtId="173" fontId="9" fillId="3" borderId="7" xfId="0" applyFont="true" applyBorder="true" applyAlignment="true" applyProtection="false">
      <alignment horizontal="center" vertical="center" textRotation="0" wrapText="false" indent="0" shrinkToFit="false"/>
      <protection locked="true" hidden="false"/>
    </xf>
    <xf numFmtId="165" fontId="10" fillId="3" borderId="7" xfId="0" applyFont="true" applyBorder="true" applyAlignment="true" applyProtection="false">
      <alignment horizontal="right" vertical="center" textRotation="0" wrapText="false" indent="1" shrinkToFit="false"/>
      <protection locked="true" hidden="false"/>
    </xf>
    <xf numFmtId="173" fontId="10" fillId="3" borderId="7" xfId="0" applyFont="true" applyBorder="true" applyAlignment="true" applyProtection="false">
      <alignment horizontal="right" vertical="center" textRotation="0" wrapText="false" indent="1" shrinkToFit="false"/>
      <protection locked="true" hidden="false"/>
    </xf>
    <xf numFmtId="165" fontId="11" fillId="0" borderId="6" xfId="0" applyFont="true" applyBorder="true" applyAlignment="true" applyProtection="false">
      <alignment horizontal="left" vertical="center" textRotation="0" wrapText="false" indent="1" shrinkToFit="false"/>
      <protection locked="true" hidden="false"/>
    </xf>
    <xf numFmtId="165" fontId="16" fillId="0" borderId="7" xfId="0" applyFont="true" applyBorder="true" applyAlignment="true" applyProtection="false">
      <alignment horizontal="left" vertical="center" textRotation="0" wrapText="false" indent="1" shrinkToFit="false"/>
      <protection locked="true" hidden="false"/>
    </xf>
    <xf numFmtId="165" fontId="46" fillId="0" borderId="6" xfId="0" applyFont="true" applyBorder="true" applyAlignment="true" applyProtection="false">
      <alignment horizontal="right" vertical="center" textRotation="0" wrapText="false" indent="1" shrinkToFit="false"/>
      <protection locked="true" hidden="false"/>
    </xf>
    <xf numFmtId="164" fontId="21" fillId="4" borderId="65" xfId="0" applyFont="true" applyBorder="true" applyAlignment="true" applyProtection="false">
      <alignment horizontal="center" vertical="center" textRotation="0" wrapText="false" indent="0" shrinkToFit="false"/>
      <protection locked="true" hidden="false"/>
    </xf>
    <xf numFmtId="164" fontId="21" fillId="4" borderId="20" xfId="0" applyFont="true" applyBorder="true" applyAlignment="true" applyProtection="false">
      <alignment horizontal="center" vertical="center" textRotation="0" wrapText="false" indent="0" shrinkToFit="false"/>
      <protection locked="true" hidden="false"/>
    </xf>
    <xf numFmtId="165" fontId="21" fillId="3" borderId="7" xfId="0" applyFont="true" applyBorder="true" applyAlignment="true" applyProtection="false">
      <alignment horizontal="left" vertical="center" textRotation="0" wrapText="false" indent="1" shrinkToFit="false"/>
      <protection locked="true" hidden="false"/>
    </xf>
    <xf numFmtId="164" fontId="74" fillId="0" borderId="0" xfId="0" applyFont="true" applyBorder="false" applyAlignment="true" applyProtection="false">
      <alignment horizontal="general" vertical="center" textRotation="0" wrapText="false" indent="0" shrinkToFit="false"/>
      <protection locked="true" hidden="false"/>
    </xf>
    <xf numFmtId="164" fontId="74" fillId="0" borderId="0" xfId="0" applyFont="true" applyBorder="false" applyAlignment="true" applyProtection="false">
      <alignment horizontal="right" vertical="center" textRotation="0" wrapText="false" indent="0" shrinkToFit="false"/>
      <protection locked="true" hidden="false"/>
    </xf>
    <xf numFmtId="164" fontId="0" fillId="0" borderId="0" xfId="0" applyFont="false" applyBorder="false" applyAlignment="true" applyProtection="false">
      <alignment horizontal="right"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74" fillId="7" borderId="0" xfId="0" applyFont="true" applyBorder="false" applyAlignment="true" applyProtection="false">
      <alignment horizontal="general" vertical="center" textRotation="0" wrapText="false" indent="0" shrinkToFit="false"/>
      <protection locked="true" hidden="false"/>
    </xf>
    <xf numFmtId="178" fontId="74" fillId="7" borderId="0" xfId="0" applyFont="true" applyBorder="false" applyAlignment="true" applyProtection="false">
      <alignment horizontal="right" vertical="center" textRotation="0" wrapText="false" indent="0" shrinkToFit="false"/>
      <protection locked="true" hidden="false"/>
    </xf>
    <xf numFmtId="164" fontId="50" fillId="2" borderId="19" xfId="0" applyFont="true" applyBorder="true" applyAlignment="true" applyProtection="false">
      <alignment horizontal="center" vertical="center" textRotation="0" wrapText="true" indent="0" shrinkToFit="false"/>
      <protection locked="true" hidden="false"/>
    </xf>
    <xf numFmtId="164" fontId="51" fillId="2" borderId="47" xfId="0" applyFont="true" applyBorder="true" applyAlignment="true" applyProtection="false">
      <alignment horizontal="center" vertical="center" textRotation="0" wrapText="true" indent="0" shrinkToFit="false"/>
      <protection locked="true" hidden="false"/>
    </xf>
    <xf numFmtId="164" fontId="51" fillId="2" borderId="39" xfId="0" applyFont="true" applyBorder="true" applyAlignment="true" applyProtection="false">
      <alignment horizontal="center" vertical="center" textRotation="0" wrapText="true" indent="0" shrinkToFit="false"/>
      <protection locked="true" hidden="false"/>
    </xf>
    <xf numFmtId="164" fontId="32" fillId="4" borderId="64" xfId="0" applyFont="true" applyBorder="true" applyAlignment="true" applyProtection="false">
      <alignment horizontal="center" vertical="center" textRotation="0" wrapText="false" indent="0" shrinkToFit="false"/>
      <protection locked="true" hidden="false"/>
    </xf>
    <xf numFmtId="164" fontId="29" fillId="5" borderId="64" xfId="0" applyFont="true" applyBorder="true" applyAlignment="true" applyProtection="false">
      <alignment horizontal="left" vertical="center" textRotation="0" wrapText="false" indent="0" shrinkToFit="false"/>
      <protection locked="true" hidden="false"/>
    </xf>
    <xf numFmtId="176" fontId="29" fillId="5" borderId="64" xfId="0" applyFont="true" applyBorder="true" applyAlignment="true" applyProtection="false">
      <alignment horizontal="center" vertical="center" textRotation="0" wrapText="false" indent="0" shrinkToFit="false"/>
      <protection locked="true" hidden="false"/>
    </xf>
    <xf numFmtId="176" fontId="32" fillId="5" borderId="64" xfId="0" applyFont="true" applyBorder="true" applyAlignment="true" applyProtection="false">
      <alignment horizontal="center" vertical="center" textRotation="0" wrapText="false" indent="0" shrinkToFit="false"/>
      <protection locked="true" hidden="false"/>
    </xf>
    <xf numFmtId="179" fontId="29" fillId="5" borderId="64" xfId="0" applyFont="true" applyBorder="true" applyAlignment="true" applyProtection="false">
      <alignment horizontal="center" vertical="center" textRotation="0" wrapText="false" indent="0" shrinkToFit="false"/>
      <protection locked="true" hidden="false"/>
    </xf>
    <xf numFmtId="179" fontId="29" fillId="5" borderId="64" xfId="0" applyFont="true" applyBorder="true" applyAlignment="true" applyProtection="false">
      <alignment horizontal="left" vertical="center" textRotation="0" wrapText="false" indent="0" shrinkToFit="false"/>
      <protection locked="true" hidden="false"/>
    </xf>
    <xf numFmtId="178" fontId="29" fillId="5" borderId="64" xfId="0" applyFont="true" applyBorder="true" applyAlignment="true" applyProtection="false">
      <alignment horizontal="left" vertical="center" textRotation="0" wrapText="false" indent="0" shrinkToFit="false"/>
      <protection locked="true" hidden="false"/>
    </xf>
    <xf numFmtId="180" fontId="29" fillId="5" borderId="64" xfId="0" applyFont="true" applyBorder="true" applyAlignment="true" applyProtection="false">
      <alignment horizontal="left" vertical="center" textRotation="0" wrapText="false" indent="0" shrinkToFit="false"/>
      <protection locked="true" hidden="false"/>
    </xf>
    <xf numFmtId="173" fontId="46" fillId="0" borderId="65" xfId="0" applyFont="true" applyBorder="true" applyAlignment="true" applyProtection="false">
      <alignment horizontal="left" vertical="center" textRotation="0" wrapText="false" indent="1" shrinkToFit="false"/>
      <protection locked="true" hidden="false"/>
    </xf>
    <xf numFmtId="173" fontId="12" fillId="0" borderId="65" xfId="0" applyFont="true" applyBorder="true" applyAlignment="true" applyProtection="false">
      <alignment horizontal="general" vertical="center" textRotation="0" wrapText="false" indent="0" shrinkToFit="false"/>
      <protection locked="true" hidden="false"/>
    </xf>
    <xf numFmtId="173" fontId="12" fillId="0" borderId="65" xfId="0" applyFont="true" applyBorder="true" applyAlignment="true" applyProtection="false">
      <alignment horizontal="right" vertical="center" textRotation="0" wrapText="false" indent="1" shrinkToFit="false"/>
      <protection locked="true" hidden="false"/>
    </xf>
    <xf numFmtId="164" fontId="40" fillId="5" borderId="65" xfId="0" applyFont="true" applyBorder="true" applyAlignment="true" applyProtection="false">
      <alignment horizontal="left" vertical="center" textRotation="0" wrapText="false" indent="1" shrinkToFit="false"/>
      <protection locked="true" hidden="false"/>
    </xf>
    <xf numFmtId="173" fontId="29" fillId="0" borderId="64" xfId="0" applyFont="true" applyBorder="true" applyAlignment="true" applyProtection="false">
      <alignment horizontal="left" vertical="center" textRotation="0" wrapText="false" indent="0" shrinkToFit="false"/>
      <protection locked="true" hidden="false"/>
    </xf>
    <xf numFmtId="173" fontId="12" fillId="0" borderId="6" xfId="0" applyFont="true" applyBorder="true" applyAlignment="true" applyProtection="false">
      <alignment horizontal="left" vertical="center" textRotation="0" wrapText="false" indent="1" shrinkToFit="false"/>
      <protection locked="true" hidden="false"/>
    </xf>
    <xf numFmtId="173" fontId="12" fillId="0" borderId="6" xfId="0" applyFont="true" applyBorder="true" applyAlignment="true" applyProtection="false">
      <alignment horizontal="general" vertical="center" textRotation="0" wrapText="false" indent="0" shrinkToFit="false"/>
      <protection locked="true" hidden="false"/>
    </xf>
    <xf numFmtId="164" fontId="40" fillId="5" borderId="7" xfId="0" applyFont="true" applyBorder="true" applyAlignment="true" applyProtection="false">
      <alignment horizontal="left" vertical="center" textRotation="0" wrapText="false" indent="1" shrinkToFit="false"/>
      <protection locked="true" hidden="false"/>
    </xf>
    <xf numFmtId="164" fontId="52" fillId="5" borderId="64" xfId="0" applyFont="true" applyBorder="true" applyAlignment="true" applyProtection="false">
      <alignment horizontal="left" vertical="center" textRotation="0" wrapText="false" indent="0" shrinkToFit="false"/>
      <protection locked="true" hidden="false"/>
    </xf>
    <xf numFmtId="179" fontId="52" fillId="5" borderId="64" xfId="0" applyFont="true" applyBorder="true" applyAlignment="true" applyProtection="false">
      <alignment horizontal="center" vertical="center" textRotation="0" wrapText="false" indent="0" shrinkToFit="false"/>
      <protection locked="true" hidden="false"/>
    </xf>
    <xf numFmtId="164" fontId="40" fillId="5" borderId="7" xfId="0" applyFont="true" applyBorder="true" applyAlignment="true" applyProtection="false">
      <alignment horizontal="left" vertical="center" textRotation="0" wrapText="true" indent="1" shrinkToFit="false"/>
      <protection locked="true" hidden="false"/>
    </xf>
    <xf numFmtId="164" fontId="32" fillId="0" borderId="64" xfId="0" applyFont="true" applyBorder="true" applyAlignment="true" applyProtection="false">
      <alignment horizontal="center" vertical="center" textRotation="0" wrapText="false" indent="0" shrinkToFit="false"/>
      <protection locked="true" hidden="false"/>
    </xf>
    <xf numFmtId="164" fontId="52" fillId="0" borderId="64" xfId="0" applyFont="true" applyBorder="true" applyAlignment="true" applyProtection="false">
      <alignment horizontal="left" vertical="center" textRotation="0" wrapText="false" indent="0" shrinkToFit="false"/>
      <protection locked="true" hidden="false"/>
    </xf>
    <xf numFmtId="164" fontId="29" fillId="0" borderId="64" xfId="0" applyFont="true" applyBorder="true" applyAlignment="true" applyProtection="false">
      <alignment horizontal="center" vertical="center" textRotation="0" wrapText="false" indent="0" shrinkToFit="false"/>
      <protection locked="true" hidden="false"/>
    </xf>
    <xf numFmtId="164" fontId="75" fillId="0" borderId="0" xfId="0" applyFont="true" applyBorder="false" applyAlignment="true" applyProtection="false">
      <alignment horizontal="general" vertical="bottom" textRotation="0" wrapText="false" indent="0" shrinkToFit="false"/>
      <protection locked="true" hidden="false"/>
    </xf>
    <xf numFmtId="164" fontId="51" fillId="2" borderId="0" xfId="0" applyFont="true" applyBorder="false" applyAlignment="true" applyProtection="false">
      <alignment horizontal="center" vertical="center" textRotation="0" wrapText="true" indent="0" shrinkToFit="false"/>
      <protection locked="true" hidden="false"/>
    </xf>
    <xf numFmtId="164" fontId="29" fillId="0" borderId="64" xfId="0" applyFont="true" applyBorder="true" applyAlignment="true" applyProtection="false">
      <alignment horizontal="general" vertical="bottom" textRotation="0" wrapText="false" indent="0" shrinkToFit="false"/>
      <protection locked="true" hidden="false"/>
    </xf>
    <xf numFmtId="176" fontId="32" fillId="0" borderId="64" xfId="0" applyFont="true" applyBorder="true" applyAlignment="true" applyProtection="false">
      <alignment horizontal="general" vertical="bottom" textRotation="0" wrapText="false" indent="0" shrinkToFit="false"/>
      <protection locked="true" hidden="false"/>
    </xf>
    <xf numFmtId="179" fontId="32" fillId="0" borderId="64" xfId="0" applyFont="true" applyBorder="true" applyAlignment="true" applyProtection="false">
      <alignment horizontal="general" vertical="bottom" textRotation="0" wrapText="false" indent="0" shrinkToFit="false"/>
      <protection locked="true" hidden="false"/>
    </xf>
    <xf numFmtId="181" fontId="35" fillId="0" borderId="0" xfId="0" applyFont="true" applyBorder="false" applyAlignment="true" applyProtection="false">
      <alignment horizontal="general" vertical="bottom" textRotation="0" wrapText="false" indent="0" shrinkToFit="false"/>
      <protection locked="true" hidden="false"/>
    </xf>
    <xf numFmtId="164" fontId="7" fillId="2" borderId="39" xfId="0" applyFont="true" applyBorder="true" applyAlignment="true" applyProtection="false">
      <alignment horizontal="center" vertical="center" textRotation="0" wrapText="true" indent="0" shrinkToFit="false"/>
      <protection locked="true" hidden="false"/>
    </xf>
    <xf numFmtId="164" fontId="11" fillId="0" borderId="65" xfId="0" applyFont="true" applyBorder="true" applyAlignment="true" applyProtection="false">
      <alignment horizontal="left" vertical="center" textRotation="0" wrapText="true" indent="1" shrinkToFit="false"/>
      <protection locked="true" hidden="false"/>
    </xf>
    <xf numFmtId="173" fontId="11" fillId="0" borderId="65" xfId="0" applyFont="true" applyBorder="true" applyAlignment="true" applyProtection="false">
      <alignment horizontal="center" vertical="center" textRotation="0" wrapText="true" indent="0" shrinkToFit="false"/>
      <protection locked="true" hidden="false"/>
    </xf>
    <xf numFmtId="173" fontId="16" fillId="0" borderId="65" xfId="0" applyFont="true" applyBorder="true" applyAlignment="true" applyProtection="false">
      <alignment horizontal="right" vertical="center" textRotation="0" wrapText="false" indent="1" shrinkToFit="false"/>
      <protection locked="true" hidden="false"/>
    </xf>
    <xf numFmtId="165" fontId="12" fillId="0" borderId="65" xfId="0" applyFont="true" applyBorder="true" applyAlignment="true" applyProtection="false">
      <alignment horizontal="right" vertical="center" textRotation="0" wrapText="false" indent="1" shrinkToFit="false"/>
      <protection locked="true" hidden="false"/>
    </xf>
    <xf numFmtId="164" fontId="16" fillId="5" borderId="65" xfId="0" applyFont="true" applyBorder="true" applyAlignment="true" applyProtection="false">
      <alignment horizontal="left" vertical="center" textRotation="0" wrapText="true" indent="1" shrinkToFit="false"/>
      <protection locked="true" hidden="false"/>
    </xf>
    <xf numFmtId="164" fontId="11" fillId="5" borderId="65" xfId="0" applyFont="true" applyBorder="true" applyAlignment="true" applyProtection="false">
      <alignment horizontal="left" vertical="center" textRotation="0" wrapText="true" indent="1" shrinkToFit="false"/>
      <protection locked="true" hidden="false"/>
    </xf>
    <xf numFmtId="182" fontId="39" fillId="0" borderId="0" xfId="0" applyFont="true" applyBorder="false" applyAlignment="true" applyProtection="false">
      <alignment horizontal="general" vertical="center" textRotation="0" wrapText="false" indent="0" shrinkToFit="false"/>
      <protection locked="true" hidden="false"/>
    </xf>
    <xf numFmtId="173" fontId="11" fillId="4" borderId="65" xfId="0" applyFont="true" applyBorder="true" applyAlignment="true" applyProtection="false">
      <alignment horizontal="center" vertical="center" textRotation="0" wrapText="false" indent="0" shrinkToFit="false"/>
      <protection locked="true" hidden="false"/>
    </xf>
    <xf numFmtId="173" fontId="11" fillId="4" borderId="65" xfId="0" applyFont="true" applyBorder="true" applyAlignment="true" applyProtection="false">
      <alignment horizontal="left" vertical="center" textRotation="0" wrapText="false" indent="1" shrinkToFit="false"/>
      <protection locked="true" hidden="false"/>
    </xf>
    <xf numFmtId="182" fontId="12" fillId="4" borderId="65" xfId="0" applyFont="true" applyBorder="true" applyAlignment="true" applyProtection="false">
      <alignment horizontal="right" vertical="center" textRotation="0" wrapText="false" indent="1" shrinkToFit="false"/>
      <protection locked="true" hidden="false"/>
    </xf>
    <xf numFmtId="173" fontId="16" fillId="4" borderId="65" xfId="0" applyFont="true" applyBorder="true" applyAlignment="true" applyProtection="false">
      <alignment horizontal="right" vertical="center" textRotation="0" wrapText="false" indent="1" shrinkToFit="false"/>
      <protection locked="true" hidden="false"/>
    </xf>
    <xf numFmtId="165" fontId="12" fillId="4" borderId="65" xfId="0" applyFont="true" applyBorder="true" applyAlignment="true" applyProtection="false">
      <alignment horizontal="right" vertical="center" textRotation="0" wrapText="false" indent="1" shrinkToFit="false"/>
      <protection locked="true" hidden="false"/>
    </xf>
    <xf numFmtId="165" fontId="11" fillId="4" borderId="65" xfId="0" applyFont="true" applyBorder="true" applyAlignment="true" applyProtection="false">
      <alignment horizontal="right" vertical="center" textRotation="0" wrapText="false" indent="1" shrinkToFit="false"/>
      <protection locked="true" hidden="false"/>
    </xf>
    <xf numFmtId="164" fontId="41" fillId="4" borderId="65" xfId="0" applyFont="true" applyBorder="true" applyAlignment="true" applyProtection="false">
      <alignment horizontal="left" vertical="center" textRotation="0" wrapText="false" indent="1" shrinkToFit="false"/>
      <protection locked="true" hidden="false"/>
    </xf>
    <xf numFmtId="173" fontId="16" fillId="4" borderId="6" xfId="0" applyFont="true" applyBorder="true" applyAlignment="true" applyProtection="false">
      <alignment horizontal="left" vertical="center" textRotation="0" wrapText="false" indent="1" shrinkToFit="false"/>
      <protection locked="true" hidden="false"/>
    </xf>
    <xf numFmtId="182" fontId="12" fillId="4" borderId="6" xfId="0" applyFont="true" applyBorder="true" applyAlignment="true" applyProtection="false">
      <alignment horizontal="right" vertical="center" textRotation="0" wrapText="false" indent="1" shrinkToFit="false"/>
      <protection locked="true" hidden="false"/>
    </xf>
    <xf numFmtId="165" fontId="12" fillId="4" borderId="6" xfId="0" applyFont="true" applyBorder="true" applyAlignment="true" applyProtection="false">
      <alignment horizontal="right" vertical="center" textRotation="0" wrapText="false" indent="1" shrinkToFit="false"/>
      <protection locked="true" hidden="false"/>
    </xf>
    <xf numFmtId="182" fontId="12" fillId="0" borderId="6" xfId="0" applyFont="true" applyBorder="true" applyAlignment="true" applyProtection="false">
      <alignment horizontal="right" vertical="center" textRotation="0" wrapText="true" indent="1" shrinkToFit="false"/>
      <protection locked="true" hidden="false"/>
    </xf>
    <xf numFmtId="173" fontId="16" fillId="0" borderId="6" xfId="0" applyFont="true" applyBorder="true" applyAlignment="true" applyProtection="false">
      <alignment horizontal="right" vertical="center" textRotation="0" wrapText="false" indent="1" shrinkToFit="false"/>
      <protection locked="true" hidden="false"/>
    </xf>
    <xf numFmtId="164" fontId="77" fillId="5" borderId="7" xfId="0" applyFont="true" applyBorder="true" applyAlignment="true" applyProtection="false">
      <alignment horizontal="left" vertical="center" textRotation="0" wrapText="true" indent="1" shrinkToFit="false"/>
      <protection locked="true" hidden="false"/>
    </xf>
    <xf numFmtId="173" fontId="29" fillId="4" borderId="65" xfId="0" applyFont="true" applyBorder="true" applyAlignment="true" applyProtection="false">
      <alignment horizontal="center" vertical="center" textRotation="0" wrapText="true" indent="0" shrinkToFit="false"/>
      <protection locked="true" hidden="false"/>
    </xf>
    <xf numFmtId="164" fontId="16" fillId="0" borderId="20" xfId="0" applyFont="true" applyBorder="true" applyAlignment="true" applyProtection="false">
      <alignment horizontal="left" vertical="center" textRotation="0" wrapText="false" indent="1" shrinkToFit="false"/>
      <protection locked="true" hidden="false"/>
    </xf>
    <xf numFmtId="182" fontId="12" fillId="0" borderId="6" xfId="0" applyFont="true" applyBorder="true" applyAlignment="true" applyProtection="false">
      <alignment horizontal="right" vertical="center" textRotation="0" wrapText="false" indent="1" shrinkToFit="false"/>
      <protection locked="true" hidden="false"/>
    </xf>
    <xf numFmtId="164" fontId="17" fillId="2" borderId="39" xfId="0" applyFont="true" applyBorder="true" applyAlignment="true" applyProtection="false">
      <alignment horizontal="center" vertical="center" textRotation="0" wrapText="true" indent="0" shrinkToFit="false"/>
      <protection locked="true" hidden="false"/>
    </xf>
    <xf numFmtId="173" fontId="16" fillId="0" borderId="65" xfId="0" applyFont="true" applyBorder="true" applyAlignment="true" applyProtection="false">
      <alignment horizontal="center" vertical="center" textRotation="0" wrapText="false" indent="0" shrinkToFit="false"/>
      <protection locked="true" hidden="false"/>
    </xf>
    <xf numFmtId="182" fontId="12" fillId="0" borderId="65" xfId="0" applyFont="true" applyBorder="true" applyAlignment="true" applyProtection="false">
      <alignment horizontal="right" vertical="center" textRotation="0" wrapText="false" indent="1" shrinkToFit="false"/>
      <protection locked="true" hidden="false"/>
    </xf>
    <xf numFmtId="164" fontId="77" fillId="5" borderId="65" xfId="0" applyFont="true" applyBorder="true" applyAlignment="true" applyProtection="false">
      <alignment horizontal="left" vertical="center" textRotation="0" wrapText="false" indent="1" shrinkToFit="false"/>
      <protection locked="true" hidden="false"/>
    </xf>
    <xf numFmtId="164" fontId="11" fillId="4" borderId="34" xfId="0" applyFont="true" applyBorder="true" applyAlignment="true" applyProtection="false">
      <alignment horizontal="center" vertical="center" textRotation="0" wrapText="false" indent="0" shrinkToFit="false"/>
      <protection locked="true" hidden="false"/>
    </xf>
    <xf numFmtId="173" fontId="11" fillId="0" borderId="65" xfId="0" applyFont="true" applyBorder="true" applyAlignment="true" applyProtection="false">
      <alignment horizontal="left" vertical="center" textRotation="0" wrapText="true" indent="1" shrinkToFit="false"/>
      <protection locked="true" hidden="false"/>
    </xf>
    <xf numFmtId="173" fontId="16" fillId="0" borderId="65" xfId="0" applyFont="true" applyBorder="true" applyAlignment="true" applyProtection="false">
      <alignment horizontal="center" vertical="center" textRotation="0" wrapText="true" indent="0" shrinkToFit="false"/>
      <protection locked="true" hidden="false"/>
    </xf>
    <xf numFmtId="164" fontId="41" fillId="5" borderId="65" xfId="0" applyFont="true" applyBorder="true" applyAlignment="true" applyProtection="false">
      <alignment horizontal="left" vertical="center" textRotation="0" wrapText="false" indent="1" shrinkToFit="false"/>
      <protection locked="true" hidden="false"/>
    </xf>
    <xf numFmtId="173" fontId="29" fillId="0" borderId="6" xfId="0" applyFont="true" applyBorder="true" applyAlignment="true" applyProtection="false">
      <alignment horizontal="left" vertical="center" textRotation="0" wrapText="true" indent="1" shrinkToFit="false"/>
      <protection locked="true" hidden="false"/>
    </xf>
    <xf numFmtId="182" fontId="46" fillId="0" borderId="6" xfId="0" applyFont="true" applyBorder="true" applyAlignment="true" applyProtection="false">
      <alignment horizontal="right" vertical="center" textRotation="0" wrapText="true" indent="1" shrinkToFit="false"/>
      <protection locked="true" hidden="false"/>
    </xf>
    <xf numFmtId="170" fontId="7" fillId="2" borderId="39" xfId="0" applyFont="true" applyBorder="true" applyAlignment="true" applyProtection="false">
      <alignment horizontal="center" vertical="center" textRotation="0" wrapText="false" indent="0" shrinkToFit="false"/>
      <protection locked="true" hidden="false"/>
    </xf>
    <xf numFmtId="164" fontId="11" fillId="0" borderId="65" xfId="0" applyFont="true" applyBorder="true" applyAlignment="true" applyProtection="false">
      <alignment horizontal="left" vertical="center" textRotation="0" wrapText="false" indent="1" shrinkToFit="false"/>
      <protection locked="true" hidden="false"/>
    </xf>
    <xf numFmtId="164" fontId="16" fillId="0" borderId="65" xfId="0" applyFont="true" applyBorder="true" applyAlignment="true" applyProtection="false">
      <alignment horizontal="left" vertical="center" textRotation="0" wrapText="false" indent="1" shrinkToFit="false"/>
      <protection locked="true" hidden="false"/>
    </xf>
    <xf numFmtId="173" fontId="11" fillId="0" borderId="65" xfId="0" applyFont="true" applyBorder="true" applyAlignment="true" applyProtection="false">
      <alignment horizontal="right" vertical="center" textRotation="0" wrapText="false" indent="1" shrinkToFit="false"/>
      <protection locked="true" hidden="false"/>
    </xf>
    <xf numFmtId="164" fontId="33" fillId="0" borderId="34" xfId="0" applyFont="true" applyBorder="true" applyAlignment="true" applyProtection="false">
      <alignment horizontal="left" vertical="center" textRotation="0" wrapText="false" indent="1" shrinkToFit="false"/>
      <protection locked="true" hidden="false"/>
    </xf>
    <xf numFmtId="173" fontId="12" fillId="0" borderId="12" xfId="0" applyFont="true" applyBorder="true" applyAlignment="true" applyProtection="false">
      <alignment horizontal="right" vertical="center" textRotation="0" wrapText="false" indent="1" shrinkToFit="false"/>
      <protection locked="true" hidden="false"/>
    </xf>
    <xf numFmtId="164" fontId="20" fillId="4" borderId="34" xfId="0" applyFont="true" applyBorder="true" applyAlignment="true" applyProtection="false">
      <alignment horizontal="center" vertical="center" textRotation="0" wrapText="false" indent="0" shrinkToFit="false"/>
      <protection locked="true" hidden="false"/>
    </xf>
    <xf numFmtId="164" fontId="29" fillId="3" borderId="20" xfId="0" applyFont="true" applyBorder="true" applyAlignment="true" applyProtection="false">
      <alignment horizontal="center" vertical="center" textRotation="0" wrapText="true" indent="0" shrinkToFit="false"/>
      <protection locked="true" hidden="false"/>
    </xf>
    <xf numFmtId="164" fontId="21" fillId="3" borderId="34" xfId="0" applyFont="true" applyBorder="true" applyAlignment="true" applyProtection="false">
      <alignment horizontal="left" vertical="center" textRotation="0" wrapText="false" indent="1" shrinkToFit="false"/>
      <protection locked="true" hidden="false"/>
    </xf>
    <xf numFmtId="173" fontId="10" fillId="3" borderId="6" xfId="0" applyFont="true" applyBorder="true" applyAlignment="true" applyProtection="false">
      <alignment horizontal="right" vertical="center" textRotation="0" wrapText="false" indent="1" shrinkToFit="false"/>
      <protection locked="true" hidden="false"/>
    </xf>
    <xf numFmtId="164" fontId="78" fillId="3" borderId="7" xfId="0" applyFont="true" applyBorder="true" applyAlignment="true" applyProtection="false">
      <alignment horizontal="left" vertical="center" textRotation="0" wrapText="true" indent="1" shrinkToFit="false"/>
      <protection locked="true" hidden="false"/>
    </xf>
    <xf numFmtId="164" fontId="79" fillId="5" borderId="0" xfId="0" applyFont="true" applyBorder="false" applyAlignment="true" applyProtection="false">
      <alignment horizontal="general" vertical="center" textRotation="0" wrapText="false" indent="0" shrinkToFit="false"/>
      <protection locked="true" hidden="false"/>
    </xf>
    <xf numFmtId="164" fontId="80" fillId="5" borderId="0" xfId="0" applyFont="true" applyBorder="false" applyAlignment="true" applyProtection="false">
      <alignment horizontal="left" vertical="center" textRotation="0" wrapText="false" indent="0" shrinkToFit="false"/>
      <protection locked="true" hidden="false"/>
    </xf>
    <xf numFmtId="164" fontId="8" fillId="5" borderId="0" xfId="0" applyFont="true" applyBorder="false" applyAlignment="true" applyProtection="false">
      <alignment horizontal="center" vertical="center" textRotation="0" wrapText="false" indent="0" shrinkToFit="false"/>
      <protection locked="true" hidden="false"/>
    </xf>
    <xf numFmtId="164" fontId="21" fillId="5" borderId="0" xfId="0" applyFont="true" applyBorder="false" applyAlignment="true" applyProtection="false">
      <alignment horizontal="left" vertical="center" textRotation="0" wrapText="false" indent="1" shrinkToFit="false"/>
      <protection locked="true" hidden="false"/>
    </xf>
    <xf numFmtId="173" fontId="12" fillId="5" borderId="0" xfId="0" applyFont="true" applyBorder="false" applyAlignment="true" applyProtection="false">
      <alignment horizontal="right" vertical="center" textRotation="0" wrapText="false" indent="1" shrinkToFit="false"/>
      <protection locked="true" hidden="false"/>
    </xf>
    <xf numFmtId="164" fontId="40" fillId="5" borderId="0" xfId="0" applyFont="true" applyBorder="false" applyAlignment="true" applyProtection="false">
      <alignment horizontal="left" vertical="center" textRotation="0" wrapText="false" indent="1" shrinkToFit="false"/>
      <protection locked="true" hidden="false"/>
    </xf>
    <xf numFmtId="164" fontId="82" fillId="5" borderId="0" xfId="0" applyFont="true" applyBorder="false" applyAlignment="true" applyProtection="false">
      <alignment horizontal="left" vertical="center" textRotation="0" wrapText="false" indent="1" shrinkToFit="false"/>
      <protection locked="true" hidden="false"/>
    </xf>
    <xf numFmtId="164" fontId="40" fillId="5" borderId="0" xfId="0" applyFont="true" applyBorder="false" applyAlignment="true" applyProtection="false">
      <alignment horizontal="left" vertical="center" textRotation="0" wrapText="true" indent="1" shrinkToFit="false"/>
      <protection locked="true" hidden="false"/>
    </xf>
    <xf numFmtId="164" fontId="21" fillId="5" borderId="0" xfId="0" applyFont="true" applyBorder="true" applyAlignment="true" applyProtection="false">
      <alignment horizontal="left" vertical="center" textRotation="0" wrapText="false" indent="1" shrinkToFit="false"/>
      <protection locked="true" hidden="false"/>
    </xf>
    <xf numFmtId="173" fontId="10" fillId="5" borderId="0" xfId="0" applyFont="true" applyBorder="false" applyAlignment="true" applyProtection="false">
      <alignment horizontal="right" vertical="center" textRotation="0" wrapText="false" indent="1" shrinkToFit="false"/>
      <protection locked="true" hidden="false"/>
    </xf>
    <xf numFmtId="164" fontId="83" fillId="0" borderId="0" xfId="0" applyFont="true" applyBorder="false" applyAlignment="true" applyProtection="false">
      <alignment horizontal="general" vertical="bottom" textRotation="0" wrapText="false" indent="0" shrinkToFit="false"/>
      <protection locked="true" hidden="false"/>
    </xf>
    <xf numFmtId="164" fontId="50" fillId="2" borderId="0" xfId="0" applyFont="true" applyBorder="false" applyAlignment="true" applyProtection="false">
      <alignment horizontal="center" vertical="center" textRotation="0" wrapText="true" indent="0" shrinkToFit="false"/>
      <protection locked="true" hidden="false"/>
    </xf>
    <xf numFmtId="164" fontId="32" fillId="0" borderId="68" xfId="0" applyFont="true" applyBorder="true" applyAlignment="true" applyProtection="false">
      <alignment horizontal="center" vertical="center" textRotation="0" wrapText="false" indent="0" shrinkToFit="false"/>
      <protection locked="true" hidden="false"/>
    </xf>
    <xf numFmtId="164" fontId="29" fillId="0" borderId="68" xfId="0" applyFont="true" applyBorder="true" applyAlignment="true" applyProtection="false">
      <alignment horizontal="center" vertical="center" textRotation="0" wrapText="true" indent="0" shrinkToFit="false"/>
      <protection locked="true" hidden="false"/>
    </xf>
    <xf numFmtId="164" fontId="31" fillId="0" borderId="68" xfId="0" applyFont="true" applyBorder="true" applyAlignment="true" applyProtection="false">
      <alignment horizontal="general" vertical="top" textRotation="0" wrapText="true" indent="0" shrinkToFit="false"/>
      <protection locked="true" hidden="false"/>
    </xf>
    <xf numFmtId="164" fontId="29" fillId="0" borderId="68" xfId="0" applyFont="true" applyBorder="true" applyAlignment="true" applyProtection="false">
      <alignment horizontal="general" vertical="top" textRotation="0" wrapText="true" indent="0" shrinkToFit="false"/>
      <protection locked="true" hidden="false"/>
    </xf>
    <xf numFmtId="164" fontId="84" fillId="0" borderId="0" xfId="0" applyFont="true" applyBorder="false" applyAlignment="true" applyProtection="false">
      <alignment horizontal="general" vertical="center" textRotation="0" wrapText="false" indent="0" shrinkToFit="false"/>
      <protection locked="true" hidden="false"/>
    </xf>
    <xf numFmtId="183" fontId="84" fillId="0" borderId="0" xfId="0" applyFont="true" applyBorder="false" applyAlignment="true" applyProtection="false">
      <alignment horizontal="center" vertical="center" textRotation="0" wrapText="false" indent="0" shrinkToFit="false"/>
      <protection locked="true" hidden="false"/>
    </xf>
    <xf numFmtId="183" fontId="84" fillId="0" borderId="0" xfId="0" applyFont="true" applyBorder="false" applyAlignment="true" applyProtection="false">
      <alignment horizontal="general" vertical="center" textRotation="0" wrapText="false" indent="0" shrinkToFit="false"/>
      <protection locked="true" hidden="false"/>
    </xf>
    <xf numFmtId="164" fontId="85" fillId="0" borderId="0" xfId="0" applyFont="true" applyBorder="false" applyAlignment="true" applyProtection="false">
      <alignment horizontal="general" vertical="center" textRotation="0" wrapText="false" indent="0" shrinkToFit="false"/>
      <protection locked="true" hidden="false"/>
    </xf>
    <xf numFmtId="183" fontId="86" fillId="2" borderId="75" xfId="0" applyFont="true" applyBorder="true" applyAlignment="true" applyProtection="false">
      <alignment horizontal="center" vertical="center" textRotation="0" wrapText="false" indent="0" shrinkToFit="false"/>
      <protection locked="true" hidden="false"/>
    </xf>
    <xf numFmtId="180" fontId="88" fillId="2" borderId="75" xfId="0" applyFont="true" applyBorder="true" applyAlignment="true" applyProtection="false">
      <alignment horizontal="center" vertical="center" textRotation="0" wrapText="false" indent="0" shrinkToFit="false"/>
      <protection locked="true" hidden="false"/>
    </xf>
    <xf numFmtId="180" fontId="89" fillId="11" borderId="75" xfId="0" applyFont="true" applyBorder="true" applyAlignment="true" applyProtection="false">
      <alignment horizontal="center" vertical="center" textRotation="0" wrapText="false" indent="0" shrinkToFit="false"/>
      <protection locked="true" hidden="false"/>
    </xf>
    <xf numFmtId="180" fontId="90" fillId="12" borderId="75" xfId="0" applyFont="true" applyBorder="true" applyAlignment="true" applyProtection="false">
      <alignment horizontal="center" vertical="center" textRotation="0" wrapText="false" indent="0" shrinkToFit="false"/>
      <protection locked="true" hidden="false"/>
    </xf>
    <xf numFmtId="183" fontId="91" fillId="4" borderId="75" xfId="0" applyFont="true" applyBorder="true" applyAlignment="true" applyProtection="false">
      <alignment horizontal="center" vertical="center" textRotation="0" wrapText="false" indent="0" shrinkToFit="false"/>
      <protection locked="true" hidden="false"/>
    </xf>
    <xf numFmtId="183" fontId="19" fillId="0" borderId="75" xfId="0" applyFont="true" applyBorder="true" applyAlignment="true" applyProtection="false">
      <alignment horizontal="center" vertical="center" textRotation="0" wrapText="false" indent="0" shrinkToFit="false"/>
      <protection locked="true" hidden="false"/>
    </xf>
    <xf numFmtId="183" fontId="84" fillId="6" borderId="75" xfId="0" applyFont="true" applyBorder="true" applyAlignment="true" applyProtection="false">
      <alignment horizontal="center" vertical="center" textRotation="0" wrapText="false" indent="0" shrinkToFit="false"/>
      <protection locked="true" hidden="false"/>
    </xf>
    <xf numFmtId="183" fontId="84" fillId="5" borderId="75" xfId="0" applyFont="true" applyBorder="true" applyAlignment="true" applyProtection="false">
      <alignment horizontal="center" vertical="center" textRotation="0" wrapText="false" indent="0" shrinkToFit="false"/>
      <protection locked="true" hidden="false"/>
    </xf>
    <xf numFmtId="183" fontId="89" fillId="5" borderId="75" xfId="0" applyFont="true" applyBorder="true" applyAlignment="true" applyProtection="false">
      <alignment horizontal="center" vertical="center" textRotation="0" wrapText="false" indent="0" shrinkToFit="false"/>
      <protection locked="true" hidden="false"/>
    </xf>
    <xf numFmtId="183" fontId="69" fillId="4" borderId="75" xfId="0" applyFont="true" applyBorder="true" applyAlignment="true" applyProtection="false">
      <alignment horizontal="center" vertical="center" textRotation="0" wrapText="false" indent="0" shrinkToFit="false"/>
      <protection locked="true" hidden="false"/>
    </xf>
    <xf numFmtId="183" fontId="5" fillId="0" borderId="75" xfId="0" applyFont="true" applyBorder="true" applyAlignment="true" applyProtection="false">
      <alignment horizontal="center" vertical="center" textRotation="0" wrapText="false" indent="0" shrinkToFit="false"/>
      <protection locked="true" hidden="false"/>
    </xf>
    <xf numFmtId="183" fontId="92" fillId="6" borderId="75" xfId="0" applyFont="true" applyBorder="true" applyAlignment="true" applyProtection="false">
      <alignment horizontal="center" vertical="center" textRotation="0" wrapText="false" indent="0" shrinkToFit="false"/>
      <protection locked="true" hidden="false"/>
    </xf>
    <xf numFmtId="183" fontId="84" fillId="0" borderId="75" xfId="0" applyFont="true" applyBorder="true" applyAlignment="true" applyProtection="false">
      <alignment horizontal="center" vertical="center" textRotation="0" wrapText="false" indent="0" shrinkToFit="false"/>
      <protection locked="true" hidden="false"/>
    </xf>
    <xf numFmtId="183" fontId="89" fillId="5" borderId="68" xfId="0" applyFont="true" applyBorder="true" applyAlignment="true" applyProtection="false">
      <alignment horizontal="center" vertical="center" textRotation="0" wrapText="false" indent="0" shrinkToFit="false"/>
      <protection locked="true" hidden="false"/>
    </xf>
    <xf numFmtId="164" fontId="93" fillId="0" borderId="0" xfId="0" applyFont="true" applyBorder="false" applyAlignment="true" applyProtection="false">
      <alignment horizontal="general" vertical="center" textRotation="0" wrapText="false" indent="0" shrinkToFit="false"/>
      <protection locked="true" hidden="false"/>
    </xf>
    <xf numFmtId="183" fontId="19" fillId="11" borderId="68" xfId="0" applyFont="true" applyBorder="true" applyAlignment="true" applyProtection="false">
      <alignment horizontal="center" vertical="center" textRotation="0" wrapText="false" indent="0" shrinkToFit="false"/>
      <protection locked="true" hidden="false"/>
    </xf>
    <xf numFmtId="183" fontId="19" fillId="12" borderId="68" xfId="0" applyFont="true" applyBorder="true" applyAlignment="true" applyProtection="false">
      <alignment horizontal="center" vertical="center" textRotation="0" wrapText="false" indent="0" shrinkToFit="false"/>
      <protection locked="true" hidden="false"/>
    </xf>
    <xf numFmtId="183" fontId="19" fillId="0" borderId="0" xfId="0" applyFont="true" applyBorder="false" applyAlignment="true" applyProtection="false">
      <alignment horizontal="center" vertical="center" textRotation="0" wrapText="false" indent="0" shrinkToFit="false"/>
      <protection locked="true" hidden="false"/>
    </xf>
    <xf numFmtId="183" fontId="19" fillId="0" borderId="0" xfId="0" applyFont="true" applyBorder="false" applyAlignment="true" applyProtection="false">
      <alignment horizontal="general" vertical="center"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4" fontId="29" fillId="0" borderId="0" xfId="0" applyFont="true" applyBorder="false" applyAlignment="true" applyProtection="false">
      <alignment horizontal="left" vertical="center" textRotation="0" wrapText="false" indent="0" shrinkToFit="false"/>
      <protection locked="true" hidden="false"/>
    </xf>
    <xf numFmtId="183" fontId="94" fillId="2" borderId="75" xfId="0" applyFont="true" applyBorder="true" applyAlignment="true" applyProtection="false">
      <alignment horizontal="center" vertical="center" textRotation="0" wrapText="false" indent="0" shrinkToFit="false"/>
      <protection locked="true" hidden="false"/>
    </xf>
    <xf numFmtId="164" fontId="94" fillId="2" borderId="75" xfId="0" applyFont="true" applyBorder="tru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center" vertical="center" textRotation="0" wrapText="false" indent="0" shrinkToFit="false"/>
      <protection locked="true" hidden="false"/>
    </xf>
    <xf numFmtId="183" fontId="19" fillId="7" borderId="75" xfId="0" applyFont="true" applyBorder="true" applyAlignment="true" applyProtection="false">
      <alignment horizontal="center" vertical="center" textRotation="0" wrapText="false" indent="0" shrinkToFit="false"/>
      <protection locked="true" hidden="false"/>
    </xf>
    <xf numFmtId="164" fontId="19" fillId="7" borderId="75" xfId="0" applyFont="true" applyBorder="true" applyAlignment="true" applyProtection="false">
      <alignment horizontal="center" vertical="center" textRotation="0" wrapText="false" indent="0" shrinkToFit="false"/>
      <protection locked="true" hidden="false"/>
    </xf>
    <xf numFmtId="164" fontId="19" fillId="0" borderId="75" xfId="0" applyFont="true" applyBorder="true" applyAlignment="true" applyProtection="false">
      <alignment horizontal="general" vertical="center" textRotation="0" wrapText="false" indent="0" shrinkToFit="false"/>
      <protection locked="true" hidden="false"/>
    </xf>
    <xf numFmtId="164" fontId="19" fillId="4" borderId="75" xfId="0" applyFont="true" applyBorder="true" applyAlignment="true" applyProtection="false">
      <alignment horizontal="center" vertical="center" textRotation="0" wrapText="false" indent="0" shrinkToFit="false"/>
      <protection locked="true" hidden="false"/>
    </xf>
    <xf numFmtId="164" fontId="19" fillId="13" borderId="75" xfId="0" applyFont="true" applyBorder="true" applyAlignment="true" applyProtection="false">
      <alignment horizontal="center" vertical="center" textRotation="0" wrapText="false" indent="0" shrinkToFit="false"/>
      <protection locked="true" hidden="false"/>
    </xf>
    <xf numFmtId="183" fontId="19" fillId="11" borderId="75" xfId="0" applyFont="true" applyBorder="true" applyAlignment="true" applyProtection="false">
      <alignment horizontal="center" vertical="center" textRotation="0" wrapText="false" indent="0" shrinkToFit="false"/>
      <protection locked="true" hidden="false"/>
    </xf>
    <xf numFmtId="183" fontId="19" fillId="12" borderId="75" xfId="0" applyFont="true" applyBorder="true" applyAlignment="true" applyProtection="false">
      <alignment horizontal="center" vertical="center" textRotation="0" wrapText="false" indent="0" shrinkToFit="false"/>
      <protection locked="true" hidden="false"/>
    </xf>
    <xf numFmtId="183" fontId="19" fillId="4" borderId="75" xfId="0" applyFont="true" applyBorder="true" applyAlignment="true" applyProtection="false">
      <alignment horizontal="center" vertical="center" textRotation="0" wrapText="false" indent="0" shrinkToFit="false"/>
      <protection locked="true" hidden="false"/>
    </xf>
    <xf numFmtId="164" fontId="68" fillId="4" borderId="75" xfId="0" applyFont="true" applyBorder="true" applyAlignment="true" applyProtection="false">
      <alignment horizontal="center" vertical="center" textRotation="0" wrapText="false" indent="0" shrinkToFit="false"/>
      <protection locked="true" hidden="false"/>
    </xf>
    <xf numFmtId="164" fontId="95"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29" fillId="2" borderId="19" xfId="0" applyFont="true" applyBorder="true" applyAlignment="true" applyProtection="false">
      <alignment horizontal="center" vertical="center" textRotation="0" wrapText="false" indent="0" shrinkToFit="false"/>
      <protection locked="true" hidden="false"/>
    </xf>
    <xf numFmtId="164" fontId="16" fillId="4" borderId="76" xfId="0" applyFont="true" applyBorder="true" applyAlignment="true" applyProtection="false">
      <alignment horizontal="left" vertical="center" textRotation="0" wrapText="false" indent="1" shrinkToFit="false"/>
      <protection locked="true" hidden="false"/>
    </xf>
    <xf numFmtId="173" fontId="12" fillId="0" borderId="77" xfId="0" applyFont="true" applyBorder="true" applyAlignment="true" applyProtection="false">
      <alignment horizontal="right" vertical="center" textRotation="0" wrapText="false" indent="1" shrinkToFit="false"/>
      <protection locked="true" hidden="false"/>
    </xf>
    <xf numFmtId="173" fontId="12" fillId="0" borderId="3" xfId="0" applyFont="true" applyBorder="true" applyAlignment="true" applyProtection="false">
      <alignment horizontal="right" vertical="center" textRotation="0" wrapText="false" indent="1" shrinkToFit="false"/>
      <protection locked="true" hidden="false"/>
    </xf>
    <xf numFmtId="164" fontId="40" fillId="5" borderId="77" xfId="0" applyFont="true" applyBorder="true" applyAlignment="true" applyProtection="false">
      <alignment horizontal="left" vertical="center" textRotation="0" wrapText="false" indent="1" shrinkToFit="false"/>
      <protection locked="true" hidden="false"/>
    </xf>
    <xf numFmtId="173" fontId="12" fillId="0" borderId="78" xfId="0" applyFont="true" applyBorder="true" applyAlignment="true" applyProtection="false">
      <alignment horizontal="right" vertical="center" textRotation="0" wrapText="false" indent="1" shrinkToFit="false"/>
      <protection locked="true" hidden="false"/>
    </xf>
    <xf numFmtId="164" fontId="16" fillId="4" borderId="34" xfId="0" applyFont="true" applyBorder="true" applyAlignment="true" applyProtection="false">
      <alignment horizontal="left" vertical="center" textRotation="0" wrapText="false" indent="1" shrinkToFit="false"/>
      <protection locked="true" hidden="false"/>
    </xf>
    <xf numFmtId="173" fontId="12" fillId="0" borderId="79" xfId="0" applyFont="true" applyBorder="true" applyAlignment="true" applyProtection="false">
      <alignment horizontal="right" vertical="center" textRotation="0" wrapText="false" indent="1" shrinkToFit="false"/>
      <protection locked="true" hidden="false"/>
    </xf>
    <xf numFmtId="164" fontId="40" fillId="5" borderId="80" xfId="0" applyFont="true" applyBorder="true" applyAlignment="true" applyProtection="false">
      <alignment horizontal="left" vertical="center" textRotation="0" wrapText="true" indent="1" shrinkToFit="false"/>
      <protection locked="true" hidden="false"/>
    </xf>
    <xf numFmtId="164" fontId="8" fillId="6" borderId="39" xfId="0" applyFont="true" applyBorder="true" applyAlignment="true" applyProtection="false">
      <alignment horizontal="center" vertical="center" textRotation="0" wrapText="false" indent="0" shrinkToFit="false"/>
      <protection locked="true" hidden="false"/>
    </xf>
    <xf numFmtId="173" fontId="12" fillId="0" borderId="81" xfId="0" applyFont="true" applyBorder="true" applyAlignment="true" applyProtection="false">
      <alignment horizontal="right" vertical="center" textRotation="0" wrapText="false" indent="1" shrinkToFit="false"/>
      <protection locked="true" hidden="false"/>
    </xf>
    <xf numFmtId="173" fontId="10" fillId="3" borderId="82" xfId="0" applyFont="true" applyBorder="true" applyAlignment="true" applyProtection="false">
      <alignment horizontal="right" vertical="center" textRotation="0" wrapText="false" indent="1" shrinkToFit="false"/>
      <protection locked="true" hidden="false"/>
    </xf>
    <xf numFmtId="173" fontId="12" fillId="0" borderId="73" xfId="0" applyFont="true" applyBorder="true" applyAlignment="true" applyProtection="false">
      <alignment horizontal="right" vertical="center" textRotation="0" wrapText="false" indent="1" shrinkToFit="false"/>
      <protection locked="true" hidden="false"/>
    </xf>
    <xf numFmtId="173" fontId="12" fillId="0" borderId="83" xfId="0" applyFont="true" applyBorder="true" applyAlignment="true" applyProtection="false">
      <alignment horizontal="right" vertical="center" textRotation="0" wrapText="false" indent="1" shrinkToFit="false"/>
      <protection locked="true" hidden="false"/>
    </xf>
    <xf numFmtId="173" fontId="10" fillId="3" borderId="84" xfId="0" applyFont="true" applyBorder="true" applyAlignment="true" applyProtection="false">
      <alignment horizontal="right" vertical="center" textRotation="0" wrapText="false" indent="1" shrinkToFit="false"/>
      <protection locked="true" hidden="false"/>
    </xf>
    <xf numFmtId="173" fontId="12" fillId="0" borderId="85" xfId="0" applyFont="true" applyBorder="true" applyAlignment="true" applyProtection="false">
      <alignment horizontal="right" vertical="center" textRotation="0" wrapText="false" indent="1" shrinkToFit="false"/>
      <protection locked="true" hidden="false"/>
    </xf>
    <xf numFmtId="173" fontId="12" fillId="0" borderId="80" xfId="0" applyFont="true" applyBorder="true" applyAlignment="true" applyProtection="false">
      <alignment horizontal="right" vertical="center" textRotation="0" wrapText="false" indent="1" shrinkToFit="false"/>
      <protection locked="true" hidden="false"/>
    </xf>
    <xf numFmtId="173" fontId="10" fillId="3" borderId="86" xfId="0" applyFont="true" applyBorder="true" applyAlignment="true" applyProtection="false">
      <alignment horizontal="right" vertical="center" textRotation="0" wrapText="false" indent="1" shrinkToFit="false"/>
      <protection locked="true" hidden="false"/>
    </xf>
    <xf numFmtId="173" fontId="12" fillId="0" borderId="87" xfId="0" applyFont="true" applyBorder="true" applyAlignment="true" applyProtection="false">
      <alignment horizontal="right" vertical="center" textRotation="0" wrapText="false" indent="1" shrinkToFit="false"/>
      <protection locked="true" hidden="false"/>
    </xf>
    <xf numFmtId="173" fontId="12" fillId="0" borderId="7" xfId="0" applyFont="true" applyBorder="true" applyAlignment="true" applyProtection="false">
      <alignment horizontal="right" vertical="center" textRotation="0" wrapText="false" indent="1" shrinkToFit="false"/>
      <protection locked="true" hidden="false"/>
    </xf>
    <xf numFmtId="173" fontId="10" fillId="3" borderId="88" xfId="0" applyFont="true" applyBorder="true" applyAlignment="true" applyProtection="false">
      <alignment horizontal="right" vertical="center" textRotation="0" wrapText="false" indent="1" shrinkToFit="false"/>
      <protection locked="true" hidden="false"/>
    </xf>
    <xf numFmtId="173" fontId="12" fillId="0" borderId="89" xfId="0" applyFont="true" applyBorder="true" applyAlignment="true" applyProtection="false">
      <alignment horizontal="right" vertical="center" textRotation="0" wrapText="false" indent="1" shrinkToFit="false"/>
      <protection locked="true" hidden="false"/>
    </xf>
    <xf numFmtId="173" fontId="12" fillId="0" borderId="90" xfId="0" applyFont="true" applyBorder="true" applyAlignment="true" applyProtection="false">
      <alignment horizontal="right" vertical="center" textRotation="0" wrapText="false" indent="1" shrinkToFit="false"/>
      <protection locked="true" hidden="false"/>
    </xf>
    <xf numFmtId="173" fontId="10" fillId="3" borderId="91" xfId="0" applyFont="true" applyBorder="true" applyAlignment="true" applyProtection="false">
      <alignment horizontal="right" vertical="center" textRotation="0" wrapText="false" indent="1" shrinkToFit="false"/>
      <protection locked="true" hidden="false"/>
    </xf>
    <xf numFmtId="173" fontId="12" fillId="0" borderId="92" xfId="0" applyFont="true" applyBorder="true" applyAlignment="true" applyProtection="false">
      <alignment horizontal="right" vertical="center" textRotation="0" wrapText="false" indent="1" shrinkToFit="false"/>
      <protection locked="true" hidden="false"/>
    </xf>
    <xf numFmtId="173" fontId="10" fillId="3" borderId="93" xfId="0" applyFont="true" applyBorder="true" applyAlignment="true" applyProtection="false">
      <alignment horizontal="right" vertical="center" textRotation="0" wrapText="false" indent="1" shrinkToFit="false"/>
      <protection locked="true" hidden="false"/>
    </xf>
    <xf numFmtId="164" fontId="0" fillId="0" borderId="71" xfId="0" applyFont="false" applyBorder="true" applyAlignment="true" applyProtection="false">
      <alignment horizontal="general" vertical="center" textRotation="0" wrapText="false" indent="0" shrinkToFit="false"/>
      <protection locked="true" hidden="false"/>
    </xf>
    <xf numFmtId="164" fontId="16" fillId="4" borderId="94" xfId="0" applyFont="true" applyBorder="true" applyAlignment="true" applyProtection="false">
      <alignment horizontal="left" vertical="center" textRotation="0" wrapText="false" indent="1" shrinkToFit="false"/>
      <protection locked="true" hidden="false"/>
    </xf>
    <xf numFmtId="173" fontId="12" fillId="0" borderId="2" xfId="0" applyFont="true" applyBorder="true" applyAlignment="true" applyProtection="false">
      <alignment horizontal="right" vertical="center" textRotation="0" wrapText="false" indent="1" shrinkToFit="false"/>
      <protection locked="true" hidden="false"/>
    </xf>
    <xf numFmtId="164" fontId="21" fillId="3" borderId="95" xfId="0" applyFont="true" applyBorder="true" applyAlignment="true" applyProtection="false">
      <alignment horizontal="left" vertical="center" textRotation="0" wrapText="false" indent="1" shrinkToFit="false"/>
      <protection locked="true" hidden="false"/>
    </xf>
    <xf numFmtId="173" fontId="10" fillId="0" borderId="96" xfId="0" applyFont="true" applyBorder="true" applyAlignment="true" applyProtection="false">
      <alignment horizontal="right" vertical="center" textRotation="0" wrapText="false" indent="1" shrinkToFit="false"/>
      <protection locked="true" hidden="false"/>
    </xf>
    <xf numFmtId="173" fontId="10" fillId="0" borderId="97" xfId="0" applyFont="true" applyBorder="true" applyAlignment="true" applyProtection="false">
      <alignment horizontal="right" vertical="center" textRotation="0" wrapText="false" indent="1" shrinkToFit="false"/>
      <protection locked="true" hidden="false"/>
    </xf>
    <xf numFmtId="164" fontId="0" fillId="0" borderId="98" xfId="0" applyFont="false" applyBorder="true" applyAlignment="true" applyProtection="false">
      <alignment horizontal="general" vertical="center" textRotation="0" wrapText="false" indent="0" shrinkToFit="false"/>
      <protection locked="true" hidden="false"/>
    </xf>
    <xf numFmtId="173" fontId="10" fillId="0" borderId="2" xfId="0" applyFont="true" applyBorder="true" applyAlignment="true" applyProtection="false">
      <alignment horizontal="right" vertical="center" textRotation="0" wrapText="false" indent="1" shrinkToFit="false"/>
      <protection locked="true" hidden="false"/>
    </xf>
    <xf numFmtId="173" fontId="10" fillId="0" borderId="14" xfId="0" applyFont="true" applyBorder="true" applyAlignment="true" applyProtection="false">
      <alignment horizontal="right" vertical="center" textRotation="0" wrapText="false" indent="1"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標準 2" xfId="20"/>
  </cellStyles>
  <colors>
    <indexedColors>
      <rgbColor rgb="FF000000"/>
      <rgbColor rgb="FFFFFFFF"/>
      <rgbColor rgb="FFFF0000"/>
      <rgbColor rgb="FF00FF00"/>
      <rgbColor rgb="FF0000FF"/>
      <rgbColor rgb="FFFFFF00"/>
      <rgbColor rgb="FFFF00FF"/>
      <rgbColor rgb="FF00FFFF"/>
      <rgbColor rgb="FFC00000"/>
      <rgbColor rgb="FF008000"/>
      <rgbColor rgb="FF002060"/>
      <rgbColor rgb="FF808000"/>
      <rgbColor rgb="FF800080"/>
      <rgbColor rgb="FF0889C9"/>
      <rgbColor rgb="FFBFBFBF"/>
      <rgbColor rgb="FF727F88"/>
      <rgbColor rgb="FFA3B0B6"/>
      <rgbColor rgb="FF993366"/>
      <rgbColor rgb="FFF2F2F2"/>
      <rgbColor rgb="FFDDF5F0"/>
      <rgbColor rgb="FF660066"/>
      <rgbColor rgb="FFFF8080"/>
      <rgbColor rgb="FF0066CC"/>
      <rgbColor rgb="FFC9D1D5"/>
      <rgbColor rgb="FF000080"/>
      <rgbColor rgb="FFFF00FF"/>
      <rgbColor rgb="FFE1F2FB"/>
      <rgbColor rgb="FF00FFFF"/>
      <rgbColor rgb="FF800080"/>
      <rgbColor rgb="FF800000"/>
      <rgbColor rgb="FF008080"/>
      <rgbColor rgb="FF0000FF"/>
      <rgbColor rgb="FF00B0F0"/>
      <rgbColor rgb="FFCCECFF"/>
      <rgbColor rgb="FFE1F3FB"/>
      <rgbColor rgb="FFE3E7E9"/>
      <rgbColor rgb="FFB7E2F5"/>
      <rgbColor rgb="FFD9D9D9"/>
      <rgbColor rgb="FFA6A6A6"/>
      <rgbColor rgb="FFFFCCCC"/>
      <rgbColor rgb="FF3366FF"/>
      <rgbColor rgb="FF54CCB3"/>
      <rgbColor rgb="FF99CC00"/>
      <rgbColor rgb="FFE3E5E7"/>
      <rgbColor rgb="FFFF9900"/>
      <rgbColor rgb="FFFF6600"/>
      <rgbColor rgb="FF666699"/>
      <rgbColor rgb="FF8B8B8B"/>
      <rgbColor rgb="FF044464"/>
      <rgbColor rgb="FF339966"/>
      <rgbColor rgb="FF0B3041"/>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stacked"/>
        <c:varyColors val="0"/>
        <c:ser>
          <c:idx val="0"/>
          <c:order val="0"/>
          <c:spPr>
            <a:noFill/>
            <a:ln w="0">
              <a:noFill/>
            </a:ln>
          </c:spPr>
          <c:invertIfNegative val="0"/>
          <c:dLbls>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'株式価値 '!$B$4:$B$6</c:f>
              <c:strCache>
                <c:ptCount val="3"/>
                <c:pt idx="0">
                  <c:v>インカム</c:v>
                </c:pt>
                <c:pt idx="1">
                  <c:v>マーケット</c:v>
                </c:pt>
                <c:pt idx="2">
                  <c:v>コスト</c:v>
                </c:pt>
              </c:strCache>
            </c:strRef>
          </c:cat>
          <c:val>
            <c:numRef>
              <c:f>'株式価値 '!$C$4:$C$6</c:f>
              <c:numCache>
                <c:formatCode>#,##0,</c:formatCode>
                <c:ptCount val="3"/>
                <c:pt idx="0">
                  <c:v>0</c:v>
                </c:pt>
                <c:pt idx="1">
                  <c:v>-140949808</c:v>
                </c:pt>
                <c:pt idx="2">
                  <c:v>-54971915.49</c:v>
                </c:pt>
              </c:numCache>
            </c:numRef>
          </c:val>
        </c:ser>
        <c:ser>
          <c:idx val="1"/>
          <c:order val="1"/>
          <c:spPr>
            <a:solidFill>
              <a:srgbClr val="0889c9"/>
            </a:solidFill>
            <a:ln w="0">
              <a:noFill/>
            </a:ln>
          </c:spPr>
          <c:invertIfNegative val="0"/>
          <c:dLbls>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'株式価値 '!$B$4:$B$6</c:f>
              <c:strCache>
                <c:ptCount val="3"/>
                <c:pt idx="0">
                  <c:v>インカム</c:v>
                </c:pt>
                <c:pt idx="1">
                  <c:v>マーケット</c:v>
                </c:pt>
                <c:pt idx="2">
                  <c:v>コスト</c:v>
                </c:pt>
              </c:strCache>
            </c:strRef>
          </c:cat>
          <c:val>
            <c:numRef>
              <c:f>'株式価値 '!$D$4:$D$6</c:f>
              <c:numCache>
                <c:formatCode>#,##0,</c:formatCode>
                <c:ptCount val="3"/>
                <c:pt idx="0">
                  <c:v>0</c:v>
                </c:pt>
                <c:pt idx="1">
                  <c:v>32383980</c:v>
                </c:pt>
                <c:pt idx="2">
                  <c:v>12469807.02</c:v>
                </c:pt>
              </c:numCache>
            </c:numRef>
          </c:val>
        </c:ser>
        <c:gapWidth val="70"/>
        <c:overlap val="100"/>
        <c:axId val="47232138"/>
        <c:axId val="10383968"/>
      </c:barChart>
      <c:catAx>
        <c:axId val="47232138"/>
        <c:scaling>
          <c:orientation val="minMax"/>
        </c:scaling>
        <c:delete val="1"/>
        <c:axPos val="b"/>
        <c:numFmt formatCode="General" sourceLinked="1"/>
        <c:majorTickMark val="out"/>
        <c:minorTickMark val="none"/>
        <c:tickLblPos val="nextTo"/>
        <c:spPr>
          <a:ln w="12600">
            <a:solidFill>
              <a:srgbClr val="8b8b8b"/>
            </a:solidFill>
            <a:round/>
          </a:ln>
        </c:spPr>
        <c:txPr>
          <a:bodyPr/>
          <a:lstStyle/>
          <a:p>
            <a:pPr>
              <a:defRPr b="0" sz="1000" spc="-1" strike="noStrike">
                <a:solidFill>
                  <a:srgbClr val="000000"/>
                </a:solidFill>
                <a:latin typeface="Arial"/>
                <a:ea typeface="游ゴシック Medium"/>
              </a:defRPr>
            </a:pPr>
          </a:p>
        </c:txPr>
        <c:crossAx val="10383968"/>
        <c:auto val="1"/>
        <c:lblAlgn val="ctr"/>
        <c:lblOffset val="100"/>
        <c:noMultiLvlLbl val="0"/>
      </c:catAx>
      <c:valAx>
        <c:axId val="10383968"/>
        <c:scaling>
          <c:orientation val="minMax"/>
        </c:scaling>
        <c:delete val="0"/>
        <c:axPos val="l"/>
        <c:majorGridlines>
          <c:spPr>
            <a:ln w="9360">
              <a:solidFill>
                <a:srgbClr val="0b3041"/>
              </a:solidFill>
              <a:round/>
            </a:ln>
          </c:spPr>
        </c:majorGridlines>
        <c:numFmt formatCode="#,##0," sourceLinked="0"/>
        <c:majorTickMark val="out"/>
        <c:minorTickMark val="none"/>
        <c:tickLblPos val="nextTo"/>
        <c:spPr>
          <a:ln w="12600">
            <a:noFill/>
          </a:ln>
        </c:spPr>
        <c:txPr>
          <a:bodyPr/>
          <a:lstStyle/>
          <a:p>
            <a:pPr>
              <a:defRPr b="0" sz="900" spc="-1" strike="noStrike">
                <a:solidFill>
                  <a:srgbClr val="0b3041"/>
                </a:solidFill>
                <a:latin typeface="Arial"/>
                <a:ea typeface="游ゴシック Medium"/>
              </a:defRPr>
            </a:pPr>
          </a:p>
        </c:txPr>
        <c:crossAx val="47232138"/>
        <c:crosses val="autoZero"/>
        <c:crossBetween val="between"/>
      </c:valAx>
      <c:spPr>
        <a:noFill/>
        <a:ln w="0">
          <a:noFill/>
        </a:ln>
      </c:spPr>
    </c:plotArea>
    <c:plotVisOnly val="1"/>
    <c:dispBlanksAs val="gap"/>
  </c:chart>
  <c:spPr>
    <a:solidFill>
      <a:srgbClr val="ffffff"/>
    </a:solidFill>
    <a:ln w="1260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stacked"/>
        <c:varyColors val="0"/>
        <c:ser>
          <c:idx val="0"/>
          <c:order val="0"/>
          <c:tx>
            <c:strRef>
              <c:f>グラフ!$C$2</c:f>
              <c:strCache>
                <c:ptCount val="1"/>
                <c:pt idx="0">
                  <c:v>A</c:v>
                </c:pt>
              </c:strCache>
            </c:strRef>
          </c:tx>
          <c:spPr>
            <a:solidFill>
              <a:srgbClr val="0889c9"/>
            </a:solidFill>
            <a:ln w="0">
              <a:noFill/>
            </a:ln>
          </c:spPr>
          <c:invertIfNegative val="0"/>
          <c:dLbls>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グラフ!$B$3:$B$6</c:f>
              <c:strCache>
                <c:ptCount val="4"/>
                <c:pt idx="0">
                  <c:v>第1四半期</c:v>
                </c:pt>
                <c:pt idx="1">
                  <c:v>第2四半期</c:v>
                </c:pt>
                <c:pt idx="2">
                  <c:v>第3四半期</c:v>
                </c:pt>
                <c:pt idx="3">
                  <c:v>第4四半期</c:v>
                </c:pt>
              </c:strCache>
            </c:strRef>
          </c:cat>
          <c:val>
            <c:numRef>
              <c:f>グラフ!$C$3:$C$6</c:f>
              <c:numCache>
                <c:formatCode>General</c:formatCode>
                <c:ptCount val="4"/>
                <c:pt idx="0">
                  <c:v>50</c:v>
                </c:pt>
                <c:pt idx="1">
                  <c:v>55</c:v>
                </c:pt>
                <c:pt idx="2">
                  <c:v>52</c:v>
                </c:pt>
                <c:pt idx="3">
                  <c:v>50</c:v>
                </c:pt>
              </c:numCache>
            </c:numRef>
          </c:val>
        </c:ser>
        <c:ser>
          <c:idx val="1"/>
          <c:order val="1"/>
          <c:tx>
            <c:strRef>
              <c:f>グラフ!$D$2</c:f>
              <c:strCache>
                <c:ptCount val="1"/>
                <c:pt idx="0">
                  <c:v>B</c:v>
                </c:pt>
              </c:strCache>
            </c:strRef>
          </c:tx>
          <c:spPr>
            <a:solidFill>
              <a:srgbClr val="b7e2f5"/>
            </a:solidFill>
            <a:ln w="0">
              <a:noFill/>
            </a:ln>
          </c:spPr>
          <c:invertIfNegative val="0"/>
          <c:dLbls>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グラフ!$B$3:$B$6</c:f>
              <c:strCache>
                <c:ptCount val="4"/>
                <c:pt idx="0">
                  <c:v>第1四半期</c:v>
                </c:pt>
                <c:pt idx="1">
                  <c:v>第2四半期</c:v>
                </c:pt>
                <c:pt idx="2">
                  <c:v>第3四半期</c:v>
                </c:pt>
                <c:pt idx="3">
                  <c:v>第4四半期</c:v>
                </c:pt>
              </c:strCache>
            </c:strRef>
          </c:cat>
          <c:val>
            <c:numRef>
              <c:f>グラフ!$D$3:$D$6</c:f>
              <c:numCache>
                <c:formatCode>General</c:formatCode>
                <c:ptCount val="4"/>
                <c:pt idx="0">
                  <c:v>10</c:v>
                </c:pt>
                <c:pt idx="1">
                  <c:v>25</c:v>
                </c:pt>
                <c:pt idx="2">
                  <c:v>45</c:v>
                </c:pt>
                <c:pt idx="3">
                  <c:v>70</c:v>
                </c:pt>
              </c:numCache>
            </c:numRef>
          </c:val>
        </c:ser>
        <c:ser>
          <c:idx val="2"/>
          <c:order val="2"/>
          <c:tx>
            <c:strRef>
              <c:f>グラフ!$E$2</c:f>
              <c:strCache>
                <c:ptCount val="1"/>
                <c:pt idx="0">
                  <c:v>C</c:v>
                </c:pt>
              </c:strCache>
            </c:strRef>
          </c:tx>
          <c:spPr>
            <a:solidFill>
              <a:srgbClr val="c9d1d5"/>
            </a:solidFill>
            <a:ln w="0">
              <a:noFill/>
            </a:ln>
          </c:spPr>
          <c:invertIfNegative val="0"/>
          <c:dLbls>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グラフ!$B$3:$B$6</c:f>
              <c:strCache>
                <c:ptCount val="4"/>
                <c:pt idx="0">
                  <c:v>第1四半期</c:v>
                </c:pt>
                <c:pt idx="1">
                  <c:v>第2四半期</c:v>
                </c:pt>
                <c:pt idx="2">
                  <c:v>第3四半期</c:v>
                </c:pt>
                <c:pt idx="3">
                  <c:v>第4四半期</c:v>
                </c:pt>
              </c:strCache>
            </c:strRef>
          </c:cat>
          <c:val>
            <c:numRef>
              <c:f>グラフ!$E$3:$E$6</c:f>
              <c:numCache>
                <c:formatCode>General</c:formatCode>
                <c:ptCount val="4"/>
                <c:pt idx="0">
                  <c:v>20</c:v>
                </c:pt>
                <c:pt idx="1">
                  <c:v>22</c:v>
                </c:pt>
                <c:pt idx="2">
                  <c:v>25</c:v>
                </c:pt>
                <c:pt idx="3">
                  <c:v>25</c:v>
                </c:pt>
              </c:numCache>
            </c:numRef>
          </c:val>
        </c:ser>
        <c:gapWidth val="150"/>
        <c:overlap val="100"/>
        <c:axId val="96475972"/>
        <c:axId val="16287581"/>
      </c:barChart>
      <c:catAx>
        <c:axId val="96475972"/>
        <c:scaling>
          <c:orientation val="minMax"/>
        </c:scaling>
        <c:delete val="0"/>
        <c:axPos val="b"/>
        <c:numFmt formatCode="General" sourceLinked="0"/>
        <c:majorTickMark val="none"/>
        <c:minorTickMark val="none"/>
        <c:tickLblPos val="nextTo"/>
        <c:spPr>
          <a:ln w="9360">
            <a:solidFill>
              <a:srgbClr val="000000"/>
            </a:solidFill>
            <a:round/>
          </a:ln>
        </c:spPr>
        <c:txPr>
          <a:bodyPr/>
          <a:lstStyle/>
          <a:p>
            <a:pPr>
              <a:defRPr b="1" sz="1000" spc="-1" strike="noStrike">
                <a:solidFill>
                  <a:srgbClr val="000000"/>
                </a:solidFill>
                <a:latin typeface="Arial"/>
                <a:ea typeface="游ゴシック"/>
              </a:defRPr>
            </a:pPr>
          </a:p>
        </c:txPr>
        <c:crossAx val="16287581"/>
        <c:crosses val="autoZero"/>
        <c:auto val="1"/>
        <c:lblAlgn val="ctr"/>
        <c:lblOffset val="100"/>
        <c:noMultiLvlLbl val="0"/>
      </c:catAx>
      <c:valAx>
        <c:axId val="16287581"/>
        <c:scaling>
          <c:orientation val="minMax"/>
        </c:scaling>
        <c:delete val="0"/>
        <c:axPos val="l"/>
        <c:numFmt formatCode="General" sourceLinked="0"/>
        <c:majorTickMark val="none"/>
        <c:minorTickMark val="none"/>
        <c:tickLblPos val="nextTo"/>
        <c:spPr>
          <a:ln w="12600">
            <a:noFill/>
          </a:ln>
        </c:spPr>
        <c:txPr>
          <a:bodyPr/>
          <a:lstStyle/>
          <a:p>
            <a:pPr>
              <a:defRPr b="0" sz="800" spc="-1" strike="noStrike">
                <a:solidFill>
                  <a:srgbClr val="000000"/>
                </a:solidFill>
                <a:latin typeface="Arial"/>
                <a:ea typeface="游ゴシック Medium"/>
              </a:defRPr>
            </a:pPr>
          </a:p>
        </c:txPr>
        <c:crossAx val="96475972"/>
        <c:crosses val="autoZero"/>
        <c:crossBetween val="between"/>
      </c:valAx>
      <c:spPr>
        <a:noFill/>
        <a:ln w="0">
          <a:noFill/>
        </a:ln>
      </c:spPr>
    </c:plotArea>
    <c:legend>
      <c:legendPos val="t"/>
      <c:layout>
        <c:manualLayout>
          <c:xMode val="edge"/>
          <c:yMode val="edge"/>
          <c:x val="0.0772345204863971"/>
          <c:y val="0.0276595752403969"/>
          <c:w val="0.20066045514385"/>
          <c:h val="0.0786602747154821"/>
        </c:manualLayout>
      </c:layout>
      <c:overlay val="0"/>
      <c:spPr>
        <a:noFill/>
        <a:ln w="0">
          <a:noFill/>
        </a:ln>
      </c:spPr>
      <c:txPr>
        <a:bodyPr/>
        <a:lstStyle/>
        <a:p>
          <a:pPr>
            <a:defRPr b="0" sz="1000" spc="-1" strike="noStrike">
              <a:solidFill>
                <a:srgbClr val="000000"/>
              </a:solidFill>
              <a:latin typeface="Arial"/>
              <a:ea typeface="游ゴシック Medium"/>
            </a:defRPr>
          </a:pPr>
        </a:p>
      </c:txPr>
    </c:legend>
    <c:plotVisOnly val="1"/>
    <c:dispBlanksAs val="gap"/>
  </c:chart>
  <c:spPr>
    <a:solidFill>
      <a:srgbClr val="ffffff"/>
    </a:solid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ineChart>
        <c:grouping val="standard"/>
        <c:varyColors val="0"/>
        <c:ser>
          <c:idx val="0"/>
          <c:order val="0"/>
          <c:tx>
            <c:strRef>
              <c:f>グラフ!$C$18</c:f>
              <c:strCache>
                <c:ptCount val="1"/>
                <c:pt idx="0">
                  <c:v>A</c:v>
                </c:pt>
              </c:strCache>
            </c:strRef>
          </c:tx>
          <c:spPr>
            <a:solidFill>
              <a:srgbClr val="0b3041"/>
            </a:solidFill>
            <a:ln cap="rnd" w="25560">
              <a:solidFill>
                <a:srgbClr val="0b3041"/>
              </a:solidFill>
              <a:round/>
            </a:ln>
          </c:spPr>
          <c:marker>
            <c:symbol val="circle"/>
            <c:size val="5"/>
            <c:spPr>
              <a:solidFill>
                <a:srgbClr val="0b3041"/>
              </a:solidFill>
            </c:spPr>
          </c:marker>
          <c:dLbls>
            <c:txPr>
              <a:bodyPr wrap="square"/>
              <a:lstStyle/>
              <a:p>
                <a:pPr>
                  <a:defRPr b="0" sz="1000" spc="-1" strike="noStrike">
                    <a:solidFill>
                      <a:srgbClr val="000000"/>
                    </a:solidFill>
                    <a:latin typeface="Arial"/>
                    <a:ea typeface="游ゴシック Medium"/>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グラフ!$B$19:$B$23</c:f>
              <c:strCache>
                <c:ptCount val="5"/>
                <c:pt idx="0">
                  <c:v>1ヶ月目</c:v>
                </c:pt>
                <c:pt idx="1">
                  <c:v>2ヶ月目</c:v>
                </c:pt>
                <c:pt idx="2">
                  <c:v>3か月目</c:v>
                </c:pt>
                <c:pt idx="3">
                  <c:v>4か月目</c:v>
                </c:pt>
                <c:pt idx="4">
                  <c:v>5か月目</c:v>
                </c:pt>
              </c:strCache>
            </c:strRef>
          </c:cat>
          <c:val>
            <c:numRef>
              <c:f>グラフ!$C$19:$C$23</c:f>
              <c:numCache>
                <c:formatCode>General</c:formatCode>
                <c:ptCount val="5"/>
                <c:pt idx="0">
                  <c:v>100</c:v>
                </c:pt>
                <c:pt idx="1">
                  <c:v>105</c:v>
                </c:pt>
                <c:pt idx="2">
                  <c:v>110</c:v>
                </c:pt>
                <c:pt idx="3">
                  <c:v>115</c:v>
                </c:pt>
                <c:pt idx="4">
                  <c:v>120</c:v>
                </c:pt>
              </c:numCache>
            </c:numRef>
          </c:val>
          <c:smooth val="0"/>
        </c:ser>
        <c:ser>
          <c:idx val="1"/>
          <c:order val="1"/>
          <c:tx>
            <c:strRef>
              <c:f>グラフ!$D$18</c:f>
              <c:strCache>
                <c:ptCount val="1"/>
                <c:pt idx="0">
                  <c:v>B</c:v>
                </c:pt>
              </c:strCache>
            </c:strRef>
          </c:tx>
          <c:spPr>
            <a:solidFill>
              <a:srgbClr val="a3b0b6"/>
            </a:solidFill>
            <a:ln cap="rnd" w="25560">
              <a:solidFill>
                <a:srgbClr val="a3b0b6"/>
              </a:solidFill>
              <a:round/>
            </a:ln>
          </c:spPr>
          <c:marker>
            <c:symbol val="circle"/>
            <c:size val="5"/>
            <c:spPr>
              <a:solidFill>
                <a:srgbClr val="a3b0b6"/>
              </a:solidFill>
            </c:spPr>
          </c:marker>
          <c:dLbls>
            <c:txPr>
              <a:bodyPr wrap="square"/>
              <a:lstStyle/>
              <a:p>
                <a:pPr>
                  <a:defRPr b="0" sz="1000" spc="-1" strike="noStrike">
                    <a:solidFill>
                      <a:srgbClr val="000000"/>
                    </a:solidFill>
                    <a:latin typeface="Arial"/>
                    <a:ea typeface="游ゴシック Medium"/>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グラフ!$B$19:$B$23</c:f>
              <c:strCache>
                <c:ptCount val="5"/>
                <c:pt idx="0">
                  <c:v>1ヶ月目</c:v>
                </c:pt>
                <c:pt idx="1">
                  <c:v>2ヶ月目</c:v>
                </c:pt>
                <c:pt idx="2">
                  <c:v>3か月目</c:v>
                </c:pt>
                <c:pt idx="3">
                  <c:v>4か月目</c:v>
                </c:pt>
                <c:pt idx="4">
                  <c:v>5か月目</c:v>
                </c:pt>
              </c:strCache>
            </c:strRef>
          </c:cat>
          <c:val>
            <c:numRef>
              <c:f>グラフ!$D$19:$D$23</c:f>
              <c:numCache>
                <c:formatCode>General</c:formatCode>
                <c:ptCount val="5"/>
                <c:pt idx="0">
                  <c:v>100</c:v>
                </c:pt>
                <c:pt idx="1">
                  <c:v>90</c:v>
                </c:pt>
                <c:pt idx="2">
                  <c:v>75</c:v>
                </c:pt>
                <c:pt idx="3">
                  <c:v>60</c:v>
                </c:pt>
                <c:pt idx="4">
                  <c:v>55</c:v>
                </c:pt>
              </c:numCache>
            </c:numRef>
          </c:val>
          <c:smooth val="0"/>
        </c:ser>
        <c:ser>
          <c:idx val="2"/>
          <c:order val="2"/>
          <c:tx>
            <c:strRef>
              <c:f>グラフ!$E$18</c:f>
              <c:strCache>
                <c:ptCount val="1"/>
                <c:pt idx="0">
                  <c:v>C</c:v>
                </c:pt>
              </c:strCache>
            </c:strRef>
          </c:tx>
          <c:spPr>
            <a:solidFill>
              <a:srgbClr val="0889c9"/>
            </a:solidFill>
            <a:ln cap="rnd" w="25560">
              <a:solidFill>
                <a:srgbClr val="0889c9"/>
              </a:solidFill>
              <a:round/>
            </a:ln>
          </c:spPr>
          <c:marker>
            <c:symbol val="circle"/>
            <c:size val="5"/>
            <c:spPr>
              <a:solidFill>
                <a:srgbClr val="0889c9"/>
              </a:solidFill>
            </c:spPr>
          </c:marker>
          <c:dLbls>
            <c:txPr>
              <a:bodyPr wrap="square"/>
              <a:lstStyle/>
              <a:p>
                <a:pPr>
                  <a:defRPr b="0" sz="1000" spc="-1" strike="noStrike">
                    <a:solidFill>
                      <a:srgbClr val="000000"/>
                    </a:solidFill>
                    <a:latin typeface="Arial"/>
                    <a:ea typeface="游ゴシック Medium"/>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グラフ!$B$19:$B$23</c:f>
              <c:strCache>
                <c:ptCount val="5"/>
                <c:pt idx="0">
                  <c:v>1ヶ月目</c:v>
                </c:pt>
                <c:pt idx="1">
                  <c:v>2ヶ月目</c:v>
                </c:pt>
                <c:pt idx="2">
                  <c:v>3か月目</c:v>
                </c:pt>
                <c:pt idx="3">
                  <c:v>4か月目</c:v>
                </c:pt>
                <c:pt idx="4">
                  <c:v>5か月目</c:v>
                </c:pt>
              </c:strCache>
            </c:strRef>
          </c:cat>
          <c:val>
            <c:numRef>
              <c:f>グラフ!$E$19:$E$23</c:f>
              <c:numCache>
                <c:formatCode>General</c:formatCode>
                <c:ptCount val="5"/>
                <c:pt idx="0">
                  <c:v>100</c:v>
                </c:pt>
                <c:pt idx="1">
                  <c:v>110</c:v>
                </c:pt>
                <c:pt idx="2">
                  <c:v>90</c:v>
                </c:pt>
                <c:pt idx="3">
                  <c:v>80</c:v>
                </c:pt>
                <c:pt idx="4">
                  <c:v>45</c:v>
                </c:pt>
              </c:numCache>
            </c:numRef>
          </c:val>
          <c:smooth val="0"/>
        </c:ser>
        <c:hiLowLines>
          <c:spPr>
            <a:ln w="0">
              <a:noFill/>
            </a:ln>
          </c:spPr>
        </c:hiLowLines>
        <c:marker val="1"/>
        <c:axId val="21252881"/>
        <c:axId val="61994201"/>
      </c:lineChart>
      <c:catAx>
        <c:axId val="21252881"/>
        <c:scaling>
          <c:orientation val="minMax"/>
        </c:scaling>
        <c:delete val="0"/>
        <c:axPos val="b"/>
        <c:numFmt formatCode="General" sourceLinked="0"/>
        <c:majorTickMark val="none"/>
        <c:minorTickMark val="none"/>
        <c:tickLblPos val="nextTo"/>
        <c:spPr>
          <a:ln w="9360">
            <a:solidFill>
              <a:srgbClr val="000000"/>
            </a:solidFill>
            <a:round/>
          </a:ln>
        </c:spPr>
        <c:txPr>
          <a:bodyPr/>
          <a:lstStyle/>
          <a:p>
            <a:pPr>
              <a:defRPr b="1" sz="1000" spc="-1" strike="noStrike">
                <a:solidFill>
                  <a:srgbClr val="000000"/>
                </a:solidFill>
                <a:latin typeface="Arial"/>
                <a:ea typeface="游ゴシック"/>
              </a:defRPr>
            </a:pPr>
          </a:p>
        </c:txPr>
        <c:crossAx val="61994201"/>
        <c:crosses val="autoZero"/>
        <c:auto val="1"/>
        <c:lblAlgn val="ctr"/>
        <c:lblOffset val="100"/>
        <c:noMultiLvlLbl val="0"/>
      </c:catAx>
      <c:valAx>
        <c:axId val="61994201"/>
        <c:scaling>
          <c:orientation val="minMax"/>
        </c:scaling>
        <c:delete val="0"/>
        <c:axPos val="l"/>
        <c:numFmt formatCode="General" sourceLinked="0"/>
        <c:majorTickMark val="none"/>
        <c:minorTickMark val="none"/>
        <c:tickLblPos val="nextTo"/>
        <c:spPr>
          <a:ln w="12600">
            <a:noFill/>
          </a:ln>
        </c:spPr>
        <c:txPr>
          <a:bodyPr/>
          <a:lstStyle/>
          <a:p>
            <a:pPr>
              <a:defRPr b="0" sz="800" spc="-1" strike="noStrike">
                <a:solidFill>
                  <a:srgbClr val="000000"/>
                </a:solidFill>
                <a:latin typeface="Arial"/>
                <a:ea typeface="游ゴシック Medium"/>
              </a:defRPr>
            </a:pPr>
          </a:p>
        </c:txPr>
        <c:crossAx val="21252881"/>
        <c:crosses val="autoZero"/>
        <c:crossBetween val="between"/>
      </c:valAx>
      <c:spPr>
        <a:noFill/>
        <a:ln w="0">
          <a:noFill/>
        </a:ln>
      </c:spPr>
    </c:plotArea>
    <c:legend>
      <c:legendPos val="t"/>
      <c:layout>
        <c:manualLayout>
          <c:xMode val="edge"/>
          <c:yMode val="edge"/>
          <c:x val="0.0840000858677086"/>
          <c:y val="0.0322695044471297"/>
          <c:w val="0.308533245844269"/>
          <c:h val="0.0789964275298921"/>
        </c:manualLayout>
      </c:layout>
      <c:overlay val="0"/>
      <c:spPr>
        <a:noFill/>
        <a:ln w="0">
          <a:noFill/>
        </a:ln>
      </c:spPr>
      <c:txPr>
        <a:bodyPr/>
        <a:lstStyle/>
        <a:p>
          <a:pPr>
            <a:defRPr b="0" sz="1000" spc="-1" strike="noStrike">
              <a:solidFill>
                <a:srgbClr val="000000"/>
              </a:solidFill>
              <a:latin typeface="Arial"/>
              <a:ea typeface="游ゴシック Medium"/>
            </a:defRPr>
          </a:pPr>
        </a:p>
      </c:txPr>
    </c:legend>
    <c:plotVisOnly val="1"/>
    <c:dispBlanksAs val="gap"/>
  </c:chart>
  <c:spPr>
    <a:solidFill>
      <a:srgbClr val="ffffff"/>
    </a:solid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295893223819302"/>
          <c:y val="0.158088235294118"/>
          <c:w val="0.440999315537303"/>
          <c:h val="0.735031512605042"/>
        </c:manualLayout>
      </c:layout>
      <c:doughnutChart>
        <c:varyColors val="1"/>
        <c:ser>
          <c:idx val="0"/>
          <c:order val="0"/>
          <c:tx>
            <c:strRef>
              <c:f>グラフ!$C$33</c:f>
              <c:strCache>
                <c:ptCount val="1"/>
                <c:pt idx="0">
                  <c:v>グラフタイトル</c:v>
                </c:pt>
              </c:strCache>
            </c:strRef>
          </c:tx>
          <c:spPr>
            <a:solidFill>
              <a:srgbClr val="727f88"/>
            </a:solidFill>
            <a:ln w="12600">
              <a:noFill/>
            </a:ln>
          </c:spPr>
          <c:explosion val="0"/>
          <c:dPt>
            <c:idx val="0"/>
            <c:spPr>
              <a:solidFill>
                <a:srgbClr val="0889c9"/>
              </a:solidFill>
              <a:ln w="12600">
                <a:solidFill>
                  <a:srgbClr val="ffffff"/>
                </a:solidFill>
                <a:round/>
              </a:ln>
            </c:spPr>
          </c:dPt>
          <c:dPt>
            <c:idx val="1"/>
            <c:spPr>
              <a:solidFill>
                <a:srgbClr val="b7e2f5"/>
              </a:solidFill>
              <a:ln w="12600">
                <a:solidFill>
                  <a:srgbClr val="ffffff"/>
                </a:solidFill>
                <a:round/>
              </a:ln>
            </c:spPr>
          </c:dPt>
          <c:dPt>
            <c:idx val="2"/>
            <c:spPr>
              <a:solidFill>
                <a:srgbClr val="e1f3fb"/>
              </a:solidFill>
              <a:ln w="12600">
                <a:solidFill>
                  <a:srgbClr val="ffffff"/>
                </a:solidFill>
                <a:round/>
              </a:ln>
            </c:spPr>
          </c:dPt>
          <c:dPt>
            <c:idx val="3"/>
            <c:spPr>
              <a:solidFill>
                <a:srgbClr val="c9d1d5"/>
              </a:solidFill>
              <a:ln w="12600">
                <a:solidFill>
                  <a:srgbClr val="ffffff"/>
                </a:solidFill>
                <a:round/>
              </a:ln>
            </c:spPr>
          </c:dPt>
          <c:dLbls>
            <c:numFmt formatCode="General" sourceLinked="1"/>
            <c:dLbl>
              <c:idx val="0"/>
              <c:numFmt formatCode="General" sourceLinked="1"/>
              <c:txPr>
                <a:bodyPr wrap="square"/>
                <a:lstStyle/>
                <a:p>
                  <a:pPr>
                    <a:defRPr b="1" sz="2000" spc="-1" strike="noStrike">
                      <a:solidFill>
                        <a:srgbClr val="ffffff"/>
                      </a:solidFill>
                      <a:latin typeface="Arial"/>
                      <a:ea typeface="游ゴシック Medium"/>
                    </a:defRPr>
                  </a:pPr>
                </a:p>
              </c:txPr>
              <c:showLegendKey val="0"/>
              <c:showVal val="1"/>
              <c:showCatName val="0"/>
              <c:showSerName val="0"/>
              <c:showPercent val="0"/>
              <c:separator>; </c:separator>
            </c:dLbl>
            <c:dLbl>
              <c:idx val="1"/>
              <c:numFmt formatCode="General" sourceLinked="1"/>
              <c:txPr>
                <a:bodyPr wrap="square"/>
                <a:lstStyle/>
                <a:p>
                  <a:pPr>
                    <a:defRPr b="1" sz="1600" spc="-1" strike="noStrike">
                      <a:solidFill>
                        <a:srgbClr val="000000"/>
                      </a:solidFill>
                      <a:latin typeface="Arial"/>
                      <a:ea typeface="游ゴシック Medium"/>
                    </a:defRPr>
                  </a:pPr>
                </a:p>
              </c:txPr>
              <c:showLegendKey val="0"/>
              <c:showVal val="1"/>
              <c:showCatName val="0"/>
              <c:showSerName val="0"/>
              <c:showPercent val="0"/>
              <c:separator>; </c:separator>
            </c:dLbl>
            <c:dLbl>
              <c:idx val="2"/>
              <c:numFmt formatCode="General" sourceLinked="1"/>
              <c:txPr>
                <a:bodyPr wrap="square"/>
                <a:lstStyle/>
                <a:p>
                  <a:pPr>
                    <a:defRPr b="1" sz="1600" spc="-1" strike="noStrike">
                      <a:solidFill>
                        <a:srgbClr val="000000"/>
                      </a:solidFill>
                      <a:latin typeface="Arial"/>
                      <a:ea typeface="游ゴシック Medium"/>
                    </a:defRPr>
                  </a:pPr>
                </a:p>
              </c:txPr>
              <c:showLegendKey val="0"/>
              <c:showVal val="1"/>
              <c:showCatName val="0"/>
              <c:showSerName val="0"/>
              <c:showPercent val="0"/>
              <c:separator>; </c:separator>
            </c:dLbl>
            <c:dLbl>
              <c:idx val="3"/>
              <c:numFmt formatCode="General" sourceLinked="1"/>
              <c:txPr>
                <a:bodyPr wrap="square"/>
                <a:lstStyle/>
                <a:p>
                  <a:pPr>
                    <a:defRPr b="1" sz="1600" spc="-1" strike="noStrike">
                      <a:solidFill>
                        <a:srgbClr val="000000"/>
                      </a:solidFill>
                      <a:latin typeface="Arial"/>
                      <a:ea typeface="游ゴシック Medium"/>
                    </a:defRPr>
                  </a:pPr>
                </a:p>
              </c:txPr>
              <c:showLegendKey val="0"/>
              <c:showVal val="1"/>
              <c:showCatName val="0"/>
              <c:showSerName val="0"/>
              <c:showPercent val="0"/>
              <c:separator>; </c:separator>
            </c:dLbl>
            <c:txPr>
              <a:bodyPr wrap="square"/>
              <a:lstStyle/>
              <a:p>
                <a:pPr>
                  <a:defRPr b="1" sz="1800" spc="-1" strike="noStrike">
                    <a:solidFill>
                      <a:srgbClr val="ffffff"/>
                    </a:solidFill>
                    <a:latin typeface="Arial"/>
                    <a:ea typeface="游ゴシック Medium"/>
                  </a:defRPr>
                </a:pPr>
              </a:p>
            </c:txPr>
            <c:showLegendKey val="0"/>
            <c:showVal val="1"/>
            <c:showCatName val="0"/>
            <c:showSerName val="0"/>
            <c:showPercent val="0"/>
            <c:separator>; </c:separator>
            <c:showLeaderLines val="1"/>
          </c:dLbls>
          <c:cat>
            <c:strRef>
              <c:f>グラフ!$B$34:$B$37</c:f>
              <c:strCache>
                <c:ptCount val="4"/>
                <c:pt idx="0">
                  <c:v>A</c:v>
                </c:pt>
                <c:pt idx="1">
                  <c:v>B</c:v>
                </c:pt>
                <c:pt idx="2">
                  <c:v>C</c:v>
                </c:pt>
                <c:pt idx="3">
                  <c:v>D</c:v>
                </c:pt>
              </c:strCache>
            </c:strRef>
          </c:cat>
          <c:val>
            <c:numRef>
              <c:f>グラフ!$C$34:$C$37</c:f>
              <c:numCache>
                <c:formatCode>General</c:formatCode>
                <c:ptCount val="4"/>
                <c:pt idx="0">
                  <c:v>60</c:v>
                </c:pt>
                <c:pt idx="1">
                  <c:v>20</c:v>
                </c:pt>
                <c:pt idx="2">
                  <c:v>15</c:v>
                </c:pt>
                <c:pt idx="3">
                  <c:v>5</c:v>
                </c:pt>
              </c:numCache>
            </c:numRef>
          </c:val>
        </c:ser>
        <c:firstSliceAng val="0"/>
        <c:holeSize val="50"/>
      </c:doughnutChart>
      <c:spPr>
        <a:noFill/>
        <a:ln w="0">
          <a:noFill/>
        </a:ln>
      </c:spPr>
    </c:plotArea>
    <c:legend>
      <c:legendPos val="t"/>
      <c:layout>
        <c:manualLayout>
          <c:xMode val="edge"/>
          <c:yMode val="edge"/>
          <c:x val="0.228603018372703"/>
          <c:y val="0.0735793963254593"/>
          <c:w val="0.224702339657983"/>
          <c:h val="0.0789964275298921"/>
        </c:manualLayout>
      </c:layout>
      <c:overlay val="0"/>
      <c:spPr>
        <a:noFill/>
        <a:ln w="0">
          <a:noFill/>
        </a:ln>
      </c:spPr>
      <c:txPr>
        <a:bodyPr/>
        <a:lstStyle/>
        <a:p>
          <a:pPr>
            <a:defRPr b="0" sz="1000" spc="-1" strike="noStrike">
              <a:solidFill>
                <a:srgbClr val="000000"/>
              </a:solidFill>
              <a:latin typeface="Arial"/>
              <a:ea typeface="游ゴシック Medium"/>
            </a:defRPr>
          </a:pPr>
        </a:p>
      </c:txPr>
    </c:legend>
    <c:plotVisOnly val="1"/>
    <c:dispBlanksAs val="gap"/>
  </c:chart>
  <c:spPr>
    <a:solidFill>
      <a:srgbClr val="ffffff"/>
    </a:solidFill>
    <a:ln w="936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stacked"/>
        <c:varyColors val="0"/>
        <c:ser>
          <c:idx val="0"/>
          <c:order val="0"/>
          <c:tx>
            <c:strRef>
              <c:f>グラフ!$C$51</c:f>
              <c:strCache>
                <c:ptCount val="1"/>
                <c:pt idx="0">
                  <c:v>X</c:v>
                </c:pt>
              </c:strCache>
            </c:strRef>
          </c:tx>
          <c:spPr>
            <a:solidFill>
              <a:srgbClr val="0889c9"/>
            </a:solidFill>
            <a:ln w="0">
              <a:noFill/>
            </a:ln>
          </c:spPr>
          <c:invertIfNegative val="0"/>
          <c:dLbls>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グラフ!$B$52:$B$55</c:f>
              <c:strCache>
                <c:ptCount val="4"/>
                <c:pt idx="0">
                  <c:v>D</c:v>
                </c:pt>
                <c:pt idx="1">
                  <c:v>C</c:v>
                </c:pt>
                <c:pt idx="2">
                  <c:v>B</c:v>
                </c:pt>
                <c:pt idx="3">
                  <c:v>A</c:v>
                </c:pt>
              </c:strCache>
            </c:strRef>
          </c:cat>
          <c:val>
            <c:numRef>
              <c:f>グラフ!$C$52:$C$55</c:f>
              <c:numCache>
                <c:formatCode>General</c:formatCode>
                <c:ptCount val="4"/>
                <c:pt idx="0">
                  <c:v>4.3</c:v>
                </c:pt>
                <c:pt idx="1">
                  <c:v>2.5</c:v>
                </c:pt>
                <c:pt idx="2">
                  <c:v>3.5</c:v>
                </c:pt>
                <c:pt idx="3">
                  <c:v>4.5</c:v>
                </c:pt>
              </c:numCache>
            </c:numRef>
          </c:val>
        </c:ser>
        <c:ser>
          <c:idx val="1"/>
          <c:order val="1"/>
          <c:tx>
            <c:strRef>
              <c:f>グラフ!$D$51</c:f>
              <c:strCache>
                <c:ptCount val="1"/>
                <c:pt idx="0">
                  <c:v>Y</c:v>
                </c:pt>
              </c:strCache>
            </c:strRef>
          </c:tx>
          <c:spPr>
            <a:solidFill>
              <a:srgbClr val="b7e2f5"/>
            </a:solidFill>
            <a:ln w="0">
              <a:noFill/>
            </a:ln>
          </c:spPr>
          <c:invertIfNegative val="0"/>
          <c:dLbls>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グラフ!$B$52:$B$55</c:f>
              <c:strCache>
                <c:ptCount val="4"/>
                <c:pt idx="0">
                  <c:v>D</c:v>
                </c:pt>
                <c:pt idx="1">
                  <c:v>C</c:v>
                </c:pt>
                <c:pt idx="2">
                  <c:v>B</c:v>
                </c:pt>
                <c:pt idx="3">
                  <c:v>A</c:v>
                </c:pt>
              </c:strCache>
            </c:strRef>
          </c:cat>
          <c:val>
            <c:numRef>
              <c:f>グラフ!$D$52:$D$55</c:f>
              <c:numCache>
                <c:formatCode>General</c:formatCode>
                <c:ptCount val="4"/>
                <c:pt idx="0">
                  <c:v>2.4</c:v>
                </c:pt>
                <c:pt idx="1">
                  <c:v>4.4</c:v>
                </c:pt>
                <c:pt idx="2">
                  <c:v>1.8</c:v>
                </c:pt>
                <c:pt idx="3">
                  <c:v>2.8</c:v>
                </c:pt>
              </c:numCache>
            </c:numRef>
          </c:val>
        </c:ser>
        <c:ser>
          <c:idx val="2"/>
          <c:order val="2"/>
          <c:tx>
            <c:strRef>
              <c:f>グラフ!$E$51</c:f>
              <c:strCache>
                <c:ptCount val="1"/>
                <c:pt idx="0">
                  <c:v>Z</c:v>
                </c:pt>
              </c:strCache>
            </c:strRef>
          </c:tx>
          <c:spPr>
            <a:solidFill>
              <a:srgbClr val="c9d1d5"/>
            </a:solidFill>
            <a:ln w="0">
              <a:noFill/>
            </a:ln>
          </c:spPr>
          <c:invertIfNegative val="0"/>
          <c:dLbls>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グラフ!$B$52:$B$55</c:f>
              <c:strCache>
                <c:ptCount val="4"/>
                <c:pt idx="0">
                  <c:v>D</c:v>
                </c:pt>
                <c:pt idx="1">
                  <c:v>C</c:v>
                </c:pt>
                <c:pt idx="2">
                  <c:v>B</c:v>
                </c:pt>
                <c:pt idx="3">
                  <c:v>A</c:v>
                </c:pt>
              </c:strCache>
            </c:strRef>
          </c:cat>
          <c:val>
            <c:numRef>
              <c:f>グラフ!$E$52:$E$55</c:f>
              <c:numCache>
                <c:formatCode>General</c:formatCode>
                <c:ptCount val="4"/>
                <c:pt idx="0">
                  <c:v>2</c:v>
                </c:pt>
                <c:pt idx="1">
                  <c:v>2</c:v>
                </c:pt>
                <c:pt idx="2">
                  <c:v>3</c:v>
                </c:pt>
                <c:pt idx="3">
                  <c:v>5</c:v>
                </c:pt>
              </c:numCache>
            </c:numRef>
          </c:val>
        </c:ser>
        <c:gapWidth val="100"/>
        <c:overlap val="100"/>
        <c:axId val="93944304"/>
        <c:axId val="43442967"/>
      </c:barChart>
      <c:catAx>
        <c:axId val="93944304"/>
        <c:scaling>
          <c:orientation val="minMax"/>
        </c:scaling>
        <c:delete val="0"/>
        <c:axPos val="b"/>
        <c:numFmt formatCode="General" sourceLinked="0"/>
        <c:majorTickMark val="none"/>
        <c:minorTickMark val="none"/>
        <c:tickLblPos val="nextTo"/>
        <c:spPr>
          <a:ln w="9360">
            <a:solidFill>
              <a:srgbClr val="000000"/>
            </a:solidFill>
            <a:round/>
          </a:ln>
        </c:spPr>
        <c:txPr>
          <a:bodyPr/>
          <a:lstStyle/>
          <a:p>
            <a:pPr>
              <a:defRPr b="1" sz="1000" spc="-1" strike="noStrike">
                <a:solidFill>
                  <a:srgbClr val="000000"/>
                </a:solidFill>
                <a:latin typeface="Arial"/>
                <a:ea typeface="游ゴシック Medium"/>
              </a:defRPr>
            </a:pPr>
          </a:p>
        </c:txPr>
        <c:crossAx val="43442967"/>
        <c:crosses val="autoZero"/>
        <c:auto val="1"/>
        <c:lblAlgn val="ctr"/>
        <c:lblOffset val="100"/>
        <c:noMultiLvlLbl val="0"/>
      </c:catAx>
      <c:valAx>
        <c:axId val="43442967"/>
        <c:scaling>
          <c:orientation val="minMax"/>
        </c:scaling>
        <c:delete val="0"/>
        <c:axPos val="l"/>
        <c:numFmt formatCode="General" sourceLinked="0"/>
        <c:majorTickMark val="none"/>
        <c:minorTickMark val="none"/>
        <c:tickLblPos val="nextTo"/>
        <c:spPr>
          <a:ln w="12600">
            <a:noFill/>
          </a:ln>
        </c:spPr>
        <c:txPr>
          <a:bodyPr/>
          <a:lstStyle/>
          <a:p>
            <a:pPr>
              <a:defRPr b="0" sz="800" spc="-1" strike="noStrike">
                <a:solidFill>
                  <a:srgbClr val="000000"/>
                </a:solidFill>
                <a:latin typeface="Arial"/>
                <a:ea typeface="游ゴシック Medium"/>
              </a:defRPr>
            </a:pPr>
          </a:p>
        </c:txPr>
        <c:crossAx val="93944304"/>
        <c:crosses val="autoZero"/>
        <c:crossBetween val="between"/>
      </c:valAx>
      <c:spPr>
        <a:noFill/>
        <a:ln w="0">
          <a:noFill/>
        </a:ln>
      </c:spPr>
    </c:plotArea>
    <c:legend>
      <c:legendPos val="t"/>
      <c:layout>
        <c:manualLayout>
          <c:xMode val="edge"/>
          <c:yMode val="edge"/>
          <c:x val="0.042319435000987"/>
          <c:y val="0.046150574454488"/>
          <c:w val="0.165868883381221"/>
          <c:h val="0.078374420563543"/>
        </c:manualLayout>
      </c:layout>
      <c:overlay val="0"/>
      <c:spPr>
        <a:noFill/>
        <a:ln w="0">
          <a:noFill/>
        </a:ln>
      </c:spPr>
      <c:txPr>
        <a:bodyPr/>
        <a:lstStyle/>
        <a:p>
          <a:pPr>
            <a:defRPr b="0" sz="1000" spc="-1" strike="noStrike">
              <a:solidFill>
                <a:srgbClr val="000000"/>
              </a:solidFill>
              <a:latin typeface="Arial"/>
              <a:ea typeface="游ゴシック Medium"/>
            </a:defRPr>
          </a:pPr>
        </a:p>
      </c:txPr>
    </c:legend>
    <c:plotVisOnly val="1"/>
    <c:dispBlanksAs val="gap"/>
  </c:chart>
  <c:spPr>
    <a:solidFill>
      <a:srgbClr val="ffffff"/>
    </a:solidFill>
    <a:ln w="9360">
      <a:noFill/>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stacked"/>
        <c:varyColors val="0"/>
        <c:ser>
          <c:idx val="0"/>
          <c:order val="0"/>
          <c:tx>
            <c:strRef>
              <c:f>グラフ!$C$2</c:f>
              <c:strCache>
                <c:ptCount val="1"/>
                <c:pt idx="0">
                  <c:v>A</c:v>
                </c:pt>
              </c:strCache>
            </c:strRef>
          </c:tx>
          <c:spPr>
            <a:solidFill>
              <a:srgbClr val="b7e2f5"/>
            </a:solidFill>
            <a:ln w="0">
              <a:noFill/>
            </a:ln>
          </c:spPr>
          <c:invertIfNegative val="0"/>
          <c:dPt>
            <c:idx val="3"/>
            <c:invertIfNegative val="0"/>
            <c:spPr>
              <a:solidFill>
                <a:srgbClr val="0889c9"/>
              </a:solidFill>
              <a:ln w="0">
                <a:noFill/>
              </a:ln>
            </c:spPr>
          </c:dPt>
          <c:dLbls>
            <c:dLbl>
              <c:idx val="3"/>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dLbl>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グラフ!$B$3:$B$6</c:f>
              <c:strCache>
                <c:ptCount val="4"/>
                <c:pt idx="0">
                  <c:v>第1四半期</c:v>
                </c:pt>
                <c:pt idx="1">
                  <c:v>第2四半期</c:v>
                </c:pt>
                <c:pt idx="2">
                  <c:v>第3四半期</c:v>
                </c:pt>
                <c:pt idx="3">
                  <c:v>第4四半期</c:v>
                </c:pt>
              </c:strCache>
            </c:strRef>
          </c:cat>
          <c:val>
            <c:numRef>
              <c:f>グラフ!$T$3:$T$6</c:f>
              <c:numCache>
                <c:formatCode>General</c:formatCode>
                <c:ptCount val="4"/>
                <c:pt idx="0">
                  <c:v>50</c:v>
                </c:pt>
                <c:pt idx="1">
                  <c:v>55</c:v>
                </c:pt>
                <c:pt idx="2">
                  <c:v>52</c:v>
                </c:pt>
                <c:pt idx="3">
                  <c:v>80</c:v>
                </c:pt>
              </c:numCache>
            </c:numRef>
          </c:val>
        </c:ser>
        <c:gapWidth val="150"/>
        <c:overlap val="100"/>
        <c:axId val="47156328"/>
        <c:axId val="12769252"/>
      </c:barChart>
      <c:catAx>
        <c:axId val="47156328"/>
        <c:scaling>
          <c:orientation val="minMax"/>
        </c:scaling>
        <c:delete val="0"/>
        <c:axPos val="b"/>
        <c:numFmt formatCode="General" sourceLinked="0"/>
        <c:majorTickMark val="none"/>
        <c:minorTickMark val="none"/>
        <c:tickLblPos val="nextTo"/>
        <c:spPr>
          <a:ln w="9360">
            <a:solidFill>
              <a:srgbClr val="000000"/>
            </a:solidFill>
            <a:round/>
          </a:ln>
        </c:spPr>
        <c:txPr>
          <a:bodyPr/>
          <a:lstStyle/>
          <a:p>
            <a:pPr>
              <a:defRPr b="1" sz="1000" spc="-1" strike="noStrike">
                <a:solidFill>
                  <a:srgbClr val="000000"/>
                </a:solidFill>
                <a:latin typeface="Arial"/>
                <a:ea typeface="游ゴシック"/>
              </a:defRPr>
            </a:pPr>
          </a:p>
        </c:txPr>
        <c:crossAx val="12769252"/>
        <c:crosses val="autoZero"/>
        <c:auto val="1"/>
        <c:lblAlgn val="ctr"/>
        <c:lblOffset val="100"/>
        <c:noMultiLvlLbl val="0"/>
      </c:catAx>
      <c:valAx>
        <c:axId val="12769252"/>
        <c:scaling>
          <c:orientation val="minMax"/>
        </c:scaling>
        <c:delete val="0"/>
        <c:axPos val="l"/>
        <c:numFmt formatCode="General" sourceLinked="0"/>
        <c:majorTickMark val="none"/>
        <c:minorTickMark val="none"/>
        <c:tickLblPos val="nextTo"/>
        <c:spPr>
          <a:ln w="12600">
            <a:noFill/>
          </a:ln>
        </c:spPr>
        <c:txPr>
          <a:bodyPr/>
          <a:lstStyle/>
          <a:p>
            <a:pPr>
              <a:defRPr b="0" sz="800" spc="-1" strike="noStrike">
                <a:solidFill>
                  <a:srgbClr val="000000"/>
                </a:solidFill>
                <a:latin typeface="Arial"/>
                <a:ea typeface="游ゴシック Medium"/>
              </a:defRPr>
            </a:pPr>
          </a:p>
        </c:txPr>
        <c:crossAx val="47156328"/>
        <c:crosses val="autoZero"/>
        <c:crossBetween val="between"/>
      </c:valAx>
      <c:spPr>
        <a:noFill/>
        <a:ln w="0">
          <a:noFill/>
        </a:ln>
      </c:spPr>
    </c:plotArea>
    <c:plotVisOnly val="1"/>
    <c:dispBlanksAs val="gap"/>
  </c:chart>
  <c:spPr>
    <a:solidFill>
      <a:srgbClr val="ffffff"/>
    </a:solidFill>
    <a:ln w="9360">
      <a:noFill/>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stacked"/>
        <c:varyColors val="0"/>
        <c:ser>
          <c:idx val="0"/>
          <c:order val="0"/>
          <c:tx>
            <c:strRef>
              <c:f>グラフ!$C$2</c:f>
              <c:strCache>
                <c:ptCount val="1"/>
                <c:pt idx="0">
                  <c:v>A</c:v>
                </c:pt>
              </c:strCache>
            </c:strRef>
          </c:tx>
          <c:spPr>
            <a:solidFill>
              <a:srgbClr val="c9d1d5"/>
            </a:solidFill>
            <a:ln w="0">
              <a:noFill/>
            </a:ln>
          </c:spPr>
          <c:invertIfNegative val="0"/>
          <c:dPt>
            <c:idx val="3"/>
            <c:invertIfNegative val="0"/>
            <c:spPr>
              <a:solidFill>
                <a:srgbClr val="0889c9"/>
              </a:solidFill>
              <a:ln w="0">
                <a:noFill/>
              </a:ln>
            </c:spPr>
          </c:dPt>
          <c:dLbls>
            <c:dLbl>
              <c:idx val="3"/>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dLbl>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グラフ!$B$3:$B$6</c:f>
              <c:strCache>
                <c:ptCount val="4"/>
                <c:pt idx="0">
                  <c:v>第1四半期</c:v>
                </c:pt>
                <c:pt idx="1">
                  <c:v>第2四半期</c:v>
                </c:pt>
                <c:pt idx="2">
                  <c:v>第3四半期</c:v>
                </c:pt>
                <c:pt idx="3">
                  <c:v>第4四半期</c:v>
                </c:pt>
              </c:strCache>
            </c:strRef>
          </c:cat>
          <c:val>
            <c:numRef>
              <c:f>グラフ!$T$20:$T$23</c:f>
              <c:numCache>
                <c:formatCode>General</c:formatCode>
                <c:ptCount val="4"/>
                <c:pt idx="0">
                  <c:v>50</c:v>
                </c:pt>
                <c:pt idx="1">
                  <c:v>55</c:v>
                </c:pt>
                <c:pt idx="2">
                  <c:v>52</c:v>
                </c:pt>
                <c:pt idx="3">
                  <c:v>80</c:v>
                </c:pt>
              </c:numCache>
            </c:numRef>
          </c:val>
        </c:ser>
        <c:gapWidth val="150"/>
        <c:overlap val="100"/>
        <c:axId val="49049740"/>
        <c:axId val="62213138"/>
      </c:barChart>
      <c:catAx>
        <c:axId val="49049740"/>
        <c:scaling>
          <c:orientation val="minMax"/>
        </c:scaling>
        <c:delete val="0"/>
        <c:axPos val="b"/>
        <c:numFmt formatCode="General" sourceLinked="0"/>
        <c:majorTickMark val="none"/>
        <c:minorTickMark val="none"/>
        <c:tickLblPos val="nextTo"/>
        <c:spPr>
          <a:ln w="9360">
            <a:solidFill>
              <a:srgbClr val="000000"/>
            </a:solidFill>
            <a:round/>
          </a:ln>
        </c:spPr>
        <c:txPr>
          <a:bodyPr/>
          <a:lstStyle/>
          <a:p>
            <a:pPr>
              <a:defRPr b="1" sz="1000" spc="-1" strike="noStrike">
                <a:solidFill>
                  <a:srgbClr val="000000"/>
                </a:solidFill>
                <a:latin typeface="Arial"/>
                <a:ea typeface="游ゴシック"/>
              </a:defRPr>
            </a:pPr>
          </a:p>
        </c:txPr>
        <c:crossAx val="62213138"/>
        <c:crosses val="autoZero"/>
        <c:auto val="1"/>
        <c:lblAlgn val="ctr"/>
        <c:lblOffset val="100"/>
        <c:noMultiLvlLbl val="0"/>
      </c:catAx>
      <c:valAx>
        <c:axId val="62213138"/>
        <c:scaling>
          <c:orientation val="minMax"/>
        </c:scaling>
        <c:delete val="0"/>
        <c:axPos val="l"/>
        <c:numFmt formatCode="General" sourceLinked="0"/>
        <c:majorTickMark val="none"/>
        <c:minorTickMark val="none"/>
        <c:tickLblPos val="nextTo"/>
        <c:spPr>
          <a:ln w="12600">
            <a:noFill/>
          </a:ln>
        </c:spPr>
        <c:txPr>
          <a:bodyPr/>
          <a:lstStyle/>
          <a:p>
            <a:pPr>
              <a:defRPr b="0" sz="800" spc="-1" strike="noStrike">
                <a:solidFill>
                  <a:srgbClr val="000000"/>
                </a:solidFill>
                <a:latin typeface="Arial"/>
                <a:ea typeface="游ゴシック Medium"/>
              </a:defRPr>
            </a:pPr>
          </a:p>
        </c:txPr>
        <c:crossAx val="49049740"/>
        <c:crosses val="autoZero"/>
        <c:crossBetween val="between"/>
      </c:valAx>
      <c:spPr>
        <a:noFill/>
        <a:ln w="0">
          <a:noFill/>
        </a:ln>
      </c:spPr>
    </c:plotArea>
    <c:plotVisOnly val="1"/>
    <c:dispBlanksAs val="gap"/>
  </c:chart>
  <c:spPr>
    <a:solidFill>
      <a:srgbClr val="ffffff"/>
    </a:solid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 Id="rId5" Type="http://schemas.openxmlformats.org/officeDocument/2006/relationships/chart" Target="../charts/chart6.xml"/><Relationship Id="rId6" Type="http://schemas.openxmlformats.org/officeDocument/2006/relationships/chart" Target="../charts/chart7.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240120</xdr:colOff>
      <xdr:row>7</xdr:row>
      <xdr:rowOff>160200</xdr:rowOff>
    </xdr:from>
    <xdr:to>
      <xdr:col>5</xdr:col>
      <xdr:colOff>882360</xdr:colOff>
      <xdr:row>21</xdr:row>
      <xdr:rowOff>36360</xdr:rowOff>
    </xdr:to>
    <xdr:graphicFrame>
      <xdr:nvGraphicFramePr>
        <xdr:cNvPr id="0" name="Chart 1"/>
        <xdr:cNvGraphicFramePr/>
      </xdr:nvGraphicFramePr>
      <xdr:xfrm>
        <a:off x="2655000" y="2503440"/>
        <a:ext cx="5610600" cy="32097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206280</xdr:colOff>
      <xdr:row>0</xdr:row>
      <xdr:rowOff>206280</xdr:rowOff>
    </xdr:from>
    <xdr:to>
      <xdr:col>13</xdr:col>
      <xdr:colOff>137880</xdr:colOff>
      <xdr:row>12</xdr:row>
      <xdr:rowOff>204480</xdr:rowOff>
    </xdr:to>
    <xdr:graphicFrame>
      <xdr:nvGraphicFramePr>
        <xdr:cNvPr id="1" name="Chart 1"/>
        <xdr:cNvGraphicFramePr/>
      </xdr:nvGraphicFramePr>
      <xdr:xfrm>
        <a:off x="4759200" y="206280"/>
        <a:ext cx="5243400" cy="2741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219240</xdr:colOff>
      <xdr:row>16</xdr:row>
      <xdr:rowOff>174600</xdr:rowOff>
    </xdr:from>
    <xdr:to>
      <xdr:col>13</xdr:col>
      <xdr:colOff>166680</xdr:colOff>
      <xdr:row>28</xdr:row>
      <xdr:rowOff>172800</xdr:rowOff>
    </xdr:to>
    <xdr:graphicFrame>
      <xdr:nvGraphicFramePr>
        <xdr:cNvPr id="2" name="Chart 2"/>
        <xdr:cNvGraphicFramePr/>
      </xdr:nvGraphicFramePr>
      <xdr:xfrm>
        <a:off x="4772160" y="3832200"/>
        <a:ext cx="5259240" cy="27414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225360</xdr:colOff>
      <xdr:row>31</xdr:row>
      <xdr:rowOff>181080</xdr:rowOff>
    </xdr:from>
    <xdr:to>
      <xdr:col>13</xdr:col>
      <xdr:colOff>172800</xdr:colOff>
      <xdr:row>43</xdr:row>
      <xdr:rowOff>179280</xdr:rowOff>
    </xdr:to>
    <xdr:graphicFrame>
      <xdr:nvGraphicFramePr>
        <xdr:cNvPr id="3" name="Chart 3"/>
        <xdr:cNvGraphicFramePr/>
      </xdr:nvGraphicFramePr>
      <xdr:xfrm>
        <a:off x="4778280" y="7267680"/>
        <a:ext cx="5259240" cy="27414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376560</xdr:colOff>
      <xdr:row>48</xdr:row>
      <xdr:rowOff>20880</xdr:rowOff>
    </xdr:from>
    <xdr:to>
      <xdr:col>13</xdr:col>
      <xdr:colOff>311400</xdr:colOff>
      <xdr:row>60</xdr:row>
      <xdr:rowOff>40680</xdr:rowOff>
    </xdr:to>
    <xdr:graphicFrame>
      <xdr:nvGraphicFramePr>
        <xdr:cNvPr id="4" name="Chart 4"/>
        <xdr:cNvGraphicFramePr/>
      </xdr:nvGraphicFramePr>
      <xdr:xfrm>
        <a:off x="4929480" y="10993680"/>
        <a:ext cx="5246640" cy="27630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206280</xdr:colOff>
      <xdr:row>0</xdr:row>
      <xdr:rowOff>206280</xdr:rowOff>
    </xdr:from>
    <xdr:to>
      <xdr:col>28</xdr:col>
      <xdr:colOff>137880</xdr:colOff>
      <xdr:row>12</xdr:row>
      <xdr:rowOff>204480</xdr:rowOff>
    </xdr:to>
    <xdr:graphicFrame>
      <xdr:nvGraphicFramePr>
        <xdr:cNvPr id="5" name="Chart 5"/>
        <xdr:cNvGraphicFramePr/>
      </xdr:nvGraphicFramePr>
      <xdr:xfrm>
        <a:off x="16141680" y="206280"/>
        <a:ext cx="5243400" cy="27414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206280</xdr:colOff>
      <xdr:row>17</xdr:row>
      <xdr:rowOff>206280</xdr:rowOff>
    </xdr:from>
    <xdr:to>
      <xdr:col>28</xdr:col>
      <xdr:colOff>137880</xdr:colOff>
      <xdr:row>29</xdr:row>
      <xdr:rowOff>204480</xdr:rowOff>
    </xdr:to>
    <xdr:graphicFrame>
      <xdr:nvGraphicFramePr>
        <xdr:cNvPr id="6" name="Chart 6"/>
        <xdr:cNvGraphicFramePr/>
      </xdr:nvGraphicFramePr>
      <xdr:xfrm>
        <a:off x="16141680" y="4092480"/>
        <a:ext cx="5243400" cy="27414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xmlns:r="http://schemas.openxmlformats.org/officeDocument/2006/relationships" name="Office テーマ">
  <a:themeElements>
    <a:clrScheme name="M&amp;A">
      <a:dk1>
        <a:srgbClr val="000000"/>
      </a:dk1>
      <a:lt1>
        <a:srgbClr val="ffffff"/>
      </a:lt1>
      <a:dk2>
        <a:srgbClr val="0b3041"/>
      </a:dk2>
      <a:lt2>
        <a:srgbClr val="e3e7e9"/>
      </a:lt2>
      <a:accent1>
        <a:srgbClr val="727f88"/>
      </a:accent1>
      <a:accent2>
        <a:srgbClr val="e1f3fb"/>
      </a:accent2>
      <a:accent3>
        <a:srgbClr val="54ccb3"/>
      </a:accent3>
      <a:accent4>
        <a:srgbClr val="0889c9"/>
      </a:accent4>
      <a:accent5>
        <a:srgbClr val="ffffff"/>
      </a:accent5>
      <a:accent6>
        <a:srgbClr val="ffffff"/>
      </a:accent6>
      <a:hlink>
        <a:srgbClr val="ffffff"/>
      </a:hlink>
      <a:folHlink>
        <a:srgbClr val="ffffff"/>
      </a:folHlink>
    </a:clrScheme>
    <a:fontScheme name="游ゴシック&amp;Arial">
      <a:majorFont>
        <a:latin typeface="Arial" pitchFamily="0" charset="1"/>
        <a:ea typeface="游ゴシック" pitchFamily="0" charset="1"/>
        <a:cs typeface=""/>
      </a:majorFont>
      <a:minorFont>
        <a:latin typeface="Arial" pitchFamily="0" charset="1"/>
        <a:ea typeface="游ゴシック Medium" pitchFamily="0" charset="1"/>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0.xml.rels><?xml version="1.0" encoding="UTF-8"?>
<Relationships xmlns="http://schemas.openxmlformats.org/package/2006/relationships"><Relationship Id="rId1" Type="http://schemas.openxmlformats.org/officeDocument/2006/relationships/drawing" Target="../drawings/drawing1.xml"/>
</Relationships>
</file>

<file path=xl/worksheets/_rels/sheet5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B3:G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8" zeroHeight="false" outlineLevelRow="0" outlineLevelCol="0"/>
  <cols>
    <col collapsed="false" customWidth="true" hidden="false" outlineLevel="0" max="2" min="2" style="1" width="6.38"/>
  </cols>
  <sheetData>
    <row r="3" customFormat="false" ht="18" hidden="false" customHeight="true" outlineLevel="0" collapsed="false">
      <c r="B3" s="1" t="n">
        <v>1</v>
      </c>
      <c r="C3" s="2" t="s">
        <v>0</v>
      </c>
    </row>
    <row r="4" customFormat="false" ht="18" hidden="false" customHeight="true" outlineLevel="0" collapsed="false">
      <c r="B4" s="1" t="n">
        <v>2</v>
      </c>
      <c r="C4" s="2" t="s">
        <v>1</v>
      </c>
    </row>
    <row r="5" customFormat="false" ht="18" hidden="false" customHeight="true" outlineLevel="0" collapsed="false">
      <c r="B5" s="1" t="n">
        <v>3</v>
      </c>
      <c r="C5" s="2" t="s">
        <v>2</v>
      </c>
    </row>
    <row r="6" customFormat="false" ht="18" hidden="false" customHeight="true" outlineLevel="0" collapsed="false">
      <c r="B6" s="1" t="n">
        <v>4</v>
      </c>
      <c r="C6" s="2" t="s">
        <v>3</v>
      </c>
    </row>
    <row r="7" customFormat="false" ht="18" hidden="false" customHeight="true" outlineLevel="0" collapsed="false">
      <c r="C7" s="3"/>
      <c r="D7" s="4"/>
      <c r="E7" s="5"/>
      <c r="F7" s="6"/>
      <c r="G7" s="7"/>
    </row>
    <row r="8" customFormat="false" ht="18" hidden="false" customHeight="true" outlineLevel="0" collapsed="false">
      <c r="B8" s="2"/>
      <c r="C8" s="2" t="s">
        <v>4</v>
      </c>
    </row>
    <row r="10" customFormat="false" ht="20.25" hidden="false" customHeight="true" outlineLevel="0" collapsed="false">
      <c r="C10" s="8" t="s">
        <v>5</v>
      </c>
      <c r="D10" s="8"/>
      <c r="E10" s="8"/>
      <c r="F10" s="8"/>
    </row>
    <row r="11" customFormat="false" ht="19.5" hidden="false" customHeight="true" outlineLevel="0" collapsed="false">
      <c r="C11" s="9" t="s">
        <v>6</v>
      </c>
      <c r="D11" s="10" t="n">
        <f aca="false">'BS(借方)'!F10</f>
        <v>0</v>
      </c>
      <c r="E11" s="11" t="s">
        <v>7</v>
      </c>
      <c r="F11" s="12" t="s">
        <v>8</v>
      </c>
    </row>
    <row r="12" customFormat="false" ht="19.5" hidden="false" customHeight="true" outlineLevel="0" collapsed="false">
      <c r="C12" s="13" t="s">
        <v>9</v>
      </c>
      <c r="D12" s="14" t="n">
        <f aca="false">SUM(D13:D26)</f>
        <v>5000000</v>
      </c>
      <c r="E12" s="14" t="n">
        <f aca="false">SUM(E13:E26)</f>
        <v>-500000</v>
      </c>
      <c r="F12" s="15" t="n">
        <f aca="false">SUM(F13:F26)</f>
        <v>4500000</v>
      </c>
    </row>
    <row r="13" customFormat="false" ht="19.5" hidden="false" customHeight="true" outlineLevel="0" collapsed="false">
      <c r="C13" s="16" t="s">
        <v>10</v>
      </c>
      <c r="D13" s="17" t="n">
        <v>5000000</v>
      </c>
      <c r="E13" s="17" t="n">
        <v>-500000</v>
      </c>
      <c r="F13" s="18" t="n">
        <f aca="false">D13+E13</f>
        <v>4500000</v>
      </c>
    </row>
    <row r="14" customFormat="false" ht="19.5" hidden="false" customHeight="true" outlineLevel="0" collapsed="false">
      <c r="C14" s="16"/>
      <c r="D14" s="17"/>
      <c r="E14" s="17"/>
      <c r="F14" s="18" t="n">
        <f aca="false">D14+E14</f>
        <v>0</v>
      </c>
    </row>
  </sheetData>
  <mergeCells count="1">
    <mergeCell ref="C10:F1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44464"/>
    <pageSetUpPr fitToPage="false"/>
  </sheetPr>
  <dimension ref="A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8"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78"/>
  <sheetViews>
    <sheetView showFormulas="false" showGridLines="false" showRowColHeaders="true" showZeros="true" rightToLeft="false" tabSelected="true" showOutlineSymbols="true" defaultGridColor="true" view="normal" topLeftCell="A1" colorId="64" zoomScale="85" zoomScaleNormal="85" zoomScalePageLayoutView="100" workbookViewId="0">
      <pane xSplit="0" ySplit="4" topLeftCell="A50" activePane="bottomLeft" state="frozen"/>
      <selection pane="topLeft" activeCell="A1" activeCellId="0" sqref="A1"/>
      <selection pane="bottomLeft" activeCell="A61" activeCellId="0" sqref="A61"/>
    </sheetView>
  </sheetViews>
  <sheetFormatPr defaultColWidth="8.5390625" defaultRowHeight="18" zeroHeight="false" outlineLevelRow="0" outlineLevelCol="0"/>
  <cols>
    <col collapsed="false" customWidth="true" hidden="false" outlineLevel="0" max="2" min="2" style="19" width="28"/>
    <col collapsed="false" customWidth="true" hidden="false" outlineLevel="0" max="7" min="3" style="20" width="16.13"/>
    <col collapsed="false" customWidth="true" hidden="false" outlineLevel="0" max="8" min="8" style="20" width="8.88"/>
  </cols>
  <sheetData>
    <row r="1" customFormat="false" ht="18" hidden="false" customHeight="true" outlineLevel="0" collapsed="false">
      <c r="C1" s="21" t="s">
        <v>11</v>
      </c>
      <c r="D1" s="21"/>
      <c r="E1" s="21"/>
    </row>
    <row r="2" customFormat="false" ht="18" hidden="false" customHeight="true" outlineLevel="0" collapsed="false">
      <c r="C2" s="22" t="s">
        <v>12</v>
      </c>
      <c r="D2" s="22" t="s">
        <v>13</v>
      </c>
      <c r="E2" s="22" t="s">
        <v>14</v>
      </c>
      <c r="F2" s="23" t="s">
        <v>15</v>
      </c>
      <c r="G2" s="23" t="s">
        <v>16</v>
      </c>
    </row>
    <row r="3" customFormat="false" ht="27.75" hidden="false" customHeight="true" outlineLevel="0" collapsed="false">
      <c r="B3" s="24" t="s">
        <v>5</v>
      </c>
      <c r="C3" s="24"/>
      <c r="D3" s="24"/>
      <c r="E3" s="24"/>
      <c r="F3" s="24"/>
      <c r="G3" s="24"/>
    </row>
    <row r="4" customFormat="false" ht="39" hidden="false" customHeight="true" outlineLevel="0" collapsed="false">
      <c r="B4" s="25" t="s">
        <v>6</v>
      </c>
      <c r="C4" s="25" t="s">
        <v>17</v>
      </c>
      <c r="D4" s="26" t="s">
        <v>18</v>
      </c>
      <c r="E4" s="26" t="s">
        <v>19</v>
      </c>
      <c r="F4" s="26" t="s">
        <v>20</v>
      </c>
      <c r="G4" s="27" t="s">
        <v>21</v>
      </c>
    </row>
    <row r="5" customFormat="false" ht="22.5" hidden="false" customHeight="true" outlineLevel="0" collapsed="false">
      <c r="B5" s="13" t="s">
        <v>9</v>
      </c>
      <c r="C5" s="28" t="n">
        <f aca="false">SUM(C6:C19)</f>
        <v>0</v>
      </c>
      <c r="D5" s="28" t="n">
        <f aca="false">SUM(D6:D19)</f>
        <v>116930952</v>
      </c>
      <c r="E5" s="28" t="n">
        <f aca="false">SUM(E6:E19)</f>
        <v>188786028</v>
      </c>
      <c r="F5" s="28" t="n">
        <f aca="false">SUM(F6:F19)</f>
        <v>150113194</v>
      </c>
      <c r="G5" s="28" t="n">
        <f aca="false">SUM(G6:G19)</f>
        <v>92091317</v>
      </c>
    </row>
    <row r="6" customFormat="false" ht="22.5" hidden="false" customHeight="true" outlineLevel="0" collapsed="false">
      <c r="B6" s="16" t="s">
        <v>10</v>
      </c>
      <c r="C6" s="29"/>
      <c r="D6" s="29" t="n">
        <v>13655404</v>
      </c>
      <c r="E6" s="29" t="n">
        <v>17627838</v>
      </c>
      <c r="F6" s="29" t="n">
        <v>10140492</v>
      </c>
      <c r="G6" s="29" t="n">
        <v>14792479</v>
      </c>
    </row>
    <row r="7" customFormat="false" ht="22.5" hidden="false" customHeight="true" outlineLevel="0" collapsed="false">
      <c r="B7" s="16" t="s">
        <v>22</v>
      </c>
      <c r="C7" s="29"/>
      <c r="D7" s="29" t="n">
        <v>28157886</v>
      </c>
      <c r="E7" s="29" t="n">
        <v>39602581</v>
      </c>
      <c r="F7" s="29" t="n">
        <v>27628072</v>
      </c>
      <c r="G7" s="29" t="n">
        <v>16678270</v>
      </c>
    </row>
    <row r="8" customFormat="false" ht="22.5" hidden="false" customHeight="true" outlineLevel="0" collapsed="false">
      <c r="B8" s="16" t="s">
        <v>23</v>
      </c>
      <c r="C8" s="29"/>
      <c r="D8" s="29" t="n">
        <v>70917819</v>
      </c>
      <c r="E8" s="29" t="n">
        <v>127080914</v>
      </c>
      <c r="F8" s="29" t="n">
        <v>106017284</v>
      </c>
      <c r="G8" s="29" t="n">
        <v>58445785</v>
      </c>
    </row>
    <row r="9" customFormat="false" ht="22.5" hidden="false" customHeight="true" outlineLevel="0" collapsed="false">
      <c r="B9" s="16" t="s">
        <v>24</v>
      </c>
      <c r="C9" s="29"/>
      <c r="D9" s="29" t="n">
        <v>150000</v>
      </c>
      <c r="E9" s="29" t="n">
        <v>150000</v>
      </c>
      <c r="F9" s="29" t="n">
        <v>150000</v>
      </c>
      <c r="G9" s="29" t="n">
        <v>150000</v>
      </c>
    </row>
    <row r="10" customFormat="false" ht="22.5" hidden="false" customHeight="true" outlineLevel="0" collapsed="false">
      <c r="B10" s="16" t="s">
        <v>25</v>
      </c>
      <c r="C10" s="29"/>
      <c r="D10" s="29" t="n">
        <v>1200000</v>
      </c>
      <c r="E10" s="29"/>
      <c r="F10" s="29"/>
      <c r="G10" s="29"/>
    </row>
    <row r="11" customFormat="false" ht="22.5" hidden="false" customHeight="true" outlineLevel="0" collapsed="false">
      <c r="B11" s="16" t="s">
        <v>26</v>
      </c>
      <c r="C11" s="29"/>
      <c r="D11" s="29" t="n">
        <v>2837243</v>
      </c>
      <c r="E11" s="29" t="n">
        <v>4237195</v>
      </c>
      <c r="F11" s="29" t="n">
        <v>3991637</v>
      </c>
      <c r="G11" s="29" t="n">
        <v>392743</v>
      </c>
    </row>
    <row r="12" customFormat="false" ht="22.5" hidden="false" customHeight="true" outlineLevel="0" collapsed="false">
      <c r="B12" s="16" t="s">
        <v>27</v>
      </c>
      <c r="C12" s="29"/>
      <c r="D12" s="29"/>
      <c r="E12" s="29" t="n">
        <v>87500</v>
      </c>
      <c r="F12" s="29" t="n">
        <v>30800</v>
      </c>
      <c r="G12" s="29"/>
    </row>
    <row r="13" customFormat="false" ht="22.5" hidden="false" customHeight="true" outlineLevel="0" collapsed="false">
      <c r="B13" s="16" t="s">
        <v>28</v>
      </c>
      <c r="C13" s="29"/>
      <c r="D13" s="29" t="n">
        <v>12600</v>
      </c>
      <c r="E13" s="29"/>
      <c r="F13" s="29" t="n">
        <v>504909</v>
      </c>
      <c r="G13" s="29"/>
    </row>
    <row r="14" customFormat="false" ht="22.5" hidden="false" customHeight="true" outlineLevel="0" collapsed="false">
      <c r="B14" s="16" t="s">
        <v>29</v>
      </c>
      <c r="C14" s="29"/>
      <c r="D14" s="29"/>
      <c r="E14" s="29"/>
      <c r="F14" s="29" t="n">
        <v>1650000</v>
      </c>
      <c r="G14" s="29" t="n">
        <v>1677040</v>
      </c>
    </row>
    <row r="15" customFormat="false" ht="22.5" hidden="false" customHeight="true" outlineLevel="0" collapsed="false">
      <c r="B15" s="16" t="s">
        <v>30</v>
      </c>
      <c r="C15" s="29"/>
      <c r="D15" s="29"/>
      <c r="E15" s="29"/>
      <c r="F15" s="29"/>
      <c r="G15" s="29" t="n">
        <v>-45000</v>
      </c>
    </row>
    <row r="16" customFormat="false" ht="22.5" hidden="false" customHeight="true" outlineLevel="0" collapsed="false">
      <c r="B16" s="16"/>
      <c r="C16" s="29"/>
      <c r="D16" s="29"/>
      <c r="E16" s="29"/>
      <c r="F16" s="29"/>
      <c r="G16" s="29"/>
    </row>
    <row r="17" customFormat="false" ht="22.5" hidden="false" customHeight="true" outlineLevel="0" collapsed="false">
      <c r="B17" s="16"/>
      <c r="C17" s="29"/>
      <c r="D17" s="29"/>
      <c r="E17" s="29"/>
      <c r="F17" s="29"/>
      <c r="G17" s="29"/>
    </row>
    <row r="18" customFormat="false" ht="22.5" hidden="false" customHeight="true" outlineLevel="0" collapsed="false">
      <c r="B18" s="16"/>
      <c r="C18" s="29"/>
      <c r="D18" s="29"/>
      <c r="E18" s="29"/>
      <c r="F18" s="29"/>
      <c r="G18" s="29"/>
    </row>
    <row r="19" customFormat="false" ht="22.5" hidden="false" customHeight="true" outlineLevel="0" collapsed="false">
      <c r="B19" s="30"/>
      <c r="C19" s="31"/>
      <c r="D19" s="31"/>
      <c r="E19" s="31"/>
      <c r="F19" s="31"/>
      <c r="G19" s="31"/>
    </row>
    <row r="20" customFormat="false" ht="22.5" hidden="false" customHeight="true" outlineLevel="0" collapsed="false">
      <c r="B20" s="13" t="s">
        <v>31</v>
      </c>
      <c r="C20" s="28" t="n">
        <f aca="false">C21+C35+C46</f>
        <v>0</v>
      </c>
      <c r="D20" s="28" t="n">
        <f aca="false">D21+D35+D46</f>
        <v>68592308</v>
      </c>
      <c r="E20" s="28" t="n">
        <f aca="false">E21+E35+E46</f>
        <v>95384583</v>
      </c>
      <c r="F20" s="28" t="n">
        <f aca="false">F21+F35+F46</f>
        <v>85271983</v>
      </c>
      <c r="G20" s="28" t="n">
        <f aca="false">G21+G35+G46</f>
        <v>86018013</v>
      </c>
    </row>
    <row r="21" customFormat="false" ht="22.5" hidden="false" customHeight="true" outlineLevel="0" collapsed="false">
      <c r="B21" s="32" t="s">
        <v>32</v>
      </c>
      <c r="C21" s="33" t="n">
        <f aca="false">SUM(C22:C34)</f>
        <v>0</v>
      </c>
      <c r="D21" s="33" t="n">
        <f aca="false">SUM(D22:D34)</f>
        <v>42883311</v>
      </c>
      <c r="E21" s="33" t="n">
        <f aca="false">SUM(E22:E34)</f>
        <v>63570009</v>
      </c>
      <c r="F21" s="33" t="n">
        <f aca="false">SUM(F22:F34)</f>
        <v>54658019</v>
      </c>
      <c r="G21" s="33" t="n">
        <f aca="false">SUM(G22:G34)</f>
        <v>57570649</v>
      </c>
    </row>
    <row r="22" customFormat="false" ht="22.5" hidden="false" customHeight="true" outlineLevel="0" collapsed="false">
      <c r="B22" s="16" t="s">
        <v>33</v>
      </c>
      <c r="C22" s="29"/>
      <c r="D22" s="29" t="n">
        <v>25512741</v>
      </c>
      <c r="E22" s="29" t="n">
        <v>45557783</v>
      </c>
      <c r="F22" s="29" t="n">
        <v>44397084</v>
      </c>
      <c r="G22" s="29"/>
    </row>
    <row r="23" customFormat="false" ht="22.5" hidden="false" customHeight="true" outlineLevel="0" collapsed="false">
      <c r="B23" s="16" t="s">
        <v>34</v>
      </c>
      <c r="C23" s="29"/>
      <c r="D23" s="29"/>
      <c r="E23" s="29"/>
      <c r="F23" s="29"/>
      <c r="G23" s="29" t="n">
        <v>44397084</v>
      </c>
    </row>
    <row r="24" customFormat="false" ht="22.5" hidden="false" customHeight="true" outlineLevel="0" collapsed="false">
      <c r="B24" s="16" t="s">
        <v>35</v>
      </c>
      <c r="C24" s="29"/>
      <c r="D24" s="29"/>
      <c r="E24" s="29"/>
      <c r="F24" s="29"/>
      <c r="G24" s="29" t="n">
        <v>2475000</v>
      </c>
    </row>
    <row r="25" customFormat="false" ht="22.5" hidden="false" customHeight="true" outlineLevel="0" collapsed="false">
      <c r="B25" s="16" t="s">
        <v>36</v>
      </c>
      <c r="C25" s="29"/>
      <c r="D25" s="29" t="n">
        <v>15882874</v>
      </c>
      <c r="E25" s="29" t="n">
        <v>10609341</v>
      </c>
      <c r="F25" s="29" t="n">
        <v>1057574</v>
      </c>
      <c r="G25" s="29" t="n">
        <v>1495204</v>
      </c>
    </row>
    <row r="26" customFormat="false" ht="22.5" hidden="false" customHeight="true" outlineLevel="0" collapsed="false">
      <c r="B26" s="16" t="s">
        <v>37</v>
      </c>
      <c r="C26" s="29"/>
      <c r="D26" s="29" t="n">
        <v>1246562</v>
      </c>
      <c r="E26" s="29" t="n">
        <v>7402885</v>
      </c>
      <c r="F26" s="29" t="n">
        <v>6044761</v>
      </c>
      <c r="G26" s="29" t="n">
        <v>6044761</v>
      </c>
    </row>
    <row r="27" customFormat="false" ht="22.5" hidden="false" customHeight="true" outlineLevel="0" collapsed="false">
      <c r="B27" s="16" t="s">
        <v>38</v>
      </c>
      <c r="C27" s="29"/>
      <c r="D27" s="29"/>
      <c r="E27" s="29"/>
      <c r="F27" s="29" t="n">
        <v>2974400</v>
      </c>
      <c r="G27" s="29" t="n">
        <v>2974400</v>
      </c>
    </row>
    <row r="28" customFormat="false" ht="22.5" hidden="false" customHeight="true" outlineLevel="0" collapsed="false">
      <c r="B28" s="16" t="s">
        <v>39</v>
      </c>
      <c r="C28" s="29"/>
      <c r="D28" s="29" t="n">
        <v>241134</v>
      </c>
      <c r="E28" s="29"/>
      <c r="F28" s="29" t="n">
        <v>184200</v>
      </c>
      <c r="G28" s="29" t="n">
        <v>184200</v>
      </c>
    </row>
    <row r="29" customFormat="false" ht="22.5" hidden="false" customHeight="true" outlineLevel="0" collapsed="false">
      <c r="B29" s="16"/>
      <c r="C29" s="29"/>
      <c r="D29" s="29"/>
      <c r="E29" s="29"/>
      <c r="F29" s="29"/>
      <c r="G29" s="29"/>
    </row>
    <row r="30" customFormat="false" ht="22.5" hidden="false" customHeight="true" outlineLevel="0" collapsed="false">
      <c r="B30" s="16"/>
      <c r="C30" s="29"/>
      <c r="D30" s="29"/>
      <c r="E30" s="29"/>
      <c r="F30" s="29"/>
      <c r="G30" s="29"/>
    </row>
    <row r="31" customFormat="false" ht="22.5" hidden="false" customHeight="true" outlineLevel="0" collapsed="false">
      <c r="B31" s="16"/>
      <c r="C31" s="29"/>
      <c r="D31" s="29"/>
      <c r="E31" s="29"/>
      <c r="F31" s="29"/>
      <c r="G31" s="29"/>
    </row>
    <row r="32" customFormat="false" ht="22.5" hidden="false" customHeight="true" outlineLevel="0" collapsed="false">
      <c r="B32" s="16"/>
      <c r="C32" s="29"/>
      <c r="D32" s="29"/>
      <c r="E32" s="29"/>
      <c r="F32" s="29"/>
      <c r="G32" s="29"/>
    </row>
    <row r="33" customFormat="false" ht="22.5" hidden="false" customHeight="true" outlineLevel="0" collapsed="false">
      <c r="B33" s="16"/>
      <c r="C33" s="29"/>
      <c r="D33" s="29"/>
      <c r="E33" s="29"/>
      <c r="F33" s="29"/>
      <c r="G33" s="29"/>
    </row>
    <row r="34" customFormat="false" ht="22.5" hidden="false" customHeight="true" outlineLevel="0" collapsed="false">
      <c r="B34" s="30"/>
      <c r="C34" s="31"/>
      <c r="D34" s="31"/>
      <c r="E34" s="31"/>
      <c r="F34" s="31"/>
      <c r="G34" s="31"/>
    </row>
    <row r="35" customFormat="false" ht="22.5" hidden="false" customHeight="true" outlineLevel="0" collapsed="false">
      <c r="B35" s="32" t="s">
        <v>40</v>
      </c>
      <c r="C35" s="34" t="n">
        <f aca="false">SUM(C36:C45)</f>
        <v>0</v>
      </c>
      <c r="D35" s="34" t="n">
        <f aca="false">SUM(D36:D45)</f>
        <v>0</v>
      </c>
      <c r="E35" s="34" t="n">
        <f aca="false">SUM(E36:E45)</f>
        <v>0</v>
      </c>
      <c r="F35" s="34" t="n">
        <f aca="false">SUM(F36:F45)</f>
        <v>0</v>
      </c>
      <c r="G35" s="34" t="n">
        <f aca="false">SUM(G36:G45)</f>
        <v>0</v>
      </c>
    </row>
    <row r="36" customFormat="false" ht="21.75" hidden="false" customHeight="true" outlineLevel="0" collapsed="false">
      <c r="B36" s="16"/>
      <c r="C36" s="35"/>
      <c r="D36" s="35"/>
      <c r="E36" s="35"/>
      <c r="F36" s="36"/>
      <c r="G36" s="36"/>
    </row>
    <row r="37" customFormat="false" ht="21.75" hidden="false" customHeight="true" outlineLevel="0" collapsed="false">
      <c r="B37" s="16"/>
      <c r="C37" s="35"/>
      <c r="D37" s="35"/>
      <c r="E37" s="35"/>
      <c r="F37" s="36"/>
      <c r="G37" s="36"/>
    </row>
    <row r="38" customFormat="false" ht="21.75" hidden="false" customHeight="true" outlineLevel="0" collapsed="false">
      <c r="B38" s="16"/>
      <c r="C38" s="35"/>
      <c r="D38" s="35"/>
      <c r="E38" s="35"/>
      <c r="F38" s="36"/>
      <c r="G38" s="36"/>
    </row>
    <row r="39" customFormat="false" ht="21.75" hidden="false" customHeight="true" outlineLevel="0" collapsed="false">
      <c r="B39" s="16"/>
      <c r="C39" s="35"/>
      <c r="D39" s="35"/>
      <c r="E39" s="35"/>
      <c r="F39" s="36"/>
      <c r="G39" s="36"/>
    </row>
    <row r="40" customFormat="false" ht="21.75" hidden="false" customHeight="true" outlineLevel="0" collapsed="false">
      <c r="B40" s="16"/>
      <c r="C40" s="35"/>
      <c r="D40" s="35"/>
      <c r="E40" s="35"/>
      <c r="F40" s="36"/>
      <c r="G40" s="36"/>
    </row>
    <row r="41" customFormat="false" ht="21.75" hidden="false" customHeight="true" outlineLevel="0" collapsed="false">
      <c r="B41" s="16"/>
      <c r="C41" s="35"/>
      <c r="D41" s="35"/>
      <c r="E41" s="35"/>
      <c r="F41" s="36"/>
      <c r="G41" s="36"/>
    </row>
    <row r="42" customFormat="false" ht="21.75" hidden="false" customHeight="true" outlineLevel="0" collapsed="false">
      <c r="B42" s="16"/>
      <c r="C42" s="35"/>
      <c r="D42" s="35"/>
      <c r="E42" s="35"/>
      <c r="F42" s="36"/>
      <c r="G42" s="36"/>
    </row>
    <row r="43" customFormat="false" ht="21.75" hidden="false" customHeight="true" outlineLevel="0" collapsed="false">
      <c r="B43" s="16"/>
      <c r="C43" s="35"/>
      <c r="D43" s="35"/>
      <c r="E43" s="35"/>
      <c r="F43" s="36"/>
      <c r="G43" s="36"/>
    </row>
    <row r="44" customFormat="false" ht="21.75" hidden="false" customHeight="true" outlineLevel="0" collapsed="false">
      <c r="B44" s="16"/>
      <c r="C44" s="35"/>
      <c r="D44" s="35"/>
      <c r="E44" s="35"/>
      <c r="F44" s="36"/>
      <c r="G44" s="36"/>
    </row>
    <row r="45" customFormat="false" ht="21.75" hidden="false" customHeight="true" outlineLevel="0" collapsed="false">
      <c r="B45" s="30"/>
      <c r="C45" s="37"/>
      <c r="D45" s="37"/>
      <c r="E45" s="37"/>
      <c r="F45" s="34"/>
      <c r="G45" s="34"/>
    </row>
    <row r="46" customFormat="false" ht="21.75" hidden="false" customHeight="true" outlineLevel="0" collapsed="false">
      <c r="B46" s="38" t="s">
        <v>41</v>
      </c>
      <c r="C46" s="34" t="n">
        <f aca="false">SUM(C47:C55)</f>
        <v>0</v>
      </c>
      <c r="D46" s="34" t="n">
        <f aca="false">SUM(D47:D55)</f>
        <v>25708997</v>
      </c>
      <c r="E46" s="34" t="n">
        <f aca="false">SUM(E47:E55)</f>
        <v>31814574</v>
      </c>
      <c r="F46" s="34" t="n">
        <f aca="false">SUM(F47:F55)</f>
        <v>30613964</v>
      </c>
      <c r="G46" s="34" t="n">
        <f aca="false">SUM(G47:G55)</f>
        <v>28447364</v>
      </c>
    </row>
    <row r="47" customFormat="false" ht="22.5" hidden="false" customHeight="true" outlineLevel="0" collapsed="false">
      <c r="B47" s="16" t="s">
        <v>42</v>
      </c>
      <c r="C47" s="35"/>
      <c r="D47" s="35" t="n">
        <v>58820</v>
      </c>
      <c r="E47" s="35" t="n">
        <v>58820</v>
      </c>
      <c r="F47" s="36" t="n">
        <v>31500</v>
      </c>
      <c r="G47" s="36" t="n">
        <v>31500</v>
      </c>
    </row>
    <row r="48" customFormat="false" ht="22.5" hidden="false" customHeight="true" outlineLevel="0" collapsed="false">
      <c r="B48" s="16" t="s">
        <v>43</v>
      </c>
      <c r="C48" s="35"/>
      <c r="D48" s="35" t="n">
        <v>3335613</v>
      </c>
      <c r="E48" s="35" t="n">
        <v>2513170</v>
      </c>
      <c r="F48" s="35" t="n">
        <v>1711860</v>
      </c>
      <c r="G48" s="35" t="n">
        <v>1711860</v>
      </c>
    </row>
    <row r="49" customFormat="false" ht="22.5" hidden="false" customHeight="true" outlineLevel="0" collapsed="false">
      <c r="B49" s="16" t="s">
        <v>44</v>
      </c>
      <c r="C49" s="35"/>
      <c r="D49" s="35" t="n">
        <v>20641800</v>
      </c>
      <c r="E49" s="35" t="n">
        <v>27656200</v>
      </c>
      <c r="F49" s="35" t="n">
        <v>27370600</v>
      </c>
      <c r="G49" s="35" t="n">
        <v>25204000</v>
      </c>
    </row>
    <row r="50" customFormat="false" ht="22.5" hidden="false" customHeight="true" outlineLevel="0" collapsed="false">
      <c r="B50" s="16" t="s">
        <v>45</v>
      </c>
      <c r="C50" s="35"/>
      <c r="D50" s="35" t="n">
        <v>1672764</v>
      </c>
      <c r="E50" s="35" t="n">
        <v>1586384</v>
      </c>
      <c r="F50" s="35" t="n">
        <v>1500004</v>
      </c>
      <c r="G50" s="35" t="n">
        <v>1500004</v>
      </c>
    </row>
    <row r="51" customFormat="false" ht="22.5" hidden="false" customHeight="true" outlineLevel="0" collapsed="false">
      <c r="B51" s="16"/>
      <c r="C51" s="35"/>
      <c r="D51" s="35"/>
      <c r="E51" s="35"/>
      <c r="F51" s="35"/>
      <c r="G51" s="35"/>
    </row>
    <row r="52" customFormat="false" ht="22.5" hidden="false" customHeight="true" outlineLevel="0" collapsed="false">
      <c r="B52" s="16"/>
      <c r="C52" s="35"/>
      <c r="D52" s="35"/>
      <c r="E52" s="35"/>
      <c r="F52" s="35"/>
      <c r="G52" s="35"/>
    </row>
    <row r="53" customFormat="false" ht="22.5" hidden="false" customHeight="true" outlineLevel="0" collapsed="false">
      <c r="B53" s="16"/>
      <c r="C53" s="35"/>
      <c r="D53" s="35"/>
      <c r="E53" s="35"/>
      <c r="F53" s="35"/>
      <c r="G53" s="35"/>
    </row>
    <row r="54" customFormat="false" ht="22.5" hidden="false" customHeight="true" outlineLevel="0" collapsed="false">
      <c r="B54" s="16"/>
      <c r="C54" s="35"/>
      <c r="D54" s="35"/>
      <c r="E54" s="35"/>
      <c r="F54" s="35"/>
      <c r="G54" s="35"/>
    </row>
    <row r="55" customFormat="false" ht="22.5" hidden="false" customHeight="true" outlineLevel="0" collapsed="false">
      <c r="B55" s="16"/>
      <c r="C55" s="35"/>
      <c r="D55" s="35"/>
      <c r="E55" s="35"/>
      <c r="F55" s="35"/>
      <c r="G55" s="35"/>
    </row>
    <row r="56" customFormat="false" ht="22.5" hidden="false" customHeight="true" outlineLevel="0" collapsed="false">
      <c r="B56" s="39" t="s">
        <v>46</v>
      </c>
      <c r="C56" s="40" t="n">
        <f aca="false">SUM(C57:C60)</f>
        <v>0</v>
      </c>
      <c r="D56" s="40" t="n">
        <f aca="false">SUM(D57:D60)</f>
        <v>0</v>
      </c>
      <c r="E56" s="40" t="n">
        <f aca="false">SUM(E57:E60)</f>
        <v>0</v>
      </c>
      <c r="F56" s="40" t="n">
        <f aca="false">SUM(F57:F60)</f>
        <v>0</v>
      </c>
      <c r="G56" s="40" t="n">
        <f aca="false">SUM(G57:G60)</f>
        <v>0</v>
      </c>
    </row>
    <row r="57" customFormat="false" ht="22.5" hidden="false" customHeight="true" outlineLevel="0" collapsed="false">
      <c r="B57" s="16"/>
      <c r="C57" s="35"/>
      <c r="D57" s="35"/>
      <c r="E57" s="35"/>
      <c r="F57" s="35"/>
      <c r="G57" s="35"/>
    </row>
    <row r="58" customFormat="false" ht="22.5" hidden="false" customHeight="true" outlineLevel="0" collapsed="false">
      <c r="B58" s="16"/>
      <c r="C58" s="35"/>
      <c r="D58" s="35"/>
      <c r="E58" s="35"/>
      <c r="F58" s="35"/>
      <c r="G58" s="35"/>
    </row>
    <row r="59" customFormat="false" ht="22.5" hidden="false" customHeight="true" outlineLevel="0" collapsed="false">
      <c r="B59" s="16"/>
      <c r="C59" s="35"/>
      <c r="D59" s="35"/>
      <c r="E59" s="35"/>
      <c r="F59" s="35"/>
      <c r="G59" s="35"/>
    </row>
    <row r="60" customFormat="false" ht="22.5" hidden="false" customHeight="true" outlineLevel="0" collapsed="false">
      <c r="B60" s="30"/>
      <c r="C60" s="37"/>
      <c r="D60" s="37"/>
      <c r="E60" s="37"/>
      <c r="F60" s="37"/>
      <c r="G60" s="37"/>
    </row>
    <row r="61" customFormat="false" ht="22.5" hidden="false" customHeight="true" outlineLevel="0" collapsed="false">
      <c r="B61" s="41" t="s">
        <v>47</v>
      </c>
      <c r="C61" s="42" t="n">
        <f aca="false">C5+C20+C56</f>
        <v>0</v>
      </c>
      <c r="D61" s="42" t="n">
        <f aca="false">D5+D20+D56</f>
        <v>185523260</v>
      </c>
      <c r="E61" s="42" t="n">
        <f aca="false">E5+E20+E56</f>
        <v>284170611</v>
      </c>
      <c r="F61" s="42" t="n">
        <f aca="false">F5+F20+F56</f>
        <v>235385177</v>
      </c>
      <c r="G61" s="42" t="n">
        <f aca="false">G5+G20+G56</f>
        <v>178109330</v>
      </c>
    </row>
    <row r="62" customFormat="false" ht="18" hidden="false" customHeight="true" outlineLevel="0" collapsed="false">
      <c r="C62" s="43"/>
      <c r="D62" s="43"/>
      <c r="E62" s="43"/>
      <c r="F62" s="43"/>
      <c r="G62" s="43"/>
    </row>
    <row r="63" customFormat="false" ht="18" hidden="false" customHeight="true" outlineLevel="0" collapsed="false">
      <c r="B63" s="44" t="s">
        <v>48</v>
      </c>
      <c r="C63" s="45" t="n">
        <f aca="false">EXACT(C61,'BS (貸方)'!C51)</f>
        <v>1</v>
      </c>
      <c r="D63" s="45" t="n">
        <f aca="false">EXACT(D61,'BS (貸方)'!D51)</f>
        <v>1</v>
      </c>
      <c r="E63" s="45" t="n">
        <f aca="false">EXACT(E61,'BS (貸方)'!E51)</f>
        <v>1</v>
      </c>
      <c r="F63" s="45" t="n">
        <f aca="false">EXACT(F61,'BS (貸方)'!F51)</f>
        <v>1</v>
      </c>
      <c r="G63" s="45" t="n">
        <f aca="false">EXACT(G61,'BS (貸方)'!G51)</f>
        <v>1</v>
      </c>
    </row>
    <row r="64" customFormat="false" ht="18" hidden="false" customHeight="true" outlineLevel="0" collapsed="false">
      <c r="C64" s="43"/>
      <c r="D64" s="43"/>
      <c r="E64" s="43"/>
      <c r="F64" s="43"/>
      <c r="G64" s="43"/>
    </row>
    <row r="65" customFormat="false" ht="18" hidden="false" customHeight="true" outlineLevel="0" collapsed="false">
      <c r="C65" s="43"/>
      <c r="D65" s="43"/>
      <c r="E65" s="43"/>
      <c r="F65" s="43"/>
      <c r="G65" s="43"/>
    </row>
    <row r="66" customFormat="false" ht="18" hidden="false" customHeight="true" outlineLevel="0" collapsed="false">
      <c r="C66" s="43"/>
      <c r="D66" s="43"/>
      <c r="E66" s="43"/>
      <c r="F66" s="43"/>
      <c r="G66" s="43"/>
    </row>
    <row r="67" customFormat="false" ht="18" hidden="false" customHeight="true" outlineLevel="0" collapsed="false">
      <c r="C67" s="43"/>
      <c r="D67" s="43"/>
      <c r="E67" s="43"/>
      <c r="F67" s="43"/>
      <c r="G67" s="43"/>
    </row>
    <row r="68" customFormat="false" ht="18" hidden="false" customHeight="true" outlineLevel="0" collapsed="false">
      <c r="C68" s="43"/>
      <c r="D68" s="43"/>
      <c r="E68" s="43"/>
      <c r="F68" s="43"/>
      <c r="G68" s="43"/>
    </row>
    <row r="69" customFormat="false" ht="18" hidden="false" customHeight="true" outlineLevel="0" collapsed="false">
      <c r="C69" s="43"/>
      <c r="D69" s="43"/>
      <c r="E69" s="43"/>
      <c r="F69" s="43"/>
      <c r="G69" s="43"/>
    </row>
    <row r="70" customFormat="false" ht="18" hidden="false" customHeight="true" outlineLevel="0" collapsed="false">
      <c r="C70" s="43"/>
      <c r="D70" s="43"/>
      <c r="E70" s="43"/>
      <c r="F70" s="43"/>
      <c r="G70" s="43"/>
    </row>
    <row r="71" customFormat="false" ht="18" hidden="false" customHeight="true" outlineLevel="0" collapsed="false">
      <c r="C71" s="43"/>
      <c r="D71" s="43"/>
      <c r="E71" s="43"/>
      <c r="F71" s="43"/>
      <c r="G71" s="43"/>
    </row>
    <row r="72" customFormat="false" ht="18" hidden="false" customHeight="true" outlineLevel="0" collapsed="false">
      <c r="C72" s="43"/>
      <c r="D72" s="43"/>
      <c r="E72" s="43"/>
      <c r="F72" s="43"/>
      <c r="G72" s="43"/>
    </row>
    <row r="73" customFormat="false" ht="18" hidden="false" customHeight="true" outlineLevel="0" collapsed="false">
      <c r="C73" s="43"/>
      <c r="D73" s="43"/>
      <c r="E73" s="43"/>
      <c r="F73" s="43"/>
      <c r="G73" s="43"/>
    </row>
    <row r="74" customFormat="false" ht="18" hidden="false" customHeight="true" outlineLevel="0" collapsed="false">
      <c r="C74" s="43"/>
      <c r="D74" s="43"/>
      <c r="E74" s="43"/>
      <c r="F74" s="43"/>
      <c r="G74" s="43"/>
    </row>
    <row r="75" customFormat="false" ht="18" hidden="false" customHeight="true" outlineLevel="0" collapsed="false">
      <c r="C75" s="43"/>
      <c r="D75" s="43"/>
      <c r="E75" s="43"/>
      <c r="F75" s="43"/>
      <c r="G75" s="43"/>
    </row>
    <row r="76" customFormat="false" ht="18" hidden="false" customHeight="true" outlineLevel="0" collapsed="false">
      <c r="C76" s="43"/>
      <c r="D76" s="43"/>
      <c r="E76" s="43"/>
      <c r="F76" s="43"/>
      <c r="G76" s="43"/>
    </row>
    <row r="77" customFormat="false" ht="18" hidden="false" customHeight="true" outlineLevel="0" collapsed="false">
      <c r="C77" s="43"/>
      <c r="D77" s="43"/>
      <c r="E77" s="43"/>
      <c r="F77" s="43"/>
      <c r="G77" s="43"/>
    </row>
    <row r="78" customFormat="false" ht="18" hidden="false" customHeight="true" outlineLevel="0" collapsed="false">
      <c r="C78" s="43"/>
      <c r="D78" s="43"/>
      <c r="E78" s="43"/>
      <c r="F78" s="43"/>
      <c r="G78" s="43"/>
    </row>
  </sheetData>
  <mergeCells count="2">
    <mergeCell ref="C1:E1"/>
    <mergeCell ref="B3:G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6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4" topLeftCell="A41" activePane="bottomLeft" state="frozen"/>
      <selection pane="topLeft" activeCell="A1" activeCellId="0" sqref="A1"/>
      <selection pane="bottomLeft" activeCell="A51" activeCellId="0" sqref="A51"/>
    </sheetView>
  </sheetViews>
  <sheetFormatPr defaultColWidth="8.5390625" defaultRowHeight="18" zeroHeight="false" outlineLevelRow="0" outlineLevelCol="0"/>
  <cols>
    <col collapsed="false" customWidth="true" hidden="false" outlineLevel="0" max="2" min="2" style="46" width="28"/>
    <col collapsed="false" customWidth="true" hidden="false" outlineLevel="0" max="3" min="3" style="46" width="16.13"/>
    <col collapsed="false" customWidth="true" hidden="false" outlineLevel="0" max="7" min="4" style="20" width="16.13"/>
    <col collapsed="false" customWidth="true" hidden="false" outlineLevel="0" max="8" min="8" style="20" width="8.88"/>
  </cols>
  <sheetData>
    <row r="2" customFormat="false" ht="18.75" hidden="false" customHeight="true" outlineLevel="0" collapsed="false">
      <c r="E2" s="47" t="s">
        <v>49</v>
      </c>
    </row>
    <row r="3" customFormat="false" ht="27.75" hidden="false" customHeight="true" outlineLevel="0" collapsed="false">
      <c r="B3" s="48" t="s">
        <v>50</v>
      </c>
      <c r="C3" s="48"/>
      <c r="D3" s="48"/>
      <c r="E3" s="48"/>
      <c r="F3" s="48"/>
      <c r="G3" s="48"/>
    </row>
    <row r="4" customFormat="false" ht="39.75" hidden="false" customHeight="true" outlineLevel="0" collapsed="false">
      <c r="B4" s="25" t="s">
        <v>6</v>
      </c>
      <c r="C4" s="25" t="str">
        <f aca="false">'BS(借方)'!C4</f>
        <v>－</v>
      </c>
      <c r="D4" s="25" t="str">
        <f aca="false">'BS(借方)'!D4</f>
        <v>23年11月期</v>
      </c>
      <c r="E4" s="25" t="str">
        <f aca="false">'BS(借方)'!E4</f>
        <v>24年11月期</v>
      </c>
      <c r="F4" s="25" t="str">
        <f aca="false">'BS(借方)'!F4</f>
        <v>25年11月期</v>
      </c>
      <c r="G4" s="49" t="str">
        <f aca="false">'BS(借方)'!G4</f>
        <v>26年11月期
（7か月TB）</v>
      </c>
    </row>
    <row r="5" customFormat="false" ht="22.5" hidden="false" customHeight="true" outlineLevel="0" collapsed="false">
      <c r="B5" s="50" t="s">
        <v>51</v>
      </c>
      <c r="C5" s="14" t="n">
        <f aca="false">SUM(C6:C17)</f>
        <v>0</v>
      </c>
      <c r="D5" s="14" t="n">
        <f aca="false">SUM(D6:D17)</f>
        <v>30379997</v>
      </c>
      <c r="E5" s="14" t="n">
        <f aca="false">SUM(E6:E17)</f>
        <v>47366299</v>
      </c>
      <c r="F5" s="14" t="n">
        <f aca="false">SUM(F6:F17)</f>
        <v>47672202</v>
      </c>
      <c r="G5" s="14" t="n">
        <f aca="false">SUM(G6:G17)</f>
        <v>33413938</v>
      </c>
    </row>
    <row r="6" customFormat="false" ht="22.5" hidden="false" customHeight="true" outlineLevel="0" collapsed="false">
      <c r="B6" s="51" t="s">
        <v>52</v>
      </c>
      <c r="C6" s="52"/>
      <c r="D6" s="17" t="n">
        <v>10175789</v>
      </c>
      <c r="E6" s="17" t="n">
        <v>14254641</v>
      </c>
      <c r="F6" s="17" t="n">
        <v>9202412</v>
      </c>
      <c r="G6" s="17" t="n">
        <v>7003448</v>
      </c>
    </row>
    <row r="7" customFormat="false" ht="22.5" hidden="false" customHeight="true" outlineLevel="0" collapsed="false">
      <c r="B7" s="51" t="s">
        <v>53</v>
      </c>
      <c r="C7" s="52"/>
      <c r="D7" s="17"/>
      <c r="E7" s="17"/>
      <c r="F7" s="17"/>
      <c r="G7" s="17" t="n">
        <v>3153</v>
      </c>
    </row>
    <row r="8" customFormat="false" ht="22.5" hidden="false" customHeight="true" outlineLevel="0" collapsed="false">
      <c r="B8" s="51" t="s">
        <v>54</v>
      </c>
      <c r="C8" s="52"/>
      <c r="D8" s="17"/>
      <c r="E8" s="17"/>
      <c r="F8" s="17" t="n">
        <v>714227</v>
      </c>
      <c r="G8" s="17"/>
    </row>
    <row r="9" customFormat="false" ht="22.5" hidden="false" customHeight="true" outlineLevel="0" collapsed="false">
      <c r="B9" s="51" t="s">
        <v>55</v>
      </c>
      <c r="C9" s="52"/>
      <c r="D9" s="17" t="n">
        <v>12571145</v>
      </c>
      <c r="E9" s="17" t="n">
        <v>24016295</v>
      </c>
      <c r="F9" s="17" t="n">
        <v>20113617</v>
      </c>
      <c r="G9" s="17" t="n">
        <v>9578501</v>
      </c>
    </row>
    <row r="10" customFormat="false" ht="22.5" hidden="false" customHeight="true" outlineLevel="0" collapsed="false">
      <c r="B10" s="51" t="s">
        <v>56</v>
      </c>
      <c r="C10" s="52"/>
      <c r="D10" s="17" t="n">
        <v>229900</v>
      </c>
      <c r="E10" s="17" t="n">
        <v>961500</v>
      </c>
      <c r="F10" s="17" t="n">
        <v>242500</v>
      </c>
      <c r="G10" s="17"/>
    </row>
    <row r="11" customFormat="false" ht="22.5" hidden="false" customHeight="true" outlineLevel="0" collapsed="false">
      <c r="B11" s="51" t="s">
        <v>57</v>
      </c>
      <c r="C11" s="52"/>
      <c r="D11" s="17" t="n">
        <v>3644800</v>
      </c>
      <c r="E11" s="17" t="n">
        <v>3776100</v>
      </c>
      <c r="F11" s="17" t="n">
        <v>11784100</v>
      </c>
      <c r="G11" s="17" t="n">
        <v>7438091</v>
      </c>
    </row>
    <row r="12" customFormat="false" ht="22.5" hidden="false" customHeight="true" outlineLevel="0" collapsed="false">
      <c r="B12" s="51" t="s">
        <v>58</v>
      </c>
      <c r="C12" s="52"/>
      <c r="D12" s="17" t="n">
        <v>614470</v>
      </c>
      <c r="E12" s="17" t="n">
        <v>606685</v>
      </c>
      <c r="F12" s="17" t="n">
        <v>2391530</v>
      </c>
      <c r="G12" s="17" t="n">
        <v>1600194</v>
      </c>
    </row>
    <row r="13" customFormat="false" ht="22.5" hidden="false" customHeight="true" outlineLevel="0" collapsed="false">
      <c r="B13" s="51" t="s">
        <v>59</v>
      </c>
      <c r="C13" s="52"/>
      <c r="D13" s="17" t="n">
        <v>3143893</v>
      </c>
      <c r="E13" s="17" t="n">
        <v>3751078</v>
      </c>
      <c r="F13" s="17" t="n">
        <v>3223816</v>
      </c>
      <c r="G13" s="17" t="n">
        <v>7790551</v>
      </c>
    </row>
    <row r="14" customFormat="false" ht="22.5" hidden="false" customHeight="true" outlineLevel="0" collapsed="false">
      <c r="B14" s="51"/>
      <c r="C14" s="52"/>
      <c r="D14" s="17"/>
      <c r="E14" s="17"/>
      <c r="F14" s="17"/>
      <c r="G14" s="17"/>
    </row>
    <row r="15" customFormat="false" ht="22.5" hidden="false" customHeight="true" outlineLevel="0" collapsed="false">
      <c r="B15" s="51"/>
      <c r="C15" s="52"/>
      <c r="D15" s="17"/>
      <c r="E15" s="17"/>
      <c r="F15" s="17"/>
      <c r="G15" s="17"/>
    </row>
    <row r="16" customFormat="false" ht="22.5" hidden="false" customHeight="true" outlineLevel="0" collapsed="false">
      <c r="B16" s="51"/>
      <c r="C16" s="52"/>
      <c r="D16" s="17"/>
      <c r="E16" s="17"/>
      <c r="F16" s="17"/>
      <c r="G16" s="17"/>
    </row>
    <row r="17" customFormat="false" ht="22.5" hidden="false" customHeight="true" outlineLevel="0" collapsed="false">
      <c r="B17" s="53"/>
      <c r="C17" s="54"/>
      <c r="D17" s="55"/>
      <c r="E17" s="55"/>
      <c r="F17" s="55"/>
      <c r="G17" s="55"/>
    </row>
    <row r="18" customFormat="false" ht="22.5" hidden="false" customHeight="true" outlineLevel="0" collapsed="false">
      <c r="B18" s="50" t="s">
        <v>60</v>
      </c>
      <c r="C18" s="14" t="n">
        <f aca="false">SUM(C19:C24)</f>
        <v>0</v>
      </c>
      <c r="D18" s="14" t="n">
        <f aca="false">SUM(D19:D24)</f>
        <v>149815893</v>
      </c>
      <c r="E18" s="14" t="n">
        <f aca="false">SUM(E19:E24)</f>
        <v>230502580</v>
      </c>
      <c r="F18" s="14" t="n">
        <f aca="false">SUM(F19:F24)</f>
        <v>201769790</v>
      </c>
      <c r="G18" s="14" t="n">
        <f aca="false">SUM(G19:G24)</f>
        <v>196939108</v>
      </c>
    </row>
    <row r="19" customFormat="false" ht="22.5" hidden="false" customHeight="true" outlineLevel="0" collapsed="false">
      <c r="B19" s="51" t="s">
        <v>61</v>
      </c>
      <c r="C19" s="52"/>
      <c r="D19" s="17" t="n">
        <v>134042000</v>
      </c>
      <c r="E19" s="17" t="n">
        <v>218455000</v>
      </c>
      <c r="F19" s="17" t="n">
        <v>191858000</v>
      </c>
      <c r="G19" s="17" t="n">
        <v>191858000</v>
      </c>
    </row>
    <row r="20" customFormat="false" ht="22.5" hidden="false" customHeight="true" outlineLevel="0" collapsed="false">
      <c r="B20" s="51" t="s">
        <v>62</v>
      </c>
      <c r="C20" s="52"/>
      <c r="D20" s="17" t="n">
        <v>1121593</v>
      </c>
      <c r="E20" s="17"/>
      <c r="F20" s="17" t="n">
        <v>7565770</v>
      </c>
      <c r="G20" s="17" t="n">
        <v>3402888</v>
      </c>
    </row>
    <row r="21" customFormat="false" ht="22.5" hidden="false" customHeight="true" outlineLevel="0" collapsed="false">
      <c r="B21" s="51" t="s">
        <v>63</v>
      </c>
      <c r="C21" s="52"/>
      <c r="D21" s="17" t="n">
        <v>14652300</v>
      </c>
      <c r="E21" s="17" t="n">
        <v>12047580</v>
      </c>
      <c r="F21" s="17" t="n">
        <v>2346020</v>
      </c>
      <c r="G21" s="17" t="n">
        <v>1678220</v>
      </c>
    </row>
    <row r="22" customFormat="false" ht="22.5" hidden="false" customHeight="true" outlineLevel="0" collapsed="false">
      <c r="B22" s="51"/>
      <c r="C22" s="52"/>
      <c r="D22" s="17"/>
      <c r="E22" s="17"/>
      <c r="F22" s="17"/>
      <c r="G22" s="17"/>
    </row>
    <row r="23" customFormat="false" ht="22.5" hidden="false" customHeight="true" outlineLevel="0" collapsed="false">
      <c r="B23" s="51"/>
      <c r="C23" s="52"/>
      <c r="D23" s="17"/>
      <c r="E23" s="17"/>
      <c r="F23" s="17"/>
      <c r="G23" s="17"/>
    </row>
    <row r="24" customFormat="false" ht="22.5" hidden="false" customHeight="true" outlineLevel="0" collapsed="false">
      <c r="B24" s="53"/>
      <c r="C24" s="54"/>
      <c r="D24" s="55"/>
      <c r="E24" s="55"/>
      <c r="F24" s="55"/>
      <c r="G24" s="55"/>
    </row>
    <row r="25" customFormat="false" ht="22.5" hidden="false" customHeight="true" outlineLevel="0" collapsed="false">
      <c r="B25" s="56" t="s">
        <v>64</v>
      </c>
      <c r="C25" s="57" t="n">
        <f aca="false">C5+C18</f>
        <v>0</v>
      </c>
      <c r="D25" s="58" t="n">
        <f aca="false">D5+D18</f>
        <v>180195890</v>
      </c>
      <c r="E25" s="58" t="n">
        <f aca="false">E5+E18</f>
        <v>277868879</v>
      </c>
      <c r="F25" s="58" t="n">
        <f aca="false">F5+F18</f>
        <v>249441992</v>
      </c>
      <c r="G25" s="58" t="n">
        <f aca="false">G5+G18</f>
        <v>230353046</v>
      </c>
    </row>
    <row r="26" customFormat="false" ht="22.5" hidden="false" customHeight="true" outlineLevel="0" collapsed="false">
      <c r="B26" s="59"/>
      <c r="C26" s="35"/>
      <c r="D26" s="60"/>
      <c r="E26" s="60"/>
      <c r="F26" s="60"/>
      <c r="G26" s="60"/>
    </row>
    <row r="27" customFormat="false" ht="22.5" hidden="false" customHeight="true" outlineLevel="0" collapsed="false">
      <c r="B27" s="59"/>
      <c r="C27" s="52"/>
      <c r="D27" s="17"/>
      <c r="E27" s="17"/>
      <c r="F27" s="17"/>
      <c r="G27" s="17"/>
    </row>
    <row r="28" customFormat="false" ht="22.5" hidden="false" customHeight="true" outlineLevel="0" collapsed="false">
      <c r="B28" s="59"/>
      <c r="C28" s="52"/>
      <c r="D28" s="17"/>
      <c r="E28" s="17"/>
      <c r="F28" s="17"/>
      <c r="G28" s="17"/>
    </row>
    <row r="29" customFormat="false" ht="22.5" hidden="false" customHeight="true" outlineLevel="0" collapsed="false">
      <c r="B29" s="59"/>
      <c r="C29" s="52"/>
      <c r="D29" s="17"/>
      <c r="E29" s="17"/>
      <c r="F29" s="17"/>
      <c r="G29" s="17"/>
    </row>
    <row r="30" customFormat="false" ht="22.5" hidden="false" customHeight="true" outlineLevel="0" collapsed="false">
      <c r="B30" s="59"/>
      <c r="C30" s="52"/>
      <c r="D30" s="17"/>
      <c r="E30" s="17"/>
      <c r="F30" s="17"/>
      <c r="G30" s="17"/>
    </row>
    <row r="31" customFormat="false" ht="21.75" hidden="false" customHeight="true" outlineLevel="0" collapsed="false">
      <c r="B31" s="59"/>
      <c r="C31" s="52"/>
      <c r="D31" s="17"/>
      <c r="E31" s="17"/>
      <c r="F31" s="17"/>
      <c r="G31" s="17"/>
    </row>
    <row r="32" customFormat="false" ht="21.75" hidden="false" customHeight="true" outlineLevel="0" collapsed="false">
      <c r="B32" s="59"/>
      <c r="C32" s="52"/>
      <c r="D32" s="17"/>
      <c r="E32" s="17"/>
      <c r="F32" s="17"/>
      <c r="G32" s="17"/>
    </row>
    <row r="33" customFormat="false" ht="21.75" hidden="false" customHeight="true" outlineLevel="0" collapsed="false">
      <c r="B33" s="59"/>
      <c r="C33" s="52"/>
      <c r="D33" s="17"/>
      <c r="E33" s="17"/>
      <c r="F33" s="17"/>
      <c r="G33" s="17"/>
    </row>
    <row r="34" customFormat="false" ht="21.75" hidden="false" customHeight="true" outlineLevel="0" collapsed="false">
      <c r="B34" s="61" t="s">
        <v>65</v>
      </c>
      <c r="C34" s="61"/>
      <c r="D34" s="61"/>
      <c r="E34" s="61"/>
      <c r="F34" s="61"/>
      <c r="G34" s="61"/>
    </row>
    <row r="35" customFormat="false" ht="21.75" hidden="false" customHeight="true" outlineLevel="0" collapsed="false">
      <c r="B35" s="62" t="s">
        <v>66</v>
      </c>
      <c r="C35" s="63" t="n">
        <f aca="false">SUM(C36:C38)</f>
        <v>0</v>
      </c>
      <c r="D35" s="63" t="n">
        <f aca="false">SUM(D36:D38)</f>
        <v>1000000</v>
      </c>
      <c r="E35" s="63" t="n">
        <f aca="false">SUM(E36:E38)</f>
        <v>1000000</v>
      </c>
      <c r="F35" s="63" t="n">
        <f aca="false">SUM(F36:F38)</f>
        <v>1000000</v>
      </c>
      <c r="G35" s="63" t="n">
        <f aca="false">SUM(G36:G38)</f>
        <v>1000000</v>
      </c>
    </row>
    <row r="36" customFormat="false" ht="21.75" hidden="false" customHeight="true" outlineLevel="0" collapsed="false">
      <c r="B36" s="51" t="s">
        <v>67</v>
      </c>
      <c r="C36" s="60"/>
      <c r="D36" s="35" t="n">
        <v>1000000</v>
      </c>
      <c r="E36" s="35" t="n">
        <v>1000000</v>
      </c>
      <c r="F36" s="35" t="n">
        <v>1000000</v>
      </c>
      <c r="G36" s="60" t="n">
        <v>1000000</v>
      </c>
    </row>
    <row r="37" customFormat="false" ht="21.75" hidden="false" customHeight="true" outlineLevel="0" collapsed="false">
      <c r="B37" s="51"/>
      <c r="C37" s="60"/>
      <c r="D37" s="35"/>
      <c r="E37" s="35"/>
      <c r="F37" s="35"/>
      <c r="G37" s="35"/>
    </row>
    <row r="38" customFormat="false" ht="21.75" hidden="false" customHeight="true" outlineLevel="0" collapsed="false">
      <c r="B38" s="53"/>
      <c r="C38" s="64"/>
      <c r="D38" s="37"/>
      <c r="E38" s="37"/>
      <c r="F38" s="37"/>
      <c r="G38" s="37"/>
    </row>
    <row r="39" customFormat="false" ht="22.5" hidden="false" customHeight="true" outlineLevel="0" collapsed="false">
      <c r="B39" s="62" t="s">
        <v>68</v>
      </c>
      <c r="C39" s="63" t="n">
        <f aca="false">SUM(C40:C42)</f>
        <v>0</v>
      </c>
      <c r="D39" s="63" t="n">
        <f aca="false">SUM(D40:D42)</f>
        <v>0</v>
      </c>
      <c r="E39" s="63" t="n">
        <f aca="false">SUM(E40:E42)</f>
        <v>0</v>
      </c>
      <c r="F39" s="63" t="n">
        <f aca="false">SUM(F40:F42)</f>
        <v>0</v>
      </c>
      <c r="G39" s="63" t="n">
        <f aca="false">SUM(G40:G42)</f>
        <v>0</v>
      </c>
    </row>
    <row r="40" customFormat="false" ht="22.5" hidden="false" customHeight="true" outlineLevel="0" collapsed="false">
      <c r="B40" s="51"/>
      <c r="C40" s="60"/>
      <c r="D40" s="35"/>
      <c r="E40" s="35"/>
      <c r="F40" s="35"/>
      <c r="G40" s="35"/>
    </row>
    <row r="41" customFormat="false" ht="22.5" hidden="false" customHeight="true" outlineLevel="0" collapsed="false">
      <c r="B41" s="51"/>
      <c r="C41" s="60"/>
      <c r="D41" s="35"/>
      <c r="E41" s="35"/>
      <c r="F41" s="35"/>
      <c r="G41" s="35"/>
    </row>
    <row r="42" customFormat="false" ht="22.5" hidden="false" customHeight="true" outlineLevel="0" collapsed="false">
      <c r="B42" s="65"/>
      <c r="C42" s="66"/>
      <c r="D42" s="67"/>
      <c r="E42" s="67"/>
      <c r="F42" s="67"/>
      <c r="G42" s="67"/>
    </row>
    <row r="43" customFormat="false" ht="22.5" hidden="false" customHeight="true" outlineLevel="0" collapsed="false">
      <c r="B43" s="68" t="s">
        <v>69</v>
      </c>
      <c r="C43" s="63" t="n">
        <f aca="false">SUM(C44:C48)</f>
        <v>0</v>
      </c>
      <c r="D43" s="63" t="n">
        <f aca="false">SUM(D44:D48)</f>
        <v>4327370</v>
      </c>
      <c r="E43" s="63" t="n">
        <f aca="false">SUM(E44:E48)</f>
        <v>5301732</v>
      </c>
      <c r="F43" s="63" t="n">
        <f aca="false">SUM(F44:F48)</f>
        <v>-15056815</v>
      </c>
      <c r="G43" s="63" t="n">
        <f aca="false">SUM(G44:G48)</f>
        <v>-53243716</v>
      </c>
    </row>
    <row r="44" customFormat="false" ht="22.5" hidden="false" customHeight="true" outlineLevel="0" collapsed="false">
      <c r="B44" s="51" t="s">
        <v>70</v>
      </c>
      <c r="C44" s="60"/>
      <c r="D44" s="35" t="n">
        <v>4327370</v>
      </c>
      <c r="E44" s="35" t="n">
        <v>5301732</v>
      </c>
      <c r="F44" s="35" t="n">
        <v>-15056815</v>
      </c>
      <c r="G44" s="35" t="n">
        <v>-53243716</v>
      </c>
    </row>
    <row r="45" customFormat="false" ht="22.5" hidden="false" customHeight="true" outlineLevel="0" collapsed="false">
      <c r="B45" s="51"/>
      <c r="C45" s="60"/>
      <c r="D45" s="35"/>
      <c r="E45" s="35"/>
      <c r="F45" s="35"/>
      <c r="G45" s="35"/>
    </row>
    <row r="46" customFormat="false" ht="22.5" hidden="false" customHeight="true" outlineLevel="0" collapsed="false">
      <c r="B46" s="51"/>
      <c r="C46" s="60"/>
      <c r="D46" s="35"/>
      <c r="E46" s="35"/>
      <c r="F46" s="35"/>
      <c r="G46" s="35"/>
    </row>
    <row r="47" customFormat="false" ht="22.5" hidden="false" customHeight="true" outlineLevel="0" collapsed="false">
      <c r="B47" s="51"/>
      <c r="C47" s="60"/>
      <c r="D47" s="35"/>
      <c r="E47" s="35"/>
      <c r="F47" s="35"/>
      <c r="G47" s="35"/>
    </row>
    <row r="48" customFormat="false" ht="22.5" hidden="false" customHeight="true" outlineLevel="0" collapsed="false">
      <c r="B48" s="53"/>
      <c r="C48" s="64"/>
      <c r="D48" s="37"/>
      <c r="E48" s="37"/>
      <c r="F48" s="37"/>
      <c r="G48" s="37"/>
    </row>
    <row r="49" customFormat="false" ht="22.5" hidden="false" customHeight="true" outlineLevel="0" collapsed="false">
      <c r="B49" s="69" t="s">
        <v>71</v>
      </c>
      <c r="C49" s="70" t="n">
        <v>0</v>
      </c>
      <c r="D49" s="71" t="n">
        <v>0</v>
      </c>
      <c r="E49" s="71" t="n">
        <v>0</v>
      </c>
      <c r="F49" s="71" t="n">
        <v>0</v>
      </c>
      <c r="G49" s="71" t="n">
        <v>0</v>
      </c>
    </row>
    <row r="50" customFormat="false" ht="22.5" hidden="false" customHeight="true" outlineLevel="0" collapsed="false">
      <c r="B50" s="72" t="s">
        <v>72</v>
      </c>
      <c r="C50" s="73" t="n">
        <f aca="false">C35+C39+C43+C49</f>
        <v>0</v>
      </c>
      <c r="D50" s="73" t="n">
        <f aca="false">D35+D39+D43+D49</f>
        <v>5327370</v>
      </c>
      <c r="E50" s="73" t="n">
        <f aca="false">E35+E39+E43+E49</f>
        <v>6301732</v>
      </c>
      <c r="F50" s="73" t="n">
        <f aca="false">F35+F39+F43+F49</f>
        <v>-14056815</v>
      </c>
      <c r="G50" s="73" t="n">
        <f aca="false">G35+G39+G43+G49</f>
        <v>-52243716</v>
      </c>
    </row>
    <row r="51" customFormat="false" ht="22.5" hidden="false" customHeight="true" outlineLevel="0" collapsed="false">
      <c r="B51" s="74" t="s">
        <v>73</v>
      </c>
      <c r="C51" s="75" t="n">
        <f aca="false">C25+C50</f>
        <v>0</v>
      </c>
      <c r="D51" s="75" t="n">
        <f aca="false">D25+D50</f>
        <v>185523260</v>
      </c>
      <c r="E51" s="75" t="n">
        <f aca="false">E25+E50</f>
        <v>284170611</v>
      </c>
      <c r="F51" s="75" t="n">
        <f aca="false">F25+F50</f>
        <v>235385177</v>
      </c>
      <c r="G51" s="75" t="n">
        <f aca="false">G25+G50</f>
        <v>178109330</v>
      </c>
    </row>
    <row r="52" customFormat="false" ht="18" hidden="false" customHeight="true" outlineLevel="0" collapsed="false">
      <c r="C52" s="76"/>
      <c r="D52" s="43"/>
      <c r="E52" s="43"/>
      <c r="F52" s="43"/>
      <c r="G52" s="43"/>
    </row>
    <row r="53" customFormat="false" ht="18" hidden="false" customHeight="true" outlineLevel="0" collapsed="false">
      <c r="B53" s="44" t="s">
        <v>48</v>
      </c>
      <c r="C53" s="77" t="n">
        <f aca="false">EXACT(C51,'BS(借方)'!C61)</f>
        <v>1</v>
      </c>
      <c r="D53" s="77" t="n">
        <f aca="false">EXACT(D51,'BS(借方)'!D61)</f>
        <v>1</v>
      </c>
      <c r="E53" s="77" t="n">
        <f aca="false">EXACT(E51,'BS(借方)'!E61)</f>
        <v>1</v>
      </c>
      <c r="F53" s="77" t="n">
        <f aca="false">EXACT(F51,'BS(借方)'!F61)</f>
        <v>1</v>
      </c>
      <c r="G53" s="77" t="n">
        <f aca="false">EXACT(G51,'BS(借方)'!G61)</f>
        <v>1</v>
      </c>
    </row>
    <row r="54" customFormat="false" ht="18" hidden="false" customHeight="true" outlineLevel="0" collapsed="false">
      <c r="C54" s="76"/>
      <c r="D54" s="43"/>
      <c r="E54" s="43"/>
      <c r="F54" s="43"/>
      <c r="G54" s="43"/>
    </row>
    <row r="55" customFormat="false" ht="18" hidden="false" customHeight="true" outlineLevel="0" collapsed="false">
      <c r="C55" s="76"/>
      <c r="D55" s="43"/>
      <c r="E55" s="43"/>
      <c r="F55" s="43"/>
      <c r="G55" s="43"/>
    </row>
    <row r="56" customFormat="false" ht="18" hidden="false" customHeight="true" outlineLevel="0" collapsed="false">
      <c r="C56" s="76"/>
      <c r="D56" s="43"/>
      <c r="E56" s="43"/>
      <c r="F56" s="43"/>
      <c r="G56" s="43"/>
    </row>
    <row r="57" customFormat="false" ht="18" hidden="false" customHeight="true" outlineLevel="0" collapsed="false">
      <c r="C57" s="76"/>
      <c r="D57" s="43"/>
      <c r="E57" s="43"/>
      <c r="F57" s="43"/>
      <c r="G57" s="43"/>
    </row>
    <row r="58" customFormat="false" ht="18" hidden="false" customHeight="true" outlineLevel="0" collapsed="false">
      <c r="C58" s="76"/>
      <c r="D58" s="43"/>
      <c r="E58" s="43"/>
      <c r="F58" s="43"/>
      <c r="G58" s="43"/>
    </row>
    <row r="59" customFormat="false" ht="18" hidden="false" customHeight="true" outlineLevel="0" collapsed="false">
      <c r="C59" s="76"/>
      <c r="D59" s="43"/>
      <c r="E59" s="43"/>
      <c r="F59" s="43"/>
      <c r="G59" s="43"/>
    </row>
    <row r="60" customFormat="false" ht="18" hidden="false" customHeight="true" outlineLevel="0" collapsed="false">
      <c r="C60" s="76"/>
      <c r="D60" s="43"/>
      <c r="E60" s="43"/>
      <c r="F60" s="43"/>
      <c r="G60" s="43"/>
    </row>
    <row r="61" customFormat="false" ht="18" hidden="false" customHeight="true" outlineLevel="0" collapsed="false">
      <c r="C61" s="76"/>
      <c r="D61" s="43"/>
      <c r="E61" s="43"/>
      <c r="F61" s="43"/>
      <c r="G61" s="43"/>
    </row>
    <row r="62" customFormat="false" ht="18" hidden="false" customHeight="true" outlineLevel="0" collapsed="false">
      <c r="C62" s="76"/>
      <c r="D62" s="43"/>
      <c r="E62" s="43"/>
      <c r="F62" s="43"/>
      <c r="G62" s="43"/>
    </row>
    <row r="63" customFormat="false" ht="18" hidden="false" customHeight="true" outlineLevel="0" collapsed="false">
      <c r="C63" s="76"/>
      <c r="D63" s="43"/>
      <c r="E63" s="43"/>
      <c r="F63" s="43"/>
      <c r="G63" s="43"/>
    </row>
    <row r="64" customFormat="false" ht="18" hidden="false" customHeight="true" outlineLevel="0" collapsed="false">
      <c r="C64" s="76"/>
      <c r="D64" s="43"/>
      <c r="E64" s="43"/>
      <c r="F64" s="43"/>
      <c r="G64" s="43"/>
    </row>
    <row r="65" customFormat="false" ht="18" hidden="false" customHeight="true" outlineLevel="0" collapsed="false">
      <c r="C65" s="76"/>
      <c r="D65" s="43"/>
      <c r="E65" s="43"/>
      <c r="F65" s="43"/>
      <c r="G65" s="43"/>
    </row>
    <row r="66" customFormat="false" ht="18" hidden="false" customHeight="true" outlineLevel="0" collapsed="false">
      <c r="C66" s="76"/>
      <c r="D66" s="43"/>
      <c r="E66" s="43"/>
      <c r="F66" s="43"/>
      <c r="G66" s="43"/>
    </row>
    <row r="67" customFormat="false" ht="18" hidden="false" customHeight="true" outlineLevel="0" collapsed="false">
      <c r="C67" s="76"/>
      <c r="D67" s="43"/>
      <c r="E67" s="43"/>
      <c r="F67" s="43"/>
      <c r="G67" s="43"/>
    </row>
    <row r="68" customFormat="false" ht="18" hidden="false" customHeight="true" outlineLevel="0" collapsed="false">
      <c r="C68" s="76"/>
      <c r="D68" s="43"/>
      <c r="E68" s="43"/>
      <c r="F68" s="43"/>
      <c r="G68" s="43"/>
    </row>
  </sheetData>
  <mergeCells count="2">
    <mergeCell ref="B3:G3"/>
    <mergeCell ref="B34:G3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78"/>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0" ySplit="4" topLeftCell="A41" activePane="bottomLeft" state="frozen"/>
      <selection pane="topLeft" activeCell="A1" activeCellId="0" sqref="A1"/>
      <selection pane="bottomLeft" activeCell="A57" activeCellId="0" sqref="A57"/>
    </sheetView>
  </sheetViews>
  <sheetFormatPr defaultColWidth="8.5390625" defaultRowHeight="18" zeroHeight="false" outlineLevelRow="0" outlineLevelCol="0"/>
  <cols>
    <col collapsed="false" customWidth="true" hidden="false" outlineLevel="0" max="2" min="2" style="19" width="28"/>
    <col collapsed="false" customWidth="true" hidden="false" outlineLevel="0" max="7" min="3" style="20" width="15"/>
    <col collapsed="false" customWidth="true" hidden="false" outlineLevel="0" max="9" min="8" style="46" width="15"/>
    <col collapsed="false" customWidth="true" hidden="false" outlineLevel="0" max="12" min="10" style="20" width="15"/>
    <col collapsed="false" customWidth="true" hidden="false" outlineLevel="0" max="13" min="13" style="20" width="16.13"/>
    <col collapsed="false" customWidth="true" hidden="false" outlineLevel="0" max="14" min="14" style="20" width="8.88"/>
  </cols>
  <sheetData>
    <row r="2" customFormat="false" ht="18.75" hidden="false" customHeight="true" outlineLevel="0" collapsed="false">
      <c r="B2" s="2"/>
      <c r="C2" s="46"/>
      <c r="D2" s="78"/>
      <c r="G2" s="46"/>
      <c r="H2" s="47" t="s">
        <v>49</v>
      </c>
      <c r="I2" s="2"/>
      <c r="K2" s="46"/>
      <c r="L2" s="78"/>
    </row>
    <row r="3" customFormat="false" ht="19.5" hidden="false" customHeight="true" outlineLevel="0" collapsed="false">
      <c r="B3" s="8" t="s">
        <v>6</v>
      </c>
      <c r="C3" s="9" t="str">
        <f aca="false">'BS(借方)'!C4</f>
        <v>－</v>
      </c>
      <c r="D3" s="9"/>
      <c r="E3" s="79" t="str">
        <f aca="false">'BS(借方)'!D4</f>
        <v>23年11月期</v>
      </c>
      <c r="F3" s="79"/>
      <c r="G3" s="80" t="str">
        <f aca="false">'BS(借方)'!E4</f>
        <v>24年11月期</v>
      </c>
      <c r="H3" s="80"/>
      <c r="I3" s="81" t="str">
        <f aca="false">'BS(借方)'!F4</f>
        <v>25年11月期</v>
      </c>
      <c r="J3" s="81"/>
      <c r="K3" s="82" t="str">
        <f aca="false">'BS(借方)'!G4</f>
        <v>26年11月期
（7か月TB）</v>
      </c>
      <c r="L3" s="82"/>
    </row>
    <row r="4" customFormat="false" ht="19.5" hidden="false" customHeight="true" outlineLevel="0" collapsed="false">
      <c r="B4" s="8"/>
      <c r="C4" s="83" t="s">
        <v>74</v>
      </c>
      <c r="D4" s="84" t="s">
        <v>75</v>
      </c>
      <c r="E4" s="83" t="s">
        <v>74</v>
      </c>
      <c r="F4" s="83" t="s">
        <v>75</v>
      </c>
      <c r="G4" s="83" t="s">
        <v>74</v>
      </c>
      <c r="H4" s="84" t="s">
        <v>75</v>
      </c>
      <c r="I4" s="83" t="s">
        <v>74</v>
      </c>
      <c r="J4" s="84" t="s">
        <v>75</v>
      </c>
      <c r="K4" s="85" t="s">
        <v>74</v>
      </c>
      <c r="L4" s="86" t="s">
        <v>75</v>
      </c>
    </row>
    <row r="5" customFormat="false" ht="22.5" hidden="false" customHeight="true" outlineLevel="0" collapsed="false">
      <c r="B5" s="87" t="s">
        <v>76</v>
      </c>
      <c r="C5" s="88"/>
      <c r="D5" s="89" t="str">
        <f aca="false">IFERROR(IF(C5=0,"",C5/C$11),"")</f>
        <v/>
      </c>
      <c r="E5" s="88" t="n">
        <v>293213620</v>
      </c>
      <c r="F5" s="89" t="n">
        <f aca="false">IFERROR(IF(E5=0,"",E5/E$11),"")</f>
        <v>0.618035658963117</v>
      </c>
      <c r="G5" s="88" t="n">
        <v>333089628</v>
      </c>
      <c r="H5" s="89" t="n">
        <f aca="false">IFERROR(IF(G5=0,"",G5/G$11),"")</f>
        <v>0.617936898826976</v>
      </c>
      <c r="I5" s="88" t="n">
        <v>338295378</v>
      </c>
      <c r="J5" s="89" t="n">
        <f aca="false">IFERROR(IF(I5=0,"",I5/I$11),"")</f>
        <v>0.605840969848489</v>
      </c>
      <c r="K5" s="88" t="n">
        <v>165116994</v>
      </c>
      <c r="L5" s="89" t="n">
        <f aca="false">IFERROR(IF(K5=0,"",K5/K$11),"")</f>
        <v>0.59149187710359</v>
      </c>
    </row>
    <row r="6" customFormat="false" ht="22.5" hidden="false" customHeight="true" outlineLevel="0" collapsed="false">
      <c r="B6" s="90" t="s">
        <v>77</v>
      </c>
      <c r="C6" s="35"/>
      <c r="D6" s="89" t="str">
        <f aca="false">IFERROR(IF(C6=0,"",C6/C$11),"")</f>
        <v/>
      </c>
      <c r="E6" s="35" t="n">
        <v>65655525</v>
      </c>
      <c r="F6" s="89" t="n">
        <f aca="false">IFERROR(IF(E6=0,"",E6/E$11),"")</f>
        <v>0.138388713518643</v>
      </c>
      <c r="G6" s="35" t="n">
        <v>60897406</v>
      </c>
      <c r="H6" s="89" t="n">
        <f aca="false">IFERROR(IF(G6=0,"",G6/G$11),"")</f>
        <v>0.112974860358748</v>
      </c>
      <c r="I6" s="35" t="n">
        <v>52699187</v>
      </c>
      <c r="J6" s="89" t="n">
        <f aca="false">IFERROR(IF(I6=0,"",I6/I$11),"")</f>
        <v>0.0943770699767199</v>
      </c>
      <c r="K6" s="35" t="n">
        <v>32791687</v>
      </c>
      <c r="L6" s="89" t="n">
        <f aca="false">IFERROR(IF(K6=0,"",K6/K$11),"")</f>
        <v>0.11746832368462</v>
      </c>
    </row>
    <row r="7" customFormat="false" ht="22.5" hidden="false" customHeight="true" outlineLevel="0" collapsed="false">
      <c r="B7" s="90" t="s">
        <v>78</v>
      </c>
      <c r="C7" s="35"/>
      <c r="D7" s="89" t="str">
        <f aca="false">IFERROR(IF(C7=0,"",C7/C$11),"")</f>
        <v/>
      </c>
      <c r="E7" s="35" t="n">
        <v>115559176</v>
      </c>
      <c r="F7" s="89" t="n">
        <f aca="false">IFERROR(IF(E7=0,"",E7/E$11),"")</f>
        <v>0.24357562751824</v>
      </c>
      <c r="G7" s="35" t="n">
        <v>145047985</v>
      </c>
      <c r="H7" s="89" t="n">
        <f aca="false">IFERROR(IF(G7=0,"",G7/G$11),"")</f>
        <v>0.269088240814276</v>
      </c>
      <c r="I7" s="35" t="n">
        <v>167395169</v>
      </c>
      <c r="J7" s="89" t="n">
        <f aca="false">IFERROR(IF(I7=0,"",I7/I$11),"")</f>
        <v>0.299781960174791</v>
      </c>
      <c r="K7" s="35" t="n">
        <v>81244762</v>
      </c>
      <c r="L7" s="89" t="n">
        <f aca="false">IFERROR(IF(K7=0,"",K7/K$11),"")</f>
        <v>0.29103979921179</v>
      </c>
    </row>
    <row r="8" customFormat="false" ht="22.5" hidden="false" customHeight="true" outlineLevel="0" collapsed="false">
      <c r="B8" s="90"/>
      <c r="C8" s="35"/>
      <c r="D8" s="89" t="str">
        <f aca="false">IFERROR(IF(C8=0,"",C8/C$11),"")</f>
        <v/>
      </c>
      <c r="E8" s="35"/>
      <c r="F8" s="89" t="str">
        <f aca="false">IFERROR(IF(E8=0,"",E8/E$11),"")</f>
        <v/>
      </c>
      <c r="G8" s="35"/>
      <c r="H8" s="89" t="str">
        <f aca="false">IFERROR(IF(G8=0,"",G8/G$11),"")</f>
        <v/>
      </c>
      <c r="I8" s="35"/>
      <c r="J8" s="89" t="str">
        <f aca="false">IFERROR(IF(I8=0,"",I8/I$11),"")</f>
        <v/>
      </c>
      <c r="K8" s="35"/>
      <c r="L8" s="89" t="str">
        <f aca="false">IFERROR(IF(K8=0,"",K8/K$11),"")</f>
        <v/>
      </c>
    </row>
    <row r="9" customFormat="false" ht="22.5" hidden="false" customHeight="true" outlineLevel="0" collapsed="false">
      <c r="B9" s="90"/>
      <c r="C9" s="35"/>
      <c r="D9" s="89" t="str">
        <f aca="false">IFERROR(IF(C9=0,"",C9/C$11),"")</f>
        <v/>
      </c>
      <c r="E9" s="35"/>
      <c r="F9" s="89" t="str">
        <f aca="false">IFERROR(IF(E9=0,"",E9/E$11),"")</f>
        <v/>
      </c>
      <c r="G9" s="35"/>
      <c r="H9" s="89" t="str">
        <f aca="false">IFERROR(IF(G9=0,"",G9/G$11),"")</f>
        <v/>
      </c>
      <c r="I9" s="35"/>
      <c r="J9" s="89" t="str">
        <f aca="false">IFERROR(IF(I9=0,"",I9/I$11),"")</f>
        <v/>
      </c>
      <c r="K9" s="35"/>
      <c r="L9" s="89" t="str">
        <f aca="false">IFERROR(IF(K9=0,"",K9/K$11),"")</f>
        <v/>
      </c>
    </row>
    <row r="10" customFormat="false" ht="22.5" hidden="false" customHeight="true" outlineLevel="0" collapsed="false">
      <c r="B10" s="91"/>
      <c r="C10" s="37"/>
      <c r="D10" s="92" t="str">
        <f aca="false">IFERROR(IF(C10=0,"",C10/C$11),"")</f>
        <v/>
      </c>
      <c r="E10" s="37"/>
      <c r="F10" s="92" t="str">
        <f aca="false">IFERROR(IF(E10=0,"",E10/E$11),"")</f>
        <v/>
      </c>
      <c r="G10" s="37"/>
      <c r="H10" s="92" t="str">
        <f aca="false">IFERROR(IF(G10=0,"",G10/G$11),"")</f>
        <v/>
      </c>
      <c r="I10" s="37"/>
      <c r="J10" s="92" t="str">
        <f aca="false">IFERROR(IF(I10=0,"",I10/I$11),"")</f>
        <v/>
      </c>
      <c r="K10" s="37"/>
      <c r="L10" s="92" t="str">
        <f aca="false">IFERROR(IF(K10=0,"",K10/K$11),"")</f>
        <v/>
      </c>
    </row>
    <row r="11" customFormat="false" ht="22.5" hidden="false" customHeight="true" outlineLevel="0" collapsed="false">
      <c r="B11" s="93" t="s">
        <v>79</v>
      </c>
      <c r="C11" s="94" t="n">
        <f aca="false">SUM(C5:C10)</f>
        <v>0</v>
      </c>
      <c r="D11" s="95" t="str">
        <f aca="false">IFERROR(IF(C11=0,"",C11/C$11),"")</f>
        <v/>
      </c>
      <c r="E11" s="94" t="n">
        <f aca="false">SUM(E5:E10)</f>
        <v>474428321</v>
      </c>
      <c r="F11" s="95" t="n">
        <f aca="false">IFERROR(IF(E11=0,"",E11/E$11),"")</f>
        <v>1</v>
      </c>
      <c r="G11" s="94" t="n">
        <f aca="false">SUM(G5:G10)</f>
        <v>539035019</v>
      </c>
      <c r="H11" s="95" t="n">
        <f aca="false">IFERROR(IF(G11=0,"",G11/G$11),"")</f>
        <v>1</v>
      </c>
      <c r="I11" s="94" t="n">
        <f aca="false">SUM(I5:I10)</f>
        <v>558389734</v>
      </c>
      <c r="J11" s="95" t="n">
        <f aca="false">IFERROR(IF(I11=0,"",I11/I$11),"")</f>
        <v>1</v>
      </c>
      <c r="K11" s="94" t="n">
        <f aca="false">SUM(K5:K10)</f>
        <v>279153443</v>
      </c>
      <c r="L11" s="95" t="n">
        <f aca="false">IFERROR(IF(K11=0,"",K11/K$11),"")</f>
        <v>1</v>
      </c>
    </row>
    <row r="12" customFormat="false" ht="22.5" hidden="false" customHeight="true" outlineLevel="0" collapsed="false">
      <c r="B12" s="96" t="s">
        <v>80</v>
      </c>
      <c r="C12" s="35"/>
      <c r="D12" s="89" t="str">
        <f aca="false">IFERROR(IF(C12=0,"",C12/C$11),"")</f>
        <v/>
      </c>
      <c r="E12" s="35" t="n">
        <v>39485899</v>
      </c>
      <c r="F12" s="89" t="n">
        <f aca="false">IFERROR(IF(E12=0,"",E12/E$11),"")</f>
        <v>0.0832283766634581</v>
      </c>
      <c r="G12" s="35" t="n">
        <v>70917819</v>
      </c>
      <c r="H12" s="89" t="n">
        <f aca="false">IFERROR(IF(G12=0,"",G12/G$11),"")</f>
        <v>0.131564400271367</v>
      </c>
      <c r="I12" s="35" t="n">
        <v>127080914</v>
      </c>
      <c r="J12" s="89" t="n">
        <f aca="false">IFERROR(IF(I12=0,"",I12/I$11),"")</f>
        <v>0.227584617449289</v>
      </c>
      <c r="K12" s="35" t="n">
        <v>106017284</v>
      </c>
      <c r="L12" s="89" t="n">
        <f aca="false">IFERROR(IF(K12=0,"",K12/K$11),"")</f>
        <v>0.379781394994294</v>
      </c>
    </row>
    <row r="13" customFormat="false" ht="22.5" hidden="false" customHeight="true" outlineLevel="0" collapsed="false">
      <c r="B13" s="90" t="s">
        <v>81</v>
      </c>
      <c r="C13" s="35"/>
      <c r="D13" s="89" t="str">
        <f aca="false">IFERROR(IF(C13=0,"",C13/C$11),"")</f>
        <v/>
      </c>
      <c r="E13" s="35" t="n">
        <v>183853875</v>
      </c>
      <c r="F13" s="89" t="n">
        <f aca="false">IFERROR(IF(E13=0,"",E13/E$11),"")</f>
        <v>0.38752719191062</v>
      </c>
      <c r="G13" s="35" t="n">
        <v>220800993</v>
      </c>
      <c r="H13" s="89" t="n">
        <f aca="false">IFERROR(IF(G13=0,"",G13/G$11),"")</f>
        <v>0.409622724344742</v>
      </c>
      <c r="I13" s="35" t="n">
        <v>182243467</v>
      </c>
      <c r="J13" s="89" t="n">
        <f aca="false">IFERROR(IF(I13=0,"",I13/I$11),"")</f>
        <v>0.326373240593997</v>
      </c>
      <c r="K13" s="35" t="n">
        <v>92273907</v>
      </c>
      <c r="L13" s="89" t="n">
        <f aca="false">IFERROR(IF(K13=0,"",K13/K$11),"")</f>
        <v>0.330549055775035</v>
      </c>
    </row>
    <row r="14" customFormat="false" ht="22.5" hidden="false" customHeight="true" outlineLevel="0" collapsed="false">
      <c r="B14" s="90" t="s">
        <v>82</v>
      </c>
      <c r="C14" s="35"/>
      <c r="D14" s="89" t="str">
        <f aca="false">IFERROR(IF(C14=0,"",C14/C$11),"")</f>
        <v/>
      </c>
      <c r="E14" s="35" t="n">
        <v>29627732</v>
      </c>
      <c r="F14" s="89" t="n">
        <f aca="false">IFERROR(IF(E14=0,"",E14/E$11),"")</f>
        <v>0.0624493325726227</v>
      </c>
      <c r="G14" s="35" t="n">
        <v>31465971</v>
      </c>
      <c r="H14" s="89" t="n">
        <f aca="false">IFERROR(IF(G14=0,"",G14/G$11),"")</f>
        <v>0.0583746322425853</v>
      </c>
      <c r="I14" s="35" t="n">
        <v>25058151</v>
      </c>
      <c r="J14" s="89" t="n">
        <f aca="false">IFERROR(IF(I14=0,"",I14/I$11),"")</f>
        <v>0.0448757372749263</v>
      </c>
      <c r="K14" s="35" t="n">
        <v>8916840</v>
      </c>
      <c r="L14" s="89" t="n">
        <f aca="false">IFERROR(IF(K14=0,"",K14/K$11),"")</f>
        <v>0.0319424324635681</v>
      </c>
    </row>
    <row r="15" customFormat="false" ht="22.5" hidden="false" customHeight="true" outlineLevel="0" collapsed="false">
      <c r="B15" s="90" t="s">
        <v>83</v>
      </c>
      <c r="C15" s="35"/>
      <c r="D15" s="89" t="str">
        <f aca="false">IFERROR(IF(C15=0,"",C15/C$11),"")</f>
        <v/>
      </c>
      <c r="E15" s="35"/>
      <c r="F15" s="89" t="str">
        <f aca="false">IFERROR(IF(E15=0,"",E15/E$11),"")</f>
        <v/>
      </c>
      <c r="G15" s="35"/>
      <c r="H15" s="89" t="str">
        <f aca="false">IFERROR(IF(G15=0,"",G15/G$11),"")</f>
        <v/>
      </c>
      <c r="I15" s="35"/>
      <c r="J15" s="89" t="str">
        <f aca="false">IFERROR(IF(I15=0,"",I15/I$11),"")</f>
        <v/>
      </c>
      <c r="K15" s="35" t="n">
        <v>-44000000</v>
      </c>
      <c r="L15" s="89" t="n">
        <f aca="false">IFERROR(IF(K15=0,"",K15/K$11),"")</f>
        <v>-0.157619406471014</v>
      </c>
    </row>
    <row r="16" customFormat="false" ht="22.5" hidden="false" customHeight="true" outlineLevel="0" collapsed="false">
      <c r="B16" s="90" t="s">
        <v>84</v>
      </c>
      <c r="C16" s="35"/>
      <c r="D16" s="89" t="str">
        <f aca="false">IFERROR(IF(C16=0,"",C16/C$11),"")</f>
        <v/>
      </c>
      <c r="E16" s="35" t="n">
        <v>-70917819</v>
      </c>
      <c r="F16" s="89" t="n">
        <f aca="false">IFERROR(IF(E16=0,"",E16/E$11),"")</f>
        <v>-0.149480576645423</v>
      </c>
      <c r="G16" s="35" t="n">
        <v>-127080914</v>
      </c>
      <c r="H16" s="89" t="n">
        <f aca="false">IFERROR(IF(G16=0,"",G16/G$11),"")</f>
        <v>-0.235756322911555</v>
      </c>
      <c r="I16" s="35" t="n">
        <v>-106017284</v>
      </c>
      <c r="J16" s="89" t="n">
        <f aca="false">IFERROR(IF(I16=0,"",I16/I$11),"")</f>
        <v>-0.189862523511222</v>
      </c>
      <c r="K16" s="35" t="n">
        <v>-58445785</v>
      </c>
      <c r="L16" s="89" t="n">
        <f aca="false">IFERROR(IF(K16=0,"",K16/K$11),"")</f>
        <v>-0.209367953237102</v>
      </c>
    </row>
    <row r="17" customFormat="false" ht="22.5" hidden="false" customHeight="true" outlineLevel="0" collapsed="false">
      <c r="B17" s="97" t="s">
        <v>85</v>
      </c>
      <c r="C17" s="98" t="n">
        <f aca="false">SUM(C12:C16)</f>
        <v>0</v>
      </c>
      <c r="D17" s="99" t="str">
        <f aca="false">IFERROR(IF(C17=0,"",C17/C$11),"")</f>
        <v/>
      </c>
      <c r="E17" s="98" t="n">
        <f aca="false">SUM(E12:E16)</f>
        <v>182049687</v>
      </c>
      <c r="F17" s="99" t="n">
        <f aca="false">IFERROR(IF(E17=0,"",E17/E$11),"")</f>
        <v>0.383724324501277</v>
      </c>
      <c r="G17" s="98" t="n">
        <f aca="false">SUM(G12:G16)</f>
        <v>196103869</v>
      </c>
      <c r="H17" s="99" t="n">
        <f aca="false">IFERROR(IF(G17=0,"",G17/G$11),"")</f>
        <v>0.36380543394714</v>
      </c>
      <c r="I17" s="98" t="n">
        <f aca="false">SUM(I12:I16)</f>
        <v>228365248</v>
      </c>
      <c r="J17" s="99" t="n">
        <f aca="false">IFERROR(IF(I17=0,"",I17/I$11),"")</f>
        <v>0.40897107180699</v>
      </c>
      <c r="K17" s="98" t="n">
        <f aca="false">SUM(K12:K16)</f>
        <v>104762246</v>
      </c>
      <c r="L17" s="99" t="n">
        <f aca="false">IFERROR(IF(K17=0,"",K17/K$11),"")</f>
        <v>0.375285523524781</v>
      </c>
    </row>
    <row r="18" customFormat="false" ht="22.5" hidden="false" customHeight="true" outlineLevel="0" collapsed="false">
      <c r="B18" s="93" t="s">
        <v>86</v>
      </c>
      <c r="C18" s="94" t="n">
        <f aca="false">C11-C17</f>
        <v>0</v>
      </c>
      <c r="D18" s="95" t="str">
        <f aca="false">IFERROR(IF(C18=0,"",C18/C$11),"")</f>
        <v/>
      </c>
      <c r="E18" s="94" t="n">
        <f aca="false">E11-E17</f>
        <v>292378634</v>
      </c>
      <c r="F18" s="95" t="n">
        <f aca="false">IFERROR(IF(E18=0,"",E18/E$11),"")</f>
        <v>0.616275675498723</v>
      </c>
      <c r="G18" s="94" t="n">
        <f aca="false">G11-G17</f>
        <v>342931150</v>
      </c>
      <c r="H18" s="95" t="n">
        <f aca="false">IFERROR(IF(G18=0,"",G18/G$11),"")</f>
        <v>0.63619456605286</v>
      </c>
      <c r="I18" s="94" t="n">
        <f aca="false">I11-I17</f>
        <v>330024486</v>
      </c>
      <c r="J18" s="95" t="n">
        <f aca="false">IFERROR(IF(I18=0,"",I18/I$11),"")</f>
        <v>0.59102892819301</v>
      </c>
      <c r="K18" s="94" t="n">
        <f aca="false">K11-K17</f>
        <v>174391197</v>
      </c>
      <c r="L18" s="95" t="n">
        <f aca="false">IFERROR(IF(K18=0,"",K18/K$11),"")</f>
        <v>0.624714476475219</v>
      </c>
    </row>
    <row r="19" customFormat="false" ht="22.5" hidden="false" customHeight="true" outlineLevel="0" collapsed="false">
      <c r="B19" s="97" t="s">
        <v>87</v>
      </c>
      <c r="C19" s="100" t="n">
        <f aca="false">SGA!C40</f>
        <v>0</v>
      </c>
      <c r="D19" s="101" t="str">
        <f aca="false">IFERROR(IF(C19=0,"",C19/C$11),"")</f>
        <v/>
      </c>
      <c r="E19" s="100" t="n">
        <f aca="false">SGA!E40</f>
        <v>290037494</v>
      </c>
      <c r="F19" s="101" t="n">
        <f aca="false">IFERROR(IF(E19=0,"",E19/E$11),"")</f>
        <v>0.611341020680762</v>
      </c>
      <c r="G19" s="100" t="n">
        <f aca="false">SGA!G40</f>
        <v>339909050</v>
      </c>
      <c r="H19" s="101" t="n">
        <f aca="false">IFERROR(IF(G19=0,"",G19/G$11),"")</f>
        <v>0.630588065744946</v>
      </c>
      <c r="I19" s="100" t="n">
        <f aca="false">SGA!I40</f>
        <v>349576223</v>
      </c>
      <c r="J19" s="101" t="n">
        <f aca="false">IFERROR(IF(I19=0,"",I19/I$11),"")</f>
        <v>0.626043427582069</v>
      </c>
      <c r="K19" s="100" t="n">
        <f aca="false">SGA!K40</f>
        <v>167754348</v>
      </c>
      <c r="L19" s="101" t="n">
        <f aca="false">IFERROR(IF(K19=0,"",K19/K$11),"")</f>
        <v>0.600939562833907</v>
      </c>
    </row>
    <row r="20" customFormat="false" ht="22.5" hidden="false" customHeight="true" outlineLevel="0" collapsed="false">
      <c r="B20" s="93" t="s">
        <v>88</v>
      </c>
      <c r="C20" s="94" t="n">
        <f aca="false">C18- C19</f>
        <v>0</v>
      </c>
      <c r="D20" s="95" t="str">
        <f aca="false">IFERROR(IF(C20=0,"",C20/C$11),"")</f>
        <v/>
      </c>
      <c r="E20" s="94" t="n">
        <f aca="false">E18- E19</f>
        <v>2341140</v>
      </c>
      <c r="F20" s="95" t="n">
        <f aca="false">IFERROR(IF(E20=0,"",E20/E$11),"")</f>
        <v>0.00493465481796143</v>
      </c>
      <c r="G20" s="94" t="n">
        <f aca="false">G18- G19</f>
        <v>3022100</v>
      </c>
      <c r="H20" s="95" t="n">
        <f aca="false">IFERROR(IF(G20=0,"",G20/G$11),"")</f>
        <v>0.00560650030791413</v>
      </c>
      <c r="I20" s="94" t="n">
        <f aca="false">I18- I19</f>
        <v>-19551737</v>
      </c>
      <c r="J20" s="95" t="n">
        <f aca="false">IFERROR(IF(I20=0,"",I20/I$11),"")</f>
        <v>-0.0350144993890593</v>
      </c>
      <c r="K20" s="94" t="n">
        <f aca="false">K18- K19</f>
        <v>6636849</v>
      </c>
      <c r="L20" s="95" t="n">
        <f aca="false">IFERROR(IF(K20=0,"",K20/K$11),"")</f>
        <v>0.0237749136413123</v>
      </c>
    </row>
    <row r="21" customFormat="false" ht="22.5" hidden="false" customHeight="true" outlineLevel="0" collapsed="false">
      <c r="B21" s="97" t="s">
        <v>89</v>
      </c>
      <c r="C21" s="100" t="n">
        <f aca="false">SUM(C22:C28)</f>
        <v>0</v>
      </c>
      <c r="D21" s="101" t="str">
        <f aca="false">IFERROR(IF(C21=0,"",C21/C$11),"")</f>
        <v/>
      </c>
      <c r="E21" s="100" t="n">
        <f aca="false">SUM(E22:E28)</f>
        <v>1321452</v>
      </c>
      <c r="F21" s="101" t="n">
        <f aca="false">IFERROR(IF(E21=0,"",E21/E$11),"")</f>
        <v>0.00278535648380907</v>
      </c>
      <c r="G21" s="100" t="n">
        <f aca="false">SUM(G22:G28)</f>
        <v>2383452</v>
      </c>
      <c r="H21" s="101" t="n">
        <f aca="false">IFERROR(IF(G21=0,"",G21/G$11),"")</f>
        <v>0.00442170158892775</v>
      </c>
      <c r="I21" s="100" t="n">
        <f aca="false">SUM(I22:I28)</f>
        <v>3631958</v>
      </c>
      <c r="J21" s="101" t="n">
        <f aca="false">IFERROR(IF(I21=0,"",I21/I$11),"")</f>
        <v>0.00650434235956064</v>
      </c>
      <c r="K21" s="100" t="n">
        <f aca="false">SUM(K22:K28)</f>
        <v>1059276</v>
      </c>
      <c r="L21" s="101" t="n">
        <f aca="false">IFERROR(IF(K21=0,"",K21/K$11),"")</f>
        <v>0.00379460123656795</v>
      </c>
    </row>
    <row r="22" customFormat="false" ht="22.5" hidden="false" customHeight="true" outlineLevel="0" collapsed="false">
      <c r="B22" s="102" t="s">
        <v>90</v>
      </c>
      <c r="C22" s="35"/>
      <c r="D22" s="89" t="str">
        <f aca="false">IFERROR(IF(C22=0,"",C22/C$11),"")</f>
        <v/>
      </c>
      <c r="E22" s="35" t="n">
        <v>193</v>
      </c>
      <c r="F22" s="89" t="n">
        <f aca="false">IFERROR(IF(E22=0,"",E22/E$11),"")</f>
        <v>4.06805393896373E-007</v>
      </c>
      <c r="G22" s="35" t="n">
        <v>4702</v>
      </c>
      <c r="H22" s="89" t="n">
        <f aca="false">IFERROR(IF(G22=0,"",G22/G$11),"")</f>
        <v>8.72299541637016E-006</v>
      </c>
      <c r="I22" s="35" t="n">
        <v>24608</v>
      </c>
      <c r="J22" s="89" t="n">
        <f aca="false">IFERROR(IF(I22=0,"",I22/I$11),"")</f>
        <v>4.40695781129816E-005</v>
      </c>
      <c r="K22" s="35" t="n">
        <v>6446</v>
      </c>
      <c r="L22" s="89" t="n">
        <f aca="false">IFERROR(IF(K22=0,"",K22/K$11),"")</f>
        <v>2.30912430480035E-005</v>
      </c>
    </row>
    <row r="23" customFormat="false" ht="22.5" hidden="false" customHeight="true" outlineLevel="0" collapsed="false">
      <c r="B23" s="103" t="s">
        <v>91</v>
      </c>
      <c r="C23" s="35"/>
      <c r="D23" s="89" t="str">
        <f aca="false">IFERROR(IF(C23=0,"",C23/C$11),"")</f>
        <v/>
      </c>
      <c r="E23" s="35" t="n">
        <v>188</v>
      </c>
      <c r="F23" s="89" t="n">
        <f aca="false">IFERROR(IF(E23=0,"",E23/E$11),"")</f>
        <v>3.96266394054498E-007</v>
      </c>
      <c r="G23" s="35" t="n">
        <v>376</v>
      </c>
      <c r="H23" s="89" t="n">
        <f aca="false">IFERROR(IF(G23=0,"",G23/G$11),"")</f>
        <v>6.97542806583407E-007</v>
      </c>
      <c r="I23" s="35" t="n">
        <v>282</v>
      </c>
      <c r="J23" s="89" t="n">
        <f aca="false">IFERROR(IF(I23=0,"",I23/I$11),"")</f>
        <v>5.05023611340247E-007</v>
      </c>
      <c r="K23" s="35" t="n">
        <v>300</v>
      </c>
      <c r="L23" s="89" t="n">
        <f aca="false">IFERROR(IF(K23=0,"",K23/K$11),"")</f>
        <v>1.07467777139328E-006</v>
      </c>
    </row>
    <row r="24" customFormat="false" ht="22.5" hidden="false" customHeight="true" outlineLevel="0" collapsed="false">
      <c r="B24" s="103" t="s">
        <v>92</v>
      </c>
      <c r="C24" s="35"/>
      <c r="D24" s="89" t="str">
        <f aca="false">IFERROR(IF(C24=0,"",C24/C$11),"")</f>
        <v/>
      </c>
      <c r="E24" s="35" t="n">
        <v>1321071</v>
      </c>
      <c r="F24" s="89" t="n">
        <f aca="false">IFERROR(IF(E24=0,"",E24/E$11),"")</f>
        <v>0.00278455341202112</v>
      </c>
      <c r="G24" s="35" t="n">
        <v>2378374</v>
      </c>
      <c r="H24" s="89" t="n">
        <f aca="false">IFERROR(IF(G24=0,"",G24/G$11),"")</f>
        <v>0.0044122810507048</v>
      </c>
      <c r="I24" s="35" t="n">
        <v>3607068</v>
      </c>
      <c r="J24" s="89" t="n">
        <f aca="false">IFERROR(IF(I24=0,"",I24/I$11),"")</f>
        <v>0.00645976775783632</v>
      </c>
      <c r="K24" s="35" t="n">
        <v>1052530</v>
      </c>
      <c r="L24" s="89" t="n">
        <f aca="false">IFERROR(IF(K24=0,"",K24/K$11),"")</f>
        <v>0.00377043531574855</v>
      </c>
    </row>
    <row r="25" customFormat="false" ht="22.5" hidden="false" customHeight="true" outlineLevel="0" collapsed="false">
      <c r="B25" s="103"/>
      <c r="C25" s="35"/>
      <c r="D25" s="89" t="str">
        <f aca="false">IFERROR(IF(C25=0,"",C25/C$11),"")</f>
        <v/>
      </c>
      <c r="E25" s="35"/>
      <c r="F25" s="89" t="str">
        <f aca="false">IFERROR(IF(E25=0,"",E25/E$11),"")</f>
        <v/>
      </c>
      <c r="G25" s="35"/>
      <c r="H25" s="89" t="str">
        <f aca="false">IFERROR(IF(G25=0,"",G25/G$11),"")</f>
        <v/>
      </c>
      <c r="I25" s="35"/>
      <c r="J25" s="89" t="str">
        <f aca="false">IFERROR(IF(I25=0,"",I25/I$11),"")</f>
        <v/>
      </c>
      <c r="K25" s="35"/>
      <c r="L25" s="89" t="str">
        <f aca="false">IFERROR(IF(K25=0,"",K25/K$11),"")</f>
        <v/>
      </c>
    </row>
    <row r="26" customFormat="false" ht="22.5" hidden="false" customHeight="true" outlineLevel="0" collapsed="false">
      <c r="B26" s="103"/>
      <c r="C26" s="35"/>
      <c r="D26" s="89" t="str">
        <f aca="false">IFERROR(IF(C26=0,"",C26/C$11),"")</f>
        <v/>
      </c>
      <c r="E26" s="35"/>
      <c r="F26" s="89" t="str">
        <f aca="false">IFERROR(IF(E26=0,"",E26/E$11),"")</f>
        <v/>
      </c>
      <c r="G26" s="35"/>
      <c r="H26" s="89" t="str">
        <f aca="false">IFERROR(IF(G26=0,"",G26/G$11),"")</f>
        <v/>
      </c>
      <c r="I26" s="35"/>
      <c r="J26" s="89" t="str">
        <f aca="false">IFERROR(IF(I26=0,"",I26/I$11),"")</f>
        <v/>
      </c>
      <c r="K26" s="35"/>
      <c r="L26" s="89" t="str">
        <f aca="false">IFERROR(IF(K26=0,"",K26/K$11),"")</f>
        <v/>
      </c>
    </row>
    <row r="27" customFormat="false" ht="22.5" hidden="false" customHeight="true" outlineLevel="0" collapsed="false">
      <c r="B27" s="103"/>
      <c r="C27" s="35"/>
      <c r="D27" s="89" t="str">
        <f aca="false">IFERROR(IF(C27=0,"",C27/C$11),"")</f>
        <v/>
      </c>
      <c r="E27" s="35"/>
      <c r="F27" s="89" t="str">
        <f aca="false">IFERROR(IF(E27=0,"",E27/E$11),"")</f>
        <v/>
      </c>
      <c r="G27" s="35"/>
      <c r="H27" s="89" t="str">
        <f aca="false">IFERROR(IF(G27=0,"",G27/G$11),"")</f>
        <v/>
      </c>
      <c r="I27" s="35"/>
      <c r="J27" s="89" t="str">
        <f aca="false">IFERROR(IF(I27=0,"",I27/I$11),"")</f>
        <v/>
      </c>
      <c r="K27" s="35"/>
      <c r="L27" s="89" t="str">
        <f aca="false">IFERROR(IF(K27=0,"",K27/K$11),"")</f>
        <v/>
      </c>
    </row>
    <row r="28" customFormat="false" ht="22.5" hidden="false" customHeight="true" outlineLevel="0" collapsed="false">
      <c r="B28" s="104"/>
      <c r="C28" s="37"/>
      <c r="D28" s="92" t="str">
        <f aca="false">IFERROR(IF(C28=0,"",C28/C$11),"")</f>
        <v/>
      </c>
      <c r="E28" s="37"/>
      <c r="F28" s="92" t="str">
        <f aca="false">IFERROR(IF(E28=0,"",E28/E$11),"")</f>
        <v/>
      </c>
      <c r="G28" s="37"/>
      <c r="H28" s="92" t="str">
        <f aca="false">IFERROR(IF(G28=0,"",G28/G$11),"")</f>
        <v/>
      </c>
      <c r="I28" s="37"/>
      <c r="J28" s="92" t="str">
        <f aca="false">IFERROR(IF(I28=0,"",I28/I$11),"")</f>
        <v/>
      </c>
      <c r="K28" s="37"/>
      <c r="L28" s="92" t="str">
        <f aca="false">IFERROR(IF(K28=0,"",K28/K$11),"")</f>
        <v/>
      </c>
    </row>
    <row r="29" customFormat="false" ht="22.5" hidden="false" customHeight="true" outlineLevel="0" collapsed="false">
      <c r="B29" s="97" t="s">
        <v>93</v>
      </c>
      <c r="C29" s="100" t="n">
        <f aca="false">SUM(C30:C36)</f>
        <v>0</v>
      </c>
      <c r="D29" s="101" t="str">
        <f aca="false">IFERROR(IF(C29=0,"",C29/C$11),"")</f>
        <v/>
      </c>
      <c r="E29" s="100" t="n">
        <f aca="false">SUM(E30:E36)</f>
        <v>1134221</v>
      </c>
      <c r="F29" s="101" t="n">
        <f aca="false">IFERROR(IF(E29=0,"",E29/E$11),"")</f>
        <v>0.00239071098793025</v>
      </c>
      <c r="G29" s="100" t="n">
        <f aca="false">SUM(G30:G36)</f>
        <v>2295915</v>
      </c>
      <c r="H29" s="101" t="n">
        <f aca="false">IFERROR(IF(G29=0,"",G29/G$11),"")</f>
        <v>0.00425930583185357</v>
      </c>
      <c r="I29" s="100" t="n">
        <f aca="false">SUM(I30:I36)</f>
        <v>2655577</v>
      </c>
      <c r="J29" s="101" t="n">
        <f aca="false">IFERROR(IF(I29=0,"",I29/I$11),"")</f>
        <v>0.00475577690330532</v>
      </c>
      <c r="K29" s="100" t="n">
        <f aca="false">SUM(K30:K36)</f>
        <v>1881979</v>
      </c>
      <c r="L29" s="101" t="n">
        <f aca="false">IFERROR(IF(K29=0,"",K29/K$11),"")</f>
        <v>0.00674173665842982</v>
      </c>
    </row>
    <row r="30" customFormat="false" ht="22.5" hidden="false" customHeight="true" outlineLevel="0" collapsed="false">
      <c r="B30" s="102" t="s">
        <v>94</v>
      </c>
      <c r="C30" s="35"/>
      <c r="D30" s="89" t="str">
        <f aca="false">IFERROR(IF(C30=0,"",C30/C$11),"")</f>
        <v/>
      </c>
      <c r="E30" s="35" t="n">
        <v>1134221</v>
      </c>
      <c r="F30" s="89" t="n">
        <f aca="false">IFERROR(IF(E30=0,"",E30/E$11),"")</f>
        <v>0.00239071098793025</v>
      </c>
      <c r="G30" s="35" t="n">
        <v>1787923</v>
      </c>
      <c r="H30" s="89" t="n">
        <f aca="false">IFERROR(IF(G30=0,"",G30/G$11),"")</f>
        <v>0.00331689581748677</v>
      </c>
      <c r="I30" s="35" t="n">
        <v>2590791</v>
      </c>
      <c r="J30" s="89" t="n">
        <f aca="false">IFERROR(IF(I30=0,"",I30/I$11),"")</f>
        <v>0.00463975399662344</v>
      </c>
      <c r="K30" s="35" t="n">
        <v>1881899</v>
      </c>
      <c r="L30" s="89" t="n">
        <f aca="false">IFERROR(IF(K30=0,"",K30/K$11),"")</f>
        <v>0.00674145007769079</v>
      </c>
    </row>
    <row r="31" customFormat="false" ht="22.5" hidden="false" customHeight="true" outlineLevel="0" collapsed="false">
      <c r="B31" s="103" t="s">
        <v>95</v>
      </c>
      <c r="C31" s="35"/>
      <c r="D31" s="89" t="str">
        <f aca="false">IFERROR(IF(C31=0,"",C31/C$11),"")</f>
        <v/>
      </c>
      <c r="E31" s="35"/>
      <c r="F31" s="89" t="str">
        <f aca="false">IFERROR(IF(E31=0,"",E31/E$11),"")</f>
        <v/>
      </c>
      <c r="G31" s="35" t="n">
        <v>507992</v>
      </c>
      <c r="H31" s="89" t="n">
        <f aca="false">IFERROR(IF(G31=0,"",G31/G$11),"")</f>
        <v>0.000942410014366803</v>
      </c>
      <c r="I31" s="35" t="n">
        <v>64786</v>
      </c>
      <c r="J31" s="89" t="n">
        <f aca="false">IFERROR(IF(I31=0,"",I31/I$11),"")</f>
        <v>0.000116022906681877</v>
      </c>
      <c r="K31" s="35" t="n">
        <v>80</v>
      </c>
      <c r="L31" s="89" t="n">
        <f aca="false">IFERROR(IF(K31=0,"",K31/K$11),"")</f>
        <v>2.86580739038207E-007</v>
      </c>
    </row>
    <row r="32" customFormat="false" ht="22.5" hidden="false" customHeight="true" outlineLevel="0" collapsed="false">
      <c r="B32" s="103"/>
      <c r="C32" s="35"/>
      <c r="D32" s="89" t="str">
        <f aca="false">IFERROR(IF(C32=0,"",C32/C$11),"")</f>
        <v/>
      </c>
      <c r="E32" s="35"/>
      <c r="F32" s="89" t="str">
        <f aca="false">IFERROR(IF(E32=0,"",E32/E$11),"")</f>
        <v/>
      </c>
      <c r="G32" s="35"/>
      <c r="H32" s="89" t="str">
        <f aca="false">IFERROR(IF(G32=0,"",G32/G$11),"")</f>
        <v/>
      </c>
      <c r="I32" s="35"/>
      <c r="J32" s="89" t="str">
        <f aca="false">IFERROR(IF(I32=0,"",I32/I$11),"")</f>
        <v/>
      </c>
      <c r="K32" s="35"/>
      <c r="L32" s="89" t="str">
        <f aca="false">IFERROR(IF(K32=0,"",K32/K$11),"")</f>
        <v/>
      </c>
    </row>
    <row r="33" customFormat="false" ht="22.5" hidden="false" customHeight="true" outlineLevel="0" collapsed="false">
      <c r="B33" s="103"/>
      <c r="C33" s="35"/>
      <c r="D33" s="89" t="str">
        <f aca="false">IFERROR(IF(C33=0,"",C33/C$11),"")</f>
        <v/>
      </c>
      <c r="E33" s="35"/>
      <c r="F33" s="89" t="str">
        <f aca="false">IFERROR(IF(E33=0,"",E33/E$11),"")</f>
        <v/>
      </c>
      <c r="G33" s="35"/>
      <c r="H33" s="89" t="str">
        <f aca="false">IFERROR(IF(G33=0,"",G33/G$11),"")</f>
        <v/>
      </c>
      <c r="I33" s="35"/>
      <c r="J33" s="89" t="str">
        <f aca="false">IFERROR(IF(I33=0,"",I33/I$11),"")</f>
        <v/>
      </c>
      <c r="K33" s="35"/>
      <c r="L33" s="89" t="str">
        <f aca="false">IFERROR(IF(K33=0,"",K33/K$11),"")</f>
        <v/>
      </c>
    </row>
    <row r="34" customFormat="false" ht="22.5" hidden="false" customHeight="true" outlineLevel="0" collapsed="false">
      <c r="B34" s="103"/>
      <c r="C34" s="35"/>
      <c r="D34" s="89" t="str">
        <f aca="false">IFERROR(IF(C34=0,"",C34/C$11),"")</f>
        <v/>
      </c>
      <c r="E34" s="35"/>
      <c r="F34" s="89" t="str">
        <f aca="false">IFERROR(IF(E34=0,"",E34/E$11),"")</f>
        <v/>
      </c>
      <c r="G34" s="35"/>
      <c r="H34" s="89" t="str">
        <f aca="false">IFERROR(IF(G34=0,"",G34/G$11),"")</f>
        <v/>
      </c>
      <c r="I34" s="35"/>
      <c r="J34" s="89" t="str">
        <f aca="false">IFERROR(IF(I34=0,"",I34/I$11),"")</f>
        <v/>
      </c>
      <c r="K34" s="35"/>
      <c r="L34" s="89" t="str">
        <f aca="false">IFERROR(IF(K34=0,"",K34/K$11),"")</f>
        <v/>
      </c>
    </row>
    <row r="35" customFormat="false" ht="22.5" hidden="false" customHeight="true" outlineLevel="0" collapsed="false">
      <c r="B35" s="103"/>
      <c r="C35" s="35"/>
      <c r="D35" s="89" t="str">
        <f aca="false">IFERROR(IF(C35=0,"",C35/C$11),"")</f>
        <v/>
      </c>
      <c r="E35" s="35"/>
      <c r="F35" s="89" t="str">
        <f aca="false">IFERROR(IF(E35=0,"",E35/E$11),"")</f>
        <v/>
      </c>
      <c r="G35" s="35"/>
      <c r="H35" s="89" t="str">
        <f aca="false">IFERROR(IF(G35=0,"",G35/G$11),"")</f>
        <v/>
      </c>
      <c r="I35" s="35"/>
      <c r="J35" s="89" t="str">
        <f aca="false">IFERROR(IF(I35=0,"",I35/I$11),"")</f>
        <v/>
      </c>
      <c r="K35" s="35"/>
      <c r="L35" s="89" t="str">
        <f aca="false">IFERROR(IF(K35=0,"",K35/K$11),"")</f>
        <v/>
      </c>
    </row>
    <row r="36" customFormat="false" ht="22.5" hidden="false" customHeight="true" outlineLevel="0" collapsed="false">
      <c r="B36" s="104"/>
      <c r="C36" s="37"/>
      <c r="D36" s="92" t="str">
        <f aca="false">IFERROR(IF(C36=0,"",C36/C$11),"")</f>
        <v/>
      </c>
      <c r="E36" s="37"/>
      <c r="F36" s="92" t="str">
        <f aca="false">IFERROR(IF(E36=0,"",E36/E$11),"")</f>
        <v/>
      </c>
      <c r="G36" s="37"/>
      <c r="H36" s="92" t="str">
        <f aca="false">IFERROR(IF(G36=0,"",G36/G$11),"")</f>
        <v/>
      </c>
      <c r="I36" s="37"/>
      <c r="J36" s="92" t="str">
        <f aca="false">IFERROR(IF(I36=0,"",I36/I$11),"")</f>
        <v/>
      </c>
      <c r="K36" s="37"/>
      <c r="L36" s="92" t="str">
        <f aca="false">IFERROR(IF(K36=0,"",K36/K$11),"")</f>
        <v/>
      </c>
    </row>
    <row r="37" customFormat="false" ht="22.5" hidden="false" customHeight="true" outlineLevel="0" collapsed="false">
      <c r="B37" s="93" t="s">
        <v>96</v>
      </c>
      <c r="C37" s="94" t="n">
        <f aca="false">C20+C21-C29</f>
        <v>0</v>
      </c>
      <c r="D37" s="95" t="str">
        <f aca="false">IFERROR(IF(C37=0,"",C37/C$11),"")</f>
        <v/>
      </c>
      <c r="E37" s="94" t="n">
        <f aca="false">E20+E21-E29</f>
        <v>2528371</v>
      </c>
      <c r="F37" s="95" t="n">
        <f aca="false">IFERROR(IF(E37=0,"",E37/E$11),"")</f>
        <v>0.00532930031384024</v>
      </c>
      <c r="G37" s="94" t="n">
        <f aca="false">G20+G21-G29</f>
        <v>3109637</v>
      </c>
      <c r="H37" s="95" t="n">
        <f aca="false">IFERROR(IF(G37=0,"",G37/G$11),"")</f>
        <v>0.00576889606498831</v>
      </c>
      <c r="I37" s="94" t="n">
        <f aca="false">I20+I21-I29</f>
        <v>-18575356</v>
      </c>
      <c r="J37" s="95" t="n">
        <f aca="false">IFERROR(IF(I37=0,"",I37/I$11),"")</f>
        <v>-0.033265933932804</v>
      </c>
      <c r="K37" s="94" t="n">
        <f aca="false">K20+K21-K29</f>
        <v>5814146</v>
      </c>
      <c r="L37" s="95" t="n">
        <f aca="false">IFERROR(IF(K37=0,"",K37/K$11),"")</f>
        <v>0.0208277782194504</v>
      </c>
    </row>
    <row r="38" customFormat="false" ht="22.5" hidden="false" customHeight="true" outlineLevel="0" collapsed="false">
      <c r="B38" s="97" t="s">
        <v>97</v>
      </c>
      <c r="C38" s="98" t="n">
        <f aca="false">SUM(C39:C44)</f>
        <v>0</v>
      </c>
      <c r="D38" s="99" t="str">
        <f aca="false">IFERROR(IF(C38=0,"",C38/C$11),"")</f>
        <v/>
      </c>
      <c r="E38" s="98" t="n">
        <f aca="false">SUM(E39:E44)</f>
        <v>0</v>
      </c>
      <c r="F38" s="99" t="str">
        <f aca="false">IFERROR(IF(E38=0,"",E38/E$11),"")</f>
        <v/>
      </c>
      <c r="G38" s="98" t="n">
        <f aca="false">SUM(G39:G44)</f>
        <v>0</v>
      </c>
      <c r="H38" s="99" t="str">
        <f aca="false">IFERROR(IF(G38=0,"",G38/G$11),"")</f>
        <v/>
      </c>
      <c r="I38" s="98" t="n">
        <f aca="false">SUM(I39:I44)</f>
        <v>0</v>
      </c>
      <c r="J38" s="99" t="str">
        <f aca="false">IFERROR(IF(I38=0,"",I38/I$11),"")</f>
        <v/>
      </c>
      <c r="K38" s="98" t="n">
        <f aca="false">SUM(K39:K44)</f>
        <v>0</v>
      </c>
      <c r="L38" s="99" t="str">
        <f aca="false">IFERROR(IF(K38=0,"",K38/K$11),"")</f>
        <v/>
      </c>
    </row>
    <row r="39" customFormat="false" ht="22.5" hidden="false" customHeight="true" outlineLevel="0" collapsed="false">
      <c r="B39" s="103"/>
      <c r="C39" s="35"/>
      <c r="D39" s="89" t="str">
        <f aca="false">IFERROR(IF(C39=0,"",C39/C$11),"")</f>
        <v/>
      </c>
      <c r="E39" s="35"/>
      <c r="F39" s="89" t="str">
        <f aca="false">IFERROR(IF(E39=0,"",E39/E$11),"")</f>
        <v/>
      </c>
      <c r="G39" s="35"/>
      <c r="H39" s="89" t="str">
        <f aca="false">IFERROR(IF(G39=0,"",G39/G$11),"")</f>
        <v/>
      </c>
      <c r="I39" s="35"/>
      <c r="J39" s="89" t="str">
        <f aca="false">IFERROR(IF(I39=0,"",I39/I$11),"")</f>
        <v/>
      </c>
      <c r="K39" s="35"/>
      <c r="L39" s="89" t="str">
        <f aca="false">IFERROR(IF(K39=0,"",K39/K$11),"")</f>
        <v/>
      </c>
    </row>
    <row r="40" customFormat="false" ht="22.5" hidden="false" customHeight="true" outlineLevel="0" collapsed="false">
      <c r="B40" s="103"/>
      <c r="C40" s="35"/>
      <c r="D40" s="89" t="str">
        <f aca="false">IFERROR(IF(C40=0,"",C40/C$11),"")</f>
        <v/>
      </c>
      <c r="E40" s="35"/>
      <c r="F40" s="89" t="str">
        <f aca="false">IFERROR(IF(E40=0,"",E40/E$11),"")</f>
        <v/>
      </c>
      <c r="G40" s="35"/>
      <c r="H40" s="89" t="str">
        <f aca="false">IFERROR(IF(G40=0,"",G40/G$11),"")</f>
        <v/>
      </c>
      <c r="I40" s="35"/>
      <c r="J40" s="89" t="str">
        <f aca="false">IFERROR(IF(I40=0,"",I40/I$11),"")</f>
        <v/>
      </c>
      <c r="K40" s="35"/>
      <c r="L40" s="89" t="str">
        <f aca="false">IFERROR(IF(K40=0,"",K40/K$11),"")</f>
        <v/>
      </c>
    </row>
    <row r="41" customFormat="false" ht="22.5" hidden="false" customHeight="true" outlineLevel="0" collapsed="false">
      <c r="B41" s="103"/>
      <c r="C41" s="35"/>
      <c r="D41" s="89" t="str">
        <f aca="false">IFERROR(IF(C41=0,"",C41/C$11),"")</f>
        <v/>
      </c>
      <c r="E41" s="35"/>
      <c r="F41" s="89" t="str">
        <f aca="false">IFERROR(IF(E41=0,"",E41/E$11),"")</f>
        <v/>
      </c>
      <c r="G41" s="35"/>
      <c r="H41" s="89" t="str">
        <f aca="false">IFERROR(IF(G41=0,"",G41/G$11),"")</f>
        <v/>
      </c>
      <c r="I41" s="35"/>
      <c r="J41" s="89" t="str">
        <f aca="false">IFERROR(IF(I41=0,"",I41/I$11),"")</f>
        <v/>
      </c>
      <c r="K41" s="35"/>
      <c r="L41" s="89" t="str">
        <f aca="false">IFERROR(IF(K41=0,"",K41/K$11),"")</f>
        <v/>
      </c>
    </row>
    <row r="42" customFormat="false" ht="22.5" hidden="false" customHeight="true" outlineLevel="0" collapsed="false">
      <c r="B42" s="103"/>
      <c r="C42" s="35"/>
      <c r="D42" s="89" t="str">
        <f aca="false">IFERROR(IF(C42=0,"",C42/C$11),"")</f>
        <v/>
      </c>
      <c r="E42" s="35"/>
      <c r="F42" s="89" t="str">
        <f aca="false">IFERROR(IF(E42=0,"",E42/E$11),"")</f>
        <v/>
      </c>
      <c r="G42" s="35"/>
      <c r="H42" s="89" t="str">
        <f aca="false">IFERROR(IF(G42=0,"",G42/G$11),"")</f>
        <v/>
      </c>
      <c r="I42" s="35"/>
      <c r="J42" s="89" t="str">
        <f aca="false">IFERROR(IF(I42=0,"",I42/I$11),"")</f>
        <v/>
      </c>
      <c r="K42" s="35"/>
      <c r="L42" s="89" t="str">
        <f aca="false">IFERROR(IF(K42=0,"",K42/K$11),"")</f>
        <v/>
      </c>
    </row>
    <row r="43" customFormat="false" ht="22.5" hidden="false" customHeight="true" outlineLevel="0" collapsed="false">
      <c r="B43" s="103"/>
      <c r="C43" s="35"/>
      <c r="D43" s="89" t="str">
        <f aca="false">IFERROR(IF(C43=0,"",C43/C$11),"")</f>
        <v/>
      </c>
      <c r="E43" s="35"/>
      <c r="F43" s="89" t="str">
        <f aca="false">IFERROR(IF(E43=0,"",E43/E$11),"")</f>
        <v/>
      </c>
      <c r="G43" s="35"/>
      <c r="H43" s="89" t="str">
        <f aca="false">IFERROR(IF(G43=0,"",G43/G$11),"")</f>
        <v/>
      </c>
      <c r="I43" s="35"/>
      <c r="J43" s="89" t="str">
        <f aca="false">IFERROR(IF(I43=0,"",I43/I$11),"")</f>
        <v/>
      </c>
      <c r="K43" s="35"/>
      <c r="L43" s="89" t="str">
        <f aca="false">IFERROR(IF(K43=0,"",K43/K$11),"")</f>
        <v/>
      </c>
    </row>
    <row r="44" customFormat="false" ht="22.5" hidden="false" customHeight="true" outlineLevel="0" collapsed="false">
      <c r="B44" s="104"/>
      <c r="C44" s="37"/>
      <c r="D44" s="92" t="str">
        <f aca="false">IFERROR(IF(C44=0,"",C44/C$11),"")</f>
        <v/>
      </c>
      <c r="E44" s="37"/>
      <c r="F44" s="92" t="str">
        <f aca="false">IFERROR(IF(E44=0,"",E44/E$11),"")</f>
        <v/>
      </c>
      <c r="G44" s="37"/>
      <c r="H44" s="92" t="str">
        <f aca="false">IFERROR(IF(G44=0,"",G44/G$11),"")</f>
        <v/>
      </c>
      <c r="I44" s="37"/>
      <c r="J44" s="92" t="str">
        <f aca="false">IFERROR(IF(I44=0,"",I44/I$11),"")</f>
        <v/>
      </c>
      <c r="K44" s="37"/>
      <c r="L44" s="92" t="str">
        <f aca="false">IFERROR(IF(K44=0,"",K44/K$11),"")</f>
        <v/>
      </c>
    </row>
    <row r="45" customFormat="false" ht="22.5" hidden="false" customHeight="true" outlineLevel="0" collapsed="false">
      <c r="B45" s="97" t="s">
        <v>98</v>
      </c>
      <c r="C45" s="98" t="n">
        <f aca="false">SUM(C46:C51)</f>
        <v>0</v>
      </c>
      <c r="D45" s="101" t="str">
        <f aca="false">IFERROR(IF(C45=0,"",C45/C$11),"")</f>
        <v/>
      </c>
      <c r="E45" s="98" t="n">
        <f aca="false">SUM(E46:E51)</f>
        <v>0</v>
      </c>
      <c r="F45" s="101" t="str">
        <f aca="false">IFERROR(IF(E45=0,"",E45/E$11),"")</f>
        <v/>
      </c>
      <c r="G45" s="98" t="n">
        <f aca="false">SUM(G46:G51)</f>
        <v>0</v>
      </c>
      <c r="H45" s="101" t="str">
        <f aca="false">IFERROR(IF(G45=0,"",G45/G$11),"")</f>
        <v/>
      </c>
      <c r="I45" s="98" t="n">
        <f aca="false">SUM(I46:I51)</f>
        <v>1298191</v>
      </c>
      <c r="J45" s="101" t="n">
        <f aca="false">IFERROR(IF(I45=0,"",I45/I$11),"")</f>
        <v>0.00232488335826031</v>
      </c>
      <c r="K45" s="98" t="n">
        <f aca="false">SUM(K46:K51)</f>
        <v>44000000</v>
      </c>
      <c r="L45" s="101" t="n">
        <f aca="false">IFERROR(IF(K45=0,"",K45/K$11),"")</f>
        <v>0.157619406471014</v>
      </c>
    </row>
    <row r="46" customFormat="false" ht="22.5" hidden="false" customHeight="true" outlineLevel="0" collapsed="false">
      <c r="B46" s="102" t="s">
        <v>99</v>
      </c>
      <c r="C46" s="35"/>
      <c r="D46" s="89" t="str">
        <f aca="false">IFERROR(IF(C46=0,"",C46/C$11),"")</f>
        <v/>
      </c>
      <c r="E46" s="35"/>
      <c r="F46" s="89" t="str">
        <f aca="false">IFERROR(IF(E46=0,"",E46/E$11),"")</f>
        <v/>
      </c>
      <c r="G46" s="35"/>
      <c r="H46" s="89" t="str">
        <f aca="false">IFERROR(IF(G46=0,"",G46/G$11),"")</f>
        <v/>
      </c>
      <c r="I46" s="35" t="n">
        <v>968026</v>
      </c>
      <c r="J46" s="89" t="n">
        <f aca="false">IFERROR(IF(I46=0,"",I46/I$11),"")</f>
        <v>0.00173360278862147</v>
      </c>
      <c r="K46" s="35"/>
      <c r="L46" s="89" t="str">
        <f aca="false">IFERROR(IF(K46=0,"",K46/K$11),"")</f>
        <v/>
      </c>
    </row>
    <row r="47" customFormat="false" ht="22.5" hidden="false" customHeight="true" outlineLevel="0" collapsed="false">
      <c r="B47" s="103" t="s">
        <v>100</v>
      </c>
      <c r="C47" s="35"/>
      <c r="D47" s="89" t="str">
        <f aca="false">IFERROR(IF(C47=0,"",C47/C$11),"")</f>
        <v/>
      </c>
      <c r="E47" s="35"/>
      <c r="F47" s="89" t="str">
        <f aca="false">IFERROR(IF(E47=0,"",E47/E$11),"")</f>
        <v/>
      </c>
      <c r="G47" s="35"/>
      <c r="H47" s="89" t="str">
        <f aca="false">IFERROR(IF(G47=0,"",G47/G$11),"")</f>
        <v/>
      </c>
      <c r="I47" s="35" t="n">
        <v>330165</v>
      </c>
      <c r="J47" s="89" t="n">
        <f aca="false">IFERROR(IF(I47=0,"",I47/I$11),"")</f>
        <v>0.000591280569638839</v>
      </c>
      <c r="K47" s="35"/>
      <c r="L47" s="89" t="str">
        <f aca="false">IFERROR(IF(K47=0,"",K47/K$11),"")</f>
        <v/>
      </c>
    </row>
    <row r="48" customFormat="false" ht="22.5" hidden="false" customHeight="true" outlineLevel="0" collapsed="false">
      <c r="B48" s="103" t="s">
        <v>101</v>
      </c>
      <c r="C48" s="35"/>
      <c r="D48" s="89" t="str">
        <f aca="false">IFERROR(IF(C48=0,"",C48/C$11),"")</f>
        <v/>
      </c>
      <c r="E48" s="35"/>
      <c r="F48" s="89" t="str">
        <f aca="false">IFERROR(IF(E48=0,"",E48/E$11),"")</f>
        <v/>
      </c>
      <c r="G48" s="35"/>
      <c r="H48" s="89" t="str">
        <f aca="false">IFERROR(IF(G48=0,"",G48/G$11),"")</f>
        <v/>
      </c>
      <c r="I48" s="35"/>
      <c r="J48" s="89" t="str">
        <f aca="false">IFERROR(IF(I48=0,"",I48/I$11),"")</f>
        <v/>
      </c>
      <c r="K48" s="35" t="n">
        <v>44000000</v>
      </c>
      <c r="L48" s="89" t="n">
        <f aca="false">IFERROR(IF(K48=0,"",K48/K$11),"")</f>
        <v>0.157619406471014</v>
      </c>
    </row>
    <row r="49" customFormat="false" ht="22.5" hidden="false" customHeight="true" outlineLevel="0" collapsed="false">
      <c r="B49" s="103"/>
      <c r="C49" s="35"/>
      <c r="D49" s="89" t="str">
        <f aca="false">IFERROR(IF(C49=0,"",C49/C$11),"")</f>
        <v/>
      </c>
      <c r="E49" s="35"/>
      <c r="F49" s="89" t="str">
        <f aca="false">IFERROR(IF(E49=0,"",E49/E$11),"")</f>
        <v/>
      </c>
      <c r="G49" s="35"/>
      <c r="H49" s="89" t="str">
        <f aca="false">IFERROR(IF(G49=0,"",G49/G$11),"")</f>
        <v/>
      </c>
      <c r="I49" s="35"/>
      <c r="J49" s="89" t="str">
        <f aca="false">IFERROR(IF(I49=0,"",I49/I$11),"")</f>
        <v/>
      </c>
      <c r="K49" s="35"/>
      <c r="L49" s="89" t="str">
        <f aca="false">IFERROR(IF(K49=0,"",K49/K$11),"")</f>
        <v/>
      </c>
    </row>
    <row r="50" customFormat="false" ht="22.5" hidden="false" customHeight="true" outlineLevel="0" collapsed="false">
      <c r="B50" s="103"/>
      <c r="C50" s="35"/>
      <c r="D50" s="89" t="str">
        <f aca="false">IFERROR(IF(C50=0,"",C50/C$11),"")</f>
        <v/>
      </c>
      <c r="E50" s="35"/>
      <c r="F50" s="89" t="str">
        <f aca="false">IFERROR(IF(E50=0,"",E50/E$11),"")</f>
        <v/>
      </c>
      <c r="G50" s="35"/>
      <c r="H50" s="89" t="str">
        <f aca="false">IFERROR(IF(G50=0,"",G50/G$11),"")</f>
        <v/>
      </c>
      <c r="I50" s="35"/>
      <c r="J50" s="89" t="str">
        <f aca="false">IFERROR(IF(I50=0,"",I50/I$11),"")</f>
        <v/>
      </c>
      <c r="K50" s="35"/>
      <c r="L50" s="89" t="str">
        <f aca="false">IFERROR(IF(K50=0,"",K50/K$11),"")</f>
        <v/>
      </c>
    </row>
    <row r="51" customFormat="false" ht="22.5" hidden="false" customHeight="true" outlineLevel="0" collapsed="false">
      <c r="B51" s="104"/>
      <c r="C51" s="37"/>
      <c r="D51" s="92" t="str">
        <f aca="false">IFERROR(IF(C51=0,"",C51/C$11),"")</f>
        <v/>
      </c>
      <c r="E51" s="37"/>
      <c r="F51" s="92" t="str">
        <f aca="false">IFERROR(IF(E51=0,"",E51/E$11),"")</f>
        <v/>
      </c>
      <c r="G51" s="37"/>
      <c r="H51" s="92" t="str">
        <f aca="false">IFERROR(IF(G51=0,"",G51/G$11),"")</f>
        <v/>
      </c>
      <c r="I51" s="37"/>
      <c r="J51" s="92" t="str">
        <f aca="false">IFERROR(IF(I51=0,"",I51/I$11),"")</f>
        <v/>
      </c>
      <c r="K51" s="37"/>
      <c r="L51" s="92" t="str">
        <f aca="false">IFERROR(IF(K51=0,"",K51/K$11),"")</f>
        <v/>
      </c>
    </row>
    <row r="52" customFormat="false" ht="22.5" hidden="false" customHeight="true" outlineLevel="0" collapsed="false">
      <c r="B52" s="93" t="s">
        <v>102</v>
      </c>
      <c r="C52" s="94" t="n">
        <f aca="false">C37+C38-C45</f>
        <v>0</v>
      </c>
      <c r="D52" s="95" t="str">
        <f aca="false">IFERROR(IF(C52=0,"",C52/C$11),"")</f>
        <v/>
      </c>
      <c r="E52" s="94" t="n">
        <f aca="false">E37+E38-E45</f>
        <v>2528371</v>
      </c>
      <c r="F52" s="95" t="n">
        <f aca="false">IFERROR(IF(E52=0,"",E52/E$11),"")</f>
        <v>0.00532930031384024</v>
      </c>
      <c r="G52" s="94" t="n">
        <f aca="false">G37+G38-G45</f>
        <v>3109637</v>
      </c>
      <c r="H52" s="95" t="n">
        <f aca="false">IFERROR(IF(G52=0,"",G52/G$11),"")</f>
        <v>0.00576889606498831</v>
      </c>
      <c r="I52" s="94" t="n">
        <f aca="false">I37+I38-I45</f>
        <v>-19873547</v>
      </c>
      <c r="J52" s="95" t="n">
        <f aca="false">IFERROR(IF(I52=0,"",I52/I$11),"")</f>
        <v>-0.0355908172910643</v>
      </c>
      <c r="K52" s="94" t="n">
        <f aca="false">K37+K38-K45</f>
        <v>-38185854</v>
      </c>
      <c r="L52" s="95" t="n">
        <f aca="false">IFERROR(IF(K52=0,"",K52/K$11),"")</f>
        <v>-0.136791628251563</v>
      </c>
    </row>
    <row r="53" customFormat="false" ht="22.5" hidden="false" customHeight="true" outlineLevel="0" collapsed="false">
      <c r="B53" s="97" t="s">
        <v>103</v>
      </c>
      <c r="C53" s="98" t="n">
        <f aca="false">SUM(C54:C56)</f>
        <v>0</v>
      </c>
      <c r="D53" s="99" t="str">
        <f aca="false">IFERROR(IF(C53=0,"",C53/C$11),"")</f>
        <v/>
      </c>
      <c r="E53" s="98" t="n">
        <f aca="false">SUM(E54:E56)</f>
        <v>894154</v>
      </c>
      <c r="F53" s="99" t="n">
        <f aca="false">IFERROR(IF(E53=0,"",E53/E$11),"")</f>
        <v>0.00188469777292237</v>
      </c>
      <c r="G53" s="98" t="n">
        <f aca="false">SUM(G54:G56)</f>
        <v>2135275</v>
      </c>
      <c r="H53" s="99" t="n">
        <f aca="false">IFERROR(IF(G53=0,"",G53/G$11),"")</f>
        <v>0.00396129179874304</v>
      </c>
      <c r="I53" s="98" t="n">
        <f aca="false">SUM(I54:I56)</f>
        <v>485000</v>
      </c>
      <c r="J53" s="99" t="n">
        <f aca="false">IFERROR(IF(I53=0,"",I53/I$11),"")</f>
        <v>0.000868568976950425</v>
      </c>
      <c r="K53" s="98" t="n">
        <v>1047</v>
      </c>
      <c r="L53" s="99" t="n">
        <f aca="false">IFERROR(IF(K53=0,"",K53/K$11),"")</f>
        <v>3.75062542216253E-006</v>
      </c>
    </row>
    <row r="54" customFormat="false" ht="22.5" hidden="false" customHeight="true" outlineLevel="0" collapsed="false">
      <c r="B54" s="103" t="s">
        <v>103</v>
      </c>
      <c r="C54" s="35"/>
      <c r="D54" s="89" t="str">
        <f aca="false">IFERROR(IF(C54=0,"",C54/C$11),"")</f>
        <v/>
      </c>
      <c r="E54" s="35" t="n">
        <v>894154</v>
      </c>
      <c r="F54" s="89" t="n">
        <f aca="false">IFERROR(IF(E54=0,"",E54/E$11),"")</f>
        <v>0.00188469777292237</v>
      </c>
      <c r="G54" s="35" t="n">
        <v>2135275</v>
      </c>
      <c r="H54" s="89" t="n">
        <f aca="false">IFERROR(IF(G54=0,"",G54/G$11),"")</f>
        <v>0.00396129179874304</v>
      </c>
      <c r="I54" s="35" t="n">
        <v>485000</v>
      </c>
      <c r="J54" s="89" t="n">
        <f aca="false">IFERROR(IF(I54=0,"",I54/I$11),"")</f>
        <v>0.000868568976950425</v>
      </c>
      <c r="K54" s="35" t="n">
        <v>986</v>
      </c>
      <c r="L54" s="89" t="n">
        <f aca="false">IFERROR(IF(K54=0,"",K54/K$11),"")</f>
        <v>3.5321076086459E-006</v>
      </c>
    </row>
    <row r="55" customFormat="false" ht="22.5" hidden="false" customHeight="true" outlineLevel="0" collapsed="false">
      <c r="B55" s="103"/>
      <c r="C55" s="35"/>
      <c r="D55" s="89"/>
      <c r="E55" s="35"/>
      <c r="F55" s="89"/>
      <c r="G55" s="35"/>
      <c r="H55" s="89"/>
      <c r="I55" s="35"/>
      <c r="J55" s="89"/>
      <c r="K55" s="35"/>
      <c r="L55" s="89"/>
    </row>
    <row r="56" customFormat="false" ht="22.5" hidden="false" customHeight="true" outlineLevel="0" collapsed="false">
      <c r="B56" s="105"/>
      <c r="C56" s="37"/>
      <c r="D56" s="92" t="str">
        <f aca="false">IFERROR(IF(C56=0,"",C56/C$11),"")</f>
        <v/>
      </c>
      <c r="E56" s="37"/>
      <c r="F56" s="92" t="str">
        <f aca="false">IFERROR(IF(E56=0,"",E56/E$11),"")</f>
        <v/>
      </c>
      <c r="G56" s="37"/>
      <c r="H56" s="92" t="str">
        <f aca="false">IFERROR(IF(G56=0,"",G56/G$11),"")</f>
        <v/>
      </c>
      <c r="I56" s="37"/>
      <c r="J56" s="92" t="str">
        <f aca="false">IFERROR(IF(I56=0,"",I56/I$11),"")</f>
        <v/>
      </c>
      <c r="K56" s="37"/>
      <c r="L56" s="92" t="str">
        <f aca="false">IFERROR(IF(K56=0,"",K56/K$11),"")</f>
        <v/>
      </c>
    </row>
    <row r="57" customFormat="false" ht="22.5" hidden="false" customHeight="true" outlineLevel="0" collapsed="false">
      <c r="B57" s="93" t="s">
        <v>104</v>
      </c>
      <c r="C57" s="94" t="n">
        <f aca="false">C52-C53</f>
        <v>0</v>
      </c>
      <c r="D57" s="95" t="str">
        <f aca="false">IFERROR(IF(C57=0,"",C57/C$11),"")</f>
        <v/>
      </c>
      <c r="E57" s="94" t="n">
        <f aca="false">E52-E53</f>
        <v>1634217</v>
      </c>
      <c r="F57" s="95" t="n">
        <f aca="false">IFERROR(IF(E57=0,"",E57/E$11),"")</f>
        <v>0.00344460254091787</v>
      </c>
      <c r="G57" s="94" t="n">
        <f aca="false">G52-G53</f>
        <v>974362</v>
      </c>
      <c r="H57" s="95" t="n">
        <f aca="false">IFERROR(IF(G57=0,"",G57/G$11),"")</f>
        <v>0.00180760426624527</v>
      </c>
      <c r="I57" s="94" t="n">
        <f aca="false">I52-I53</f>
        <v>-20358547</v>
      </c>
      <c r="J57" s="95" t="n">
        <f aca="false">IFERROR(IF(I57=0,"",I57/I$11),"")</f>
        <v>-0.0364593862680147</v>
      </c>
      <c r="K57" s="94" t="n">
        <f aca="false">K52-K53</f>
        <v>-38186901</v>
      </c>
      <c r="L57" s="95" t="n">
        <f aca="false">IFERROR(IF(K57=0,"",K57/K$11),"")</f>
        <v>-0.136795378876986</v>
      </c>
    </row>
    <row r="58" customFormat="false" ht="18" hidden="false" customHeight="true" outlineLevel="0" collapsed="false">
      <c r="C58" s="43"/>
      <c r="D58" s="106"/>
      <c r="E58" s="43"/>
      <c r="F58" s="106"/>
      <c r="G58" s="43"/>
      <c r="H58" s="107"/>
      <c r="I58" s="76"/>
      <c r="J58" s="106"/>
      <c r="K58" s="43"/>
      <c r="L58" s="106"/>
    </row>
    <row r="59" customFormat="false" ht="18" hidden="false" customHeight="true" outlineLevel="0" collapsed="false">
      <c r="C59" s="43"/>
      <c r="D59" s="106"/>
      <c r="E59" s="43" t="n">
        <v>1634217</v>
      </c>
      <c r="F59" s="106"/>
      <c r="G59" s="43" t="n">
        <v>974362</v>
      </c>
      <c r="H59" s="107"/>
      <c r="I59" s="76" t="n">
        <v>-20358547</v>
      </c>
      <c r="J59" s="106"/>
      <c r="K59" s="43" t="n">
        <v>-38186901</v>
      </c>
      <c r="L59" s="106"/>
    </row>
    <row r="60" customFormat="false" ht="18" hidden="false" customHeight="true" outlineLevel="0" collapsed="false">
      <c r="C60" s="43" t="n">
        <f aca="false">C59=C57</f>
        <v>1</v>
      </c>
      <c r="D60" s="106"/>
      <c r="E60" s="43" t="n">
        <f aca="false">E59=E57</f>
        <v>1</v>
      </c>
      <c r="F60" s="106"/>
      <c r="G60" s="43" t="n">
        <f aca="false">G59=G57</f>
        <v>1</v>
      </c>
      <c r="H60" s="107"/>
      <c r="I60" s="43" t="n">
        <f aca="false">I59=I57</f>
        <v>1</v>
      </c>
      <c r="J60" s="106"/>
      <c r="K60" s="43" t="n">
        <f aca="false">K59=K57</f>
        <v>1</v>
      </c>
      <c r="L60" s="106"/>
    </row>
    <row r="61" customFormat="false" ht="18" hidden="false" customHeight="true" outlineLevel="0" collapsed="false">
      <c r="C61" s="43"/>
      <c r="D61" s="106"/>
      <c r="E61" s="43"/>
      <c r="F61" s="106"/>
      <c r="G61" s="43"/>
      <c r="H61" s="107"/>
      <c r="I61" s="76"/>
      <c r="J61" s="106"/>
      <c r="K61" s="43"/>
      <c r="L61" s="106"/>
    </row>
    <row r="62" customFormat="false" ht="18" hidden="false" customHeight="true" outlineLevel="0" collapsed="false">
      <c r="C62" s="43"/>
      <c r="D62" s="106"/>
      <c r="E62" s="43"/>
      <c r="F62" s="106"/>
      <c r="G62" s="43"/>
      <c r="H62" s="107"/>
      <c r="I62" s="76"/>
      <c r="J62" s="106"/>
      <c r="K62" s="43"/>
      <c r="L62" s="106"/>
    </row>
    <row r="63" customFormat="false" ht="18" hidden="false" customHeight="true" outlineLevel="0" collapsed="false">
      <c r="C63" s="43"/>
      <c r="D63" s="106"/>
      <c r="E63" s="43"/>
      <c r="F63" s="106"/>
      <c r="G63" s="43"/>
      <c r="H63" s="107"/>
      <c r="I63" s="76"/>
      <c r="J63" s="106"/>
      <c r="K63" s="43"/>
      <c r="L63" s="106"/>
    </row>
    <row r="64" customFormat="false" ht="18" hidden="false" customHeight="true" outlineLevel="0" collapsed="false">
      <c r="C64" s="43"/>
      <c r="D64" s="106"/>
      <c r="E64" s="43"/>
      <c r="F64" s="43"/>
      <c r="G64" s="43"/>
      <c r="H64" s="107"/>
      <c r="I64" s="76"/>
      <c r="J64" s="106"/>
      <c r="K64" s="43"/>
      <c r="L64" s="106"/>
    </row>
    <row r="65" customFormat="false" ht="18" hidden="false" customHeight="true" outlineLevel="0" collapsed="false">
      <c r="C65" s="43"/>
      <c r="D65" s="106"/>
      <c r="E65" s="43"/>
      <c r="F65" s="43"/>
      <c r="G65" s="43"/>
      <c r="H65" s="107"/>
      <c r="I65" s="76"/>
      <c r="J65" s="106"/>
      <c r="K65" s="43"/>
      <c r="L65" s="106"/>
    </row>
    <row r="66" customFormat="false" ht="18" hidden="false" customHeight="true" outlineLevel="0" collapsed="false">
      <c r="C66" s="43"/>
      <c r="D66" s="106"/>
      <c r="E66" s="43"/>
      <c r="F66" s="43"/>
      <c r="G66" s="43"/>
      <c r="H66" s="107"/>
      <c r="I66" s="76"/>
      <c r="J66" s="106"/>
      <c r="K66" s="43"/>
      <c r="L66" s="43"/>
    </row>
    <row r="67" customFormat="false" ht="18" hidden="false" customHeight="true" outlineLevel="0" collapsed="false">
      <c r="C67" s="43"/>
      <c r="D67" s="106"/>
      <c r="E67" s="43"/>
      <c r="F67" s="43"/>
      <c r="G67" s="43"/>
      <c r="H67" s="107"/>
      <c r="I67" s="76"/>
      <c r="J67" s="106"/>
      <c r="K67" s="43"/>
      <c r="L67" s="43"/>
    </row>
    <row r="68" customFormat="false" ht="18" hidden="false" customHeight="true" outlineLevel="0" collapsed="false">
      <c r="C68" s="43"/>
      <c r="D68" s="43"/>
      <c r="E68" s="43"/>
      <c r="F68" s="43"/>
      <c r="G68" s="43"/>
      <c r="H68" s="107"/>
      <c r="I68" s="76"/>
      <c r="J68" s="106"/>
      <c r="K68" s="43"/>
      <c r="L68" s="43"/>
    </row>
    <row r="69" customFormat="false" ht="18" hidden="false" customHeight="true" outlineLevel="0" collapsed="false">
      <c r="C69" s="43"/>
      <c r="D69" s="43"/>
      <c r="E69" s="43"/>
      <c r="F69" s="43"/>
      <c r="G69" s="43"/>
      <c r="H69" s="107"/>
      <c r="I69" s="76"/>
      <c r="J69" s="106"/>
      <c r="K69" s="43"/>
      <c r="L69" s="43"/>
    </row>
    <row r="70" customFormat="false" ht="18" hidden="false" customHeight="true" outlineLevel="0" collapsed="false">
      <c r="C70" s="43"/>
      <c r="D70" s="43"/>
      <c r="E70" s="43"/>
      <c r="F70" s="43"/>
      <c r="G70" s="43"/>
      <c r="H70" s="107"/>
      <c r="I70" s="76"/>
      <c r="J70" s="106"/>
      <c r="K70" s="43"/>
      <c r="L70" s="43"/>
    </row>
    <row r="71" customFormat="false" ht="18" hidden="false" customHeight="true" outlineLevel="0" collapsed="false">
      <c r="C71" s="43"/>
      <c r="D71" s="43"/>
      <c r="E71" s="43"/>
      <c r="F71" s="43"/>
      <c r="G71" s="43"/>
      <c r="H71" s="107"/>
      <c r="I71" s="76"/>
      <c r="J71" s="106"/>
      <c r="K71" s="43"/>
      <c r="L71" s="43"/>
    </row>
    <row r="72" customFormat="false" ht="18" hidden="false" customHeight="true" outlineLevel="0" collapsed="false">
      <c r="C72" s="43"/>
      <c r="D72" s="43"/>
      <c r="E72" s="43"/>
      <c r="F72" s="43"/>
      <c r="G72" s="43"/>
      <c r="H72" s="76"/>
      <c r="I72" s="76"/>
      <c r="J72" s="106"/>
      <c r="K72" s="43"/>
      <c r="L72" s="43"/>
    </row>
    <row r="73" customFormat="false" ht="18" hidden="false" customHeight="true" outlineLevel="0" collapsed="false">
      <c r="C73" s="43"/>
      <c r="D73" s="43"/>
      <c r="E73" s="43"/>
      <c r="F73" s="43"/>
      <c r="G73" s="43"/>
      <c r="H73" s="76"/>
      <c r="I73" s="76"/>
      <c r="J73" s="106"/>
      <c r="K73" s="43"/>
      <c r="L73" s="43"/>
    </row>
    <row r="74" customFormat="false" ht="18" hidden="false" customHeight="true" outlineLevel="0" collapsed="false">
      <c r="C74" s="43"/>
      <c r="D74" s="43"/>
      <c r="E74" s="43"/>
      <c r="F74" s="43"/>
      <c r="G74" s="43"/>
      <c r="H74" s="76"/>
      <c r="I74" s="76"/>
      <c r="J74" s="106"/>
      <c r="K74" s="43"/>
      <c r="L74" s="43"/>
    </row>
    <row r="75" customFormat="false" ht="18" hidden="false" customHeight="true" outlineLevel="0" collapsed="false">
      <c r="C75" s="43"/>
      <c r="D75" s="43"/>
      <c r="E75" s="43"/>
      <c r="F75" s="43"/>
      <c r="G75" s="43"/>
      <c r="H75" s="76"/>
      <c r="I75" s="76"/>
      <c r="J75" s="106"/>
      <c r="K75" s="43"/>
      <c r="L75" s="43"/>
    </row>
    <row r="76" customFormat="false" ht="18" hidden="false" customHeight="true" outlineLevel="0" collapsed="false">
      <c r="C76" s="43"/>
      <c r="D76" s="43"/>
      <c r="E76" s="43"/>
      <c r="F76" s="43"/>
      <c r="G76" s="43"/>
      <c r="H76" s="76"/>
      <c r="I76" s="76"/>
      <c r="J76" s="106"/>
      <c r="K76" s="43"/>
      <c r="L76" s="43"/>
    </row>
    <row r="77" customFormat="false" ht="18" hidden="false" customHeight="true" outlineLevel="0" collapsed="false">
      <c r="C77" s="43"/>
      <c r="D77" s="43"/>
      <c r="E77" s="43"/>
      <c r="F77" s="43"/>
      <c r="G77" s="43"/>
      <c r="H77" s="76"/>
      <c r="I77" s="76"/>
      <c r="J77" s="43"/>
      <c r="K77" s="43"/>
      <c r="L77" s="43"/>
    </row>
    <row r="78" customFormat="false" ht="18" hidden="false" customHeight="true" outlineLevel="0" collapsed="false">
      <c r="C78" s="43"/>
      <c r="D78" s="43"/>
      <c r="E78" s="43"/>
      <c r="F78" s="43"/>
      <c r="G78" s="43"/>
      <c r="H78" s="76"/>
      <c r="I78" s="76"/>
      <c r="J78" s="43"/>
      <c r="K78" s="43"/>
      <c r="L78" s="43"/>
    </row>
  </sheetData>
  <mergeCells count="6">
    <mergeCell ref="B3:B4"/>
    <mergeCell ref="C3:D3"/>
    <mergeCell ref="E3:F3"/>
    <mergeCell ref="G3:H3"/>
    <mergeCell ref="I3:J3"/>
    <mergeCell ref="K3:L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L62"/>
  <sheetViews>
    <sheetView showFormulas="false" showGridLines="false" showRowColHeaders="true" showZeros="true" rightToLeft="false" tabSelected="false" showOutlineSymbols="true" defaultGridColor="true" view="normal" topLeftCell="A2" colorId="64" zoomScale="70" zoomScaleNormal="70" zoomScalePageLayoutView="100" workbookViewId="0">
      <pane xSplit="0" ySplit="5" topLeftCell="A7" activePane="bottomLeft" state="frozen"/>
      <selection pane="topLeft" activeCell="A2" activeCellId="0" sqref="A2"/>
      <selection pane="bottomLeft" activeCell="A7" activeCellId="0" sqref="A7"/>
    </sheetView>
  </sheetViews>
  <sheetFormatPr defaultColWidth="8.5390625" defaultRowHeight="18" zeroHeight="false" outlineLevelRow="0" outlineLevelCol="0"/>
  <cols>
    <col collapsed="false" customWidth="true" hidden="false" outlineLevel="0" max="2" min="2" style="19" width="28"/>
    <col collapsed="false" customWidth="true" hidden="false" outlineLevel="0" max="3" min="3" style="20" width="15"/>
    <col collapsed="false" customWidth="true" hidden="false" outlineLevel="0" max="4" min="4" style="106" width="15"/>
    <col collapsed="false" customWidth="true" hidden="false" outlineLevel="0" max="5" min="5" style="20" width="15"/>
    <col collapsed="false" customWidth="true" hidden="false" outlineLevel="0" max="6" min="6" style="106" width="15"/>
    <col collapsed="false" customWidth="true" hidden="false" outlineLevel="0" max="7" min="7" style="20" width="15"/>
    <col collapsed="false" customWidth="true" hidden="false" outlineLevel="0" max="8" min="8" style="107" width="15"/>
    <col collapsed="false" customWidth="true" hidden="false" outlineLevel="0" max="9" min="9" style="46" width="15"/>
    <col collapsed="false" customWidth="true" hidden="false" outlineLevel="0" max="10" min="10" style="106" width="15"/>
    <col collapsed="false" customWidth="true" hidden="false" outlineLevel="0" max="11" min="11" style="20" width="15"/>
    <col collapsed="false" customWidth="true" hidden="false" outlineLevel="0" max="12" min="12" style="106" width="15"/>
    <col collapsed="false" customWidth="true" hidden="false" outlineLevel="0" max="13" min="13" style="20" width="16.13"/>
    <col collapsed="false" customWidth="true" hidden="false" outlineLevel="0" max="14" min="14" style="20" width="8.88"/>
  </cols>
  <sheetData>
    <row r="2" customFormat="false" ht="18" hidden="false" customHeight="true" outlineLevel="0" collapsed="false">
      <c r="B2" s="108" t="s">
        <v>105</v>
      </c>
    </row>
    <row r="4" customFormat="false" ht="18.75" hidden="false" customHeight="true" outlineLevel="0" collapsed="false">
      <c r="B4" s="2"/>
      <c r="C4" s="46"/>
      <c r="D4" s="109"/>
      <c r="G4" s="46"/>
      <c r="H4" s="47" t="s">
        <v>49</v>
      </c>
      <c r="I4" s="2"/>
      <c r="K4" s="46"/>
      <c r="L4" s="109"/>
    </row>
    <row r="5" customFormat="false" ht="19.5" hidden="false" customHeight="true" outlineLevel="0" collapsed="false">
      <c r="B5" s="110" t="s">
        <v>6</v>
      </c>
      <c r="C5" s="9" t="str">
        <f aca="false">'BS(借方)'!C4</f>
        <v>－</v>
      </c>
      <c r="D5" s="9"/>
      <c r="E5" s="79" t="str">
        <f aca="false">'BS(借方)'!D4</f>
        <v>23年11月期</v>
      </c>
      <c r="F5" s="79"/>
      <c r="G5" s="80" t="str">
        <f aca="false">'BS(借方)'!E4</f>
        <v>24年11月期</v>
      </c>
      <c r="H5" s="80"/>
      <c r="I5" s="81" t="str">
        <f aca="false">'BS(借方)'!F4</f>
        <v>25年11月期</v>
      </c>
      <c r="J5" s="81"/>
      <c r="K5" s="111" t="str">
        <f aca="false">'BS(借方)'!G4</f>
        <v>26年11月期
（7か月TB）</v>
      </c>
      <c r="L5" s="111"/>
    </row>
    <row r="6" customFormat="false" ht="19.5" hidden="false" customHeight="true" outlineLevel="0" collapsed="false">
      <c r="B6" s="110"/>
      <c r="C6" s="112" t="s">
        <v>74</v>
      </c>
      <c r="D6" s="113" t="s">
        <v>75</v>
      </c>
      <c r="E6" s="112" t="s">
        <v>74</v>
      </c>
      <c r="F6" s="114" t="s">
        <v>75</v>
      </c>
      <c r="G6" s="112" t="s">
        <v>74</v>
      </c>
      <c r="H6" s="113" t="s">
        <v>75</v>
      </c>
      <c r="I6" s="112" t="s">
        <v>74</v>
      </c>
      <c r="J6" s="113" t="s">
        <v>75</v>
      </c>
      <c r="K6" s="115" t="s">
        <v>74</v>
      </c>
      <c r="L6" s="116" t="s">
        <v>75</v>
      </c>
    </row>
    <row r="7" customFormat="false" ht="22.5" hidden="false" customHeight="true" outlineLevel="0" collapsed="false">
      <c r="A7" s="117" t="s">
        <v>106</v>
      </c>
      <c r="B7" s="118" t="s">
        <v>107</v>
      </c>
      <c r="C7" s="119" t="n">
        <f aca="false">PL!C11</f>
        <v>0</v>
      </c>
      <c r="D7" s="120" t="s">
        <v>108</v>
      </c>
      <c r="E7" s="121" t="n">
        <f aca="false">PL!E11</f>
        <v>474428321</v>
      </c>
      <c r="F7" s="120" t="s">
        <v>108</v>
      </c>
      <c r="G7" s="121" t="n">
        <f aca="false">PL!G11</f>
        <v>539035019</v>
      </c>
      <c r="H7" s="120" t="s">
        <v>108</v>
      </c>
      <c r="I7" s="121" t="n">
        <f aca="false">PL!I11</f>
        <v>558389734</v>
      </c>
      <c r="J7" s="120" t="s">
        <v>108</v>
      </c>
      <c r="K7" s="121" t="n">
        <f aca="false">PL!K11</f>
        <v>279153443</v>
      </c>
      <c r="L7" s="120" t="s">
        <v>108</v>
      </c>
    </row>
    <row r="8" customFormat="false" ht="22.5" hidden="false" customHeight="true" outlineLevel="0" collapsed="false">
      <c r="B8" s="122" t="s">
        <v>109</v>
      </c>
      <c r="C8" s="60"/>
      <c r="D8" s="89" t="str">
        <f aca="false">IFERROR(IF(C8=0,"",C8/C$7),"")</f>
        <v/>
      </c>
      <c r="E8" s="35"/>
      <c r="F8" s="89" t="str">
        <f aca="false">IFERROR(IF(E8=0,"",E8/E$7),"")</f>
        <v/>
      </c>
      <c r="G8" s="35"/>
      <c r="H8" s="89" t="str">
        <f aca="false">IFERROR(IF(G8=0,"",G8/G$7),"")</f>
        <v/>
      </c>
      <c r="I8" s="35"/>
      <c r="J8" s="89" t="str">
        <f aca="false">IFERROR(IF(I8=0,"",I8/I$7),"")</f>
        <v/>
      </c>
      <c r="K8" s="35"/>
      <c r="L8" s="89" t="str">
        <f aca="false">IFERROR(IF(K8=0,"",K8/K$7),"")</f>
        <v/>
      </c>
    </row>
    <row r="9" customFormat="false" ht="22.5" hidden="false" customHeight="true" outlineLevel="0" collapsed="false">
      <c r="B9" s="90" t="s">
        <v>110</v>
      </c>
      <c r="C9" s="60"/>
      <c r="D9" s="89" t="str">
        <f aca="false">IFERROR(IF(C9=0,"",C9/C$7),"")</f>
        <v/>
      </c>
      <c r="E9" s="35"/>
      <c r="F9" s="89" t="str">
        <f aca="false">IFERROR(IF(E9=0,"",E9/E$7),"")</f>
        <v/>
      </c>
      <c r="G9" s="35"/>
      <c r="H9" s="89" t="str">
        <f aca="false">IFERROR(IF(G9=0,"",G9/G$7),"")</f>
        <v/>
      </c>
      <c r="I9" s="35"/>
      <c r="J9" s="89" t="str">
        <f aca="false">IFERROR(IF(I9=0,"",I9/I$7),"")</f>
        <v/>
      </c>
      <c r="K9" s="35"/>
      <c r="L9" s="89" t="str">
        <f aca="false">IFERROR(IF(K9=0,"",K9/K$7),"")</f>
        <v/>
      </c>
    </row>
    <row r="10" customFormat="false" ht="22.5" hidden="false" customHeight="true" outlineLevel="0" collapsed="false">
      <c r="B10" s="90" t="s">
        <v>111</v>
      </c>
      <c r="C10" s="60"/>
      <c r="D10" s="89" t="str">
        <f aca="false">IFERROR(IF(C10=0,"",C10/C$7),"")</f>
        <v/>
      </c>
      <c r="E10" s="35"/>
      <c r="F10" s="89" t="str">
        <f aca="false">IFERROR(IF(E10=0,"",E10/E$7),"")</f>
        <v/>
      </c>
      <c r="G10" s="35"/>
      <c r="H10" s="89" t="str">
        <f aca="false">IFERROR(IF(G10=0,"",G10/G$7),"")</f>
        <v/>
      </c>
      <c r="I10" s="35"/>
      <c r="J10" s="89" t="str">
        <f aca="false">IFERROR(IF(I10=0,"",I10/I$7),"")</f>
        <v/>
      </c>
      <c r="K10" s="35"/>
      <c r="L10" s="89" t="str">
        <f aca="false">IFERROR(IF(K10=0,"",K10/K$7),"")</f>
        <v/>
      </c>
    </row>
    <row r="11" customFormat="false" ht="22.5" hidden="false" customHeight="true" outlineLevel="0" collapsed="false">
      <c r="B11" s="90" t="s">
        <v>112</v>
      </c>
      <c r="C11" s="60"/>
      <c r="D11" s="89" t="str">
        <f aca="false">IFERROR(IF(C11=0,"",C11/C$7),"")</f>
        <v/>
      </c>
      <c r="E11" s="35"/>
      <c r="F11" s="89" t="str">
        <f aca="false">IFERROR(IF(E11=0,"",E11/E$7),"")</f>
        <v/>
      </c>
      <c r="G11" s="35"/>
      <c r="H11" s="89" t="str">
        <f aca="false">IFERROR(IF(G11=0,"",G11/G$7),"")</f>
        <v/>
      </c>
      <c r="I11" s="35"/>
      <c r="J11" s="89" t="str">
        <f aca="false">IFERROR(IF(I11=0,"",I11/I$7),"")</f>
        <v/>
      </c>
      <c r="K11" s="35"/>
      <c r="L11" s="89" t="str">
        <f aca="false">IFERROR(IF(K11=0,"",K11/K$7),"")</f>
        <v/>
      </c>
    </row>
    <row r="12" customFormat="false" ht="22.5" hidden="false" customHeight="true" outlineLevel="0" collapsed="false">
      <c r="B12" s="90"/>
      <c r="C12" s="60"/>
      <c r="D12" s="89" t="str">
        <f aca="false">IFERROR(IF(C12=0,"",C12/C$7),"")</f>
        <v/>
      </c>
      <c r="E12" s="35"/>
      <c r="F12" s="89" t="str">
        <f aca="false">IFERROR(IF(E12=0,"",E12/E$7),"")</f>
        <v/>
      </c>
      <c r="G12" s="35"/>
      <c r="H12" s="89" t="str">
        <f aca="false">IFERROR(IF(G12=0,"",G12/G$7),"")</f>
        <v/>
      </c>
      <c r="I12" s="35"/>
      <c r="J12" s="89" t="str">
        <f aca="false">IFERROR(IF(I12=0,"",I12/I$7),"")</f>
        <v/>
      </c>
      <c r="K12" s="35"/>
      <c r="L12" s="89" t="str">
        <f aca="false">IFERROR(IF(K12=0,"",K12/K$7),"")</f>
        <v/>
      </c>
    </row>
    <row r="13" customFormat="false" ht="22.5" hidden="false" customHeight="true" outlineLevel="0" collapsed="false">
      <c r="B13" s="91"/>
      <c r="C13" s="64"/>
      <c r="D13" s="92" t="str">
        <f aca="false">IFERROR(IF(C13=0,"",C13/C$7),"")</f>
        <v/>
      </c>
      <c r="E13" s="37"/>
      <c r="F13" s="92" t="str">
        <f aca="false">IFERROR(IF(E13=0,"",E13/E$7),"")</f>
        <v/>
      </c>
      <c r="G13" s="37"/>
      <c r="H13" s="92" t="str">
        <f aca="false">IFERROR(IF(G13=0,"",G13/G$7),"")</f>
        <v/>
      </c>
      <c r="I13" s="37"/>
      <c r="J13" s="92" t="str">
        <f aca="false">IFERROR(IF(I13=0,"",I13/I$7),"")</f>
        <v/>
      </c>
      <c r="K13" s="37"/>
      <c r="L13" s="92" t="str">
        <f aca="false">IFERROR(IF(K13=0,"",K13/K$7),"")</f>
        <v/>
      </c>
    </row>
    <row r="14" customFormat="false" ht="22.5" hidden="false" customHeight="true" outlineLevel="0" collapsed="false">
      <c r="B14" s="123" t="s">
        <v>113</v>
      </c>
      <c r="C14" s="124" t="n">
        <f aca="false">SUM(C8:C13)</f>
        <v>0</v>
      </c>
      <c r="D14" s="95" t="str">
        <f aca="false">IFERROR(IF(C14=0,"",C14/C$7),"")</f>
        <v/>
      </c>
      <c r="E14" s="94" t="n">
        <f aca="false">SUM(E8:E13)</f>
        <v>0</v>
      </c>
      <c r="F14" s="95" t="str">
        <f aca="false">IFERROR(IF(E14=0,"",E14/E$7),"")</f>
        <v/>
      </c>
      <c r="G14" s="94" t="n">
        <f aca="false">SUM(G8:G13)</f>
        <v>0</v>
      </c>
      <c r="H14" s="95" t="str">
        <f aca="false">IFERROR(IF(G14=0,"",G14/G$7),"")</f>
        <v/>
      </c>
      <c r="I14" s="94" t="n">
        <f aca="false">SUM(I8:I13)</f>
        <v>0</v>
      </c>
      <c r="J14" s="95" t="str">
        <f aca="false">IFERROR(IF(I14=0,"",I14/I$7),"")</f>
        <v/>
      </c>
      <c r="K14" s="94" t="n">
        <f aca="false">SUM(K8:K13)</f>
        <v>0</v>
      </c>
      <c r="L14" s="95" t="str">
        <f aca="false">IFERROR(IF(K14=0,"",K14/K$7),"")</f>
        <v/>
      </c>
    </row>
    <row r="15" customFormat="false" ht="22.5" hidden="false" customHeight="true" outlineLevel="0" collapsed="false">
      <c r="B15" s="122"/>
      <c r="C15" s="60"/>
      <c r="D15" s="89" t="str">
        <f aca="false">IFERROR(IF(C15=0,"",C15/C$7),"")</f>
        <v/>
      </c>
      <c r="E15" s="35"/>
      <c r="F15" s="89" t="str">
        <f aca="false">IFERROR(IF(E15=0,"",E15/E$7),"")</f>
        <v/>
      </c>
      <c r="G15" s="35"/>
      <c r="H15" s="89" t="str">
        <f aca="false">IFERROR(IF(G15=0,"",G15/G$7),"")</f>
        <v/>
      </c>
      <c r="I15" s="35"/>
      <c r="J15" s="89" t="str">
        <f aca="false">IFERROR(IF(I15=0,"",I15/I$7),"")</f>
        <v/>
      </c>
      <c r="K15" s="35"/>
      <c r="L15" s="89" t="str">
        <f aca="false">IFERROR(IF(K15=0,"",K15/K$7),"")</f>
        <v/>
      </c>
    </row>
    <row r="16" customFormat="false" ht="22.5" hidden="false" customHeight="true" outlineLevel="0" collapsed="false">
      <c r="B16" s="90"/>
      <c r="C16" s="60"/>
      <c r="D16" s="89"/>
      <c r="E16" s="35"/>
      <c r="F16" s="89"/>
      <c r="G16" s="35"/>
      <c r="H16" s="89"/>
      <c r="I16" s="35"/>
      <c r="J16" s="89"/>
      <c r="K16" s="35"/>
      <c r="L16" s="89"/>
    </row>
    <row r="17" customFormat="false" ht="22.5" hidden="false" customHeight="true" outlineLevel="0" collapsed="false">
      <c r="B17" s="90"/>
      <c r="C17" s="60"/>
      <c r="D17" s="89"/>
      <c r="E17" s="35"/>
      <c r="F17" s="89"/>
      <c r="G17" s="35"/>
      <c r="H17" s="89"/>
      <c r="I17" s="35"/>
      <c r="J17" s="89"/>
      <c r="K17" s="35"/>
      <c r="L17" s="89"/>
    </row>
    <row r="18" customFormat="false" ht="22.5" hidden="false" customHeight="true" outlineLevel="0" collapsed="false">
      <c r="B18" s="90"/>
      <c r="C18" s="60"/>
      <c r="D18" s="89" t="str">
        <f aca="false">IFERROR(IF(C18=0,"",C18/C$7),"")</f>
        <v/>
      </c>
      <c r="E18" s="35"/>
      <c r="F18" s="89" t="str">
        <f aca="false">IFERROR(IF(E18=0,"",E18/E$7),"")</f>
        <v/>
      </c>
      <c r="G18" s="35"/>
      <c r="H18" s="89" t="str">
        <f aca="false">IFERROR(IF(G18=0,"",G18/G$7),"")</f>
        <v/>
      </c>
      <c r="I18" s="35"/>
      <c r="J18" s="89" t="str">
        <f aca="false">IFERROR(IF(I18=0,"",I18/I$7),"")</f>
        <v/>
      </c>
      <c r="K18" s="35"/>
      <c r="L18" s="89" t="str">
        <f aca="false">IFERROR(IF(K18=0,"",K18/K$7),"")</f>
        <v/>
      </c>
    </row>
    <row r="19" customFormat="false" ht="22.5" hidden="false" customHeight="true" outlineLevel="0" collapsed="false">
      <c r="B19" s="90"/>
      <c r="C19" s="60"/>
      <c r="D19" s="89" t="str">
        <f aca="false">IFERROR(IF(C19=0,"",C19/C$7),"")</f>
        <v/>
      </c>
      <c r="E19" s="35"/>
      <c r="F19" s="89" t="str">
        <f aca="false">IFERROR(IF(E19=0,"",E19/E$7),"")</f>
        <v/>
      </c>
      <c r="G19" s="35"/>
      <c r="H19" s="89" t="str">
        <f aca="false">IFERROR(IF(G19=0,"",G19/G$7),"")</f>
        <v/>
      </c>
      <c r="I19" s="35"/>
      <c r="J19" s="89" t="str">
        <f aca="false">IFERROR(IF(I19=0,"",I19/I$7),"")</f>
        <v/>
      </c>
      <c r="K19" s="35"/>
      <c r="L19" s="89" t="str">
        <f aca="false">IFERROR(IF(K19=0,"",K19/K$7),"")</f>
        <v/>
      </c>
    </row>
    <row r="20" customFormat="false" ht="22.5" hidden="false" customHeight="true" outlineLevel="0" collapsed="false">
      <c r="B20" s="90"/>
      <c r="C20" s="60"/>
      <c r="D20" s="89" t="str">
        <f aca="false">IFERROR(IF(C20=0,"",C20/C$7),"")</f>
        <v/>
      </c>
      <c r="E20" s="35"/>
      <c r="F20" s="89" t="str">
        <f aca="false">IFERROR(IF(E20=0,"",E20/E$7),"")</f>
        <v/>
      </c>
      <c r="G20" s="35"/>
      <c r="H20" s="89" t="str">
        <f aca="false">IFERROR(IF(G20=0,"",G20/G$7),"")</f>
        <v/>
      </c>
      <c r="I20" s="35"/>
      <c r="J20" s="89" t="str">
        <f aca="false">IFERROR(IF(I20=0,"",I20/I$7),"")</f>
        <v/>
      </c>
      <c r="K20" s="35"/>
      <c r="L20" s="89" t="str">
        <f aca="false">IFERROR(IF(K20=0,"",K20/K$7),"")</f>
        <v/>
      </c>
    </row>
    <row r="21" customFormat="false" ht="22.5" hidden="false" customHeight="true" outlineLevel="0" collapsed="false">
      <c r="B21" s="90"/>
      <c r="C21" s="60"/>
      <c r="D21" s="89" t="str">
        <f aca="false">IFERROR(IF(C21=0,"",C21/C$7),"")</f>
        <v/>
      </c>
      <c r="E21" s="35"/>
      <c r="F21" s="89" t="str">
        <f aca="false">IFERROR(IF(E21=0,"",E21/E$7),"")</f>
        <v/>
      </c>
      <c r="G21" s="35"/>
      <c r="H21" s="89" t="str">
        <f aca="false">IFERROR(IF(G21=0,"",G21/G$7),"")</f>
        <v/>
      </c>
      <c r="I21" s="35"/>
      <c r="J21" s="89" t="str">
        <f aca="false">IFERROR(IF(I21=0,"",I21/I$7),"")</f>
        <v/>
      </c>
      <c r="K21" s="35"/>
      <c r="L21" s="89" t="str">
        <f aca="false">IFERROR(IF(K21=0,"",K21/K$7),"")</f>
        <v/>
      </c>
    </row>
    <row r="22" customFormat="false" ht="22.5" hidden="false" customHeight="true" outlineLevel="0" collapsed="false">
      <c r="B22" s="91"/>
      <c r="C22" s="64"/>
      <c r="D22" s="92" t="str">
        <f aca="false">IFERROR(IF(C22=0,"",C22/C$7),"")</f>
        <v/>
      </c>
      <c r="E22" s="37"/>
      <c r="F22" s="92" t="str">
        <f aca="false">IFERROR(IF(E22=0,"",E22/E$7),"")</f>
        <v/>
      </c>
      <c r="G22" s="37"/>
      <c r="H22" s="92" t="str">
        <f aca="false">IFERROR(IF(G22=0,"",G22/G$7),"")</f>
        <v/>
      </c>
      <c r="I22" s="37"/>
      <c r="J22" s="92" t="str">
        <f aca="false">IFERROR(IF(I22=0,"",I22/I$7),"")</f>
        <v/>
      </c>
      <c r="K22" s="37"/>
      <c r="L22" s="92" t="str">
        <f aca="false">IFERROR(IF(K22=0,"",K22/K$7),"")</f>
        <v/>
      </c>
    </row>
    <row r="23" customFormat="false" ht="22.5" hidden="false" customHeight="true" outlineLevel="0" collapsed="false">
      <c r="B23" s="123" t="s">
        <v>114</v>
      </c>
      <c r="C23" s="124" t="n">
        <f aca="false">SUM(C15:C22)</f>
        <v>0</v>
      </c>
      <c r="D23" s="95" t="str">
        <f aca="false">IFERROR(IF(C23=0,"",C23/C$7),"")</f>
        <v/>
      </c>
      <c r="E23" s="94" t="n">
        <f aca="false">SUM(E15:E22)</f>
        <v>0</v>
      </c>
      <c r="F23" s="95" t="str">
        <f aca="false">IFERROR(IF(E23=0,"",E23/E$7),"")</f>
        <v/>
      </c>
      <c r="G23" s="94" t="n">
        <f aca="false">SUM(G15:G22)</f>
        <v>0</v>
      </c>
      <c r="H23" s="95" t="str">
        <f aca="false">IFERROR(IF(G23=0,"",G23/G$7),"")</f>
        <v/>
      </c>
      <c r="I23" s="94" t="n">
        <f aca="false">SUM(I15:I22)</f>
        <v>0</v>
      </c>
      <c r="J23" s="95" t="str">
        <f aca="false">IFERROR(IF(I23=0,"",I23/I$7),"")</f>
        <v/>
      </c>
      <c r="K23" s="94" t="n">
        <f aca="false">SUM(K15:K22)</f>
        <v>0</v>
      </c>
      <c r="L23" s="95" t="str">
        <f aca="false">IFERROR(IF(K23=0,"",K23/K$7),"")</f>
        <v/>
      </c>
    </row>
    <row r="24" customFormat="false" ht="22.5" hidden="false" customHeight="true" outlineLevel="0" collapsed="false">
      <c r="B24" s="122"/>
      <c r="C24" s="60"/>
      <c r="D24" s="89" t="str">
        <f aca="false">IFERROR(IF(C24=0,"",C24/C$7),"")</f>
        <v/>
      </c>
      <c r="E24" s="35"/>
      <c r="F24" s="89" t="str">
        <f aca="false">IFERROR(IF(E24=0,"",E24/E$7),"")</f>
        <v/>
      </c>
      <c r="G24" s="35"/>
      <c r="H24" s="89" t="str">
        <f aca="false">IFERROR(IF(G24=0,"",G24/G$7),"")</f>
        <v/>
      </c>
      <c r="I24" s="35"/>
      <c r="J24" s="89" t="str">
        <f aca="false">IFERROR(IF(I24=0,"",I24/I$7),"")</f>
        <v/>
      </c>
      <c r="K24" s="35"/>
      <c r="L24" s="89" t="str">
        <f aca="false">IFERROR(IF(K24=0,"",K24/K$7),"")</f>
        <v/>
      </c>
    </row>
    <row r="25" customFormat="false" ht="22.5" hidden="false" customHeight="true" outlineLevel="0" collapsed="false">
      <c r="B25" s="90"/>
      <c r="C25" s="60"/>
      <c r="D25" s="89"/>
      <c r="E25" s="35"/>
      <c r="F25" s="89"/>
      <c r="G25" s="35"/>
      <c r="H25" s="89"/>
      <c r="I25" s="35"/>
      <c r="J25" s="89"/>
      <c r="K25" s="35"/>
      <c r="L25" s="89"/>
    </row>
    <row r="26" customFormat="false" ht="22.5" hidden="false" customHeight="true" outlineLevel="0" collapsed="false">
      <c r="B26" s="90"/>
      <c r="C26" s="60"/>
      <c r="D26" s="89"/>
      <c r="E26" s="35"/>
      <c r="F26" s="89"/>
      <c r="G26" s="35"/>
      <c r="H26" s="89"/>
      <c r="I26" s="35"/>
      <c r="J26" s="89"/>
      <c r="K26" s="35"/>
      <c r="L26" s="89"/>
    </row>
    <row r="27" customFormat="false" ht="22.5" hidden="false" customHeight="true" outlineLevel="0" collapsed="false">
      <c r="B27" s="90"/>
      <c r="C27" s="60"/>
      <c r="D27" s="89"/>
      <c r="E27" s="35"/>
      <c r="F27" s="89"/>
      <c r="G27" s="35"/>
      <c r="H27" s="89"/>
      <c r="I27" s="35"/>
      <c r="J27" s="89"/>
      <c r="K27" s="35"/>
      <c r="L27" s="89"/>
    </row>
    <row r="28" customFormat="false" ht="22.5" hidden="false" customHeight="true" outlineLevel="0" collapsed="false">
      <c r="B28" s="90"/>
      <c r="C28" s="60"/>
      <c r="D28" s="89" t="str">
        <f aca="false">IFERROR(IF(C28=0,"",C28/C$7),"")</f>
        <v/>
      </c>
      <c r="E28" s="35"/>
      <c r="F28" s="89" t="str">
        <f aca="false">IFERROR(IF(E28=0,"",E28/E$7),"")</f>
        <v/>
      </c>
      <c r="G28" s="35"/>
      <c r="H28" s="89" t="str">
        <f aca="false">IFERROR(IF(G28=0,"",G28/G$7),"")</f>
        <v/>
      </c>
      <c r="I28" s="35"/>
      <c r="J28" s="89" t="str">
        <f aca="false">IFERROR(IF(I28=0,"",I28/I$7),"")</f>
        <v/>
      </c>
      <c r="K28" s="35"/>
      <c r="L28" s="89" t="str">
        <f aca="false">IFERROR(IF(K28=0,"",K28/K$7),"")</f>
        <v/>
      </c>
    </row>
    <row r="29" customFormat="false" ht="22.5" hidden="false" customHeight="true" outlineLevel="0" collapsed="false">
      <c r="B29" s="90"/>
      <c r="C29" s="60"/>
      <c r="D29" s="89" t="str">
        <f aca="false">IFERROR(IF(C29=0,"",C29/C$7),"")</f>
        <v/>
      </c>
      <c r="E29" s="35"/>
      <c r="F29" s="89" t="str">
        <f aca="false">IFERROR(IF(E29=0,"",E29/E$7),"")</f>
        <v/>
      </c>
      <c r="G29" s="35"/>
      <c r="H29" s="89" t="str">
        <f aca="false">IFERROR(IF(G29=0,"",G29/G$7),"")</f>
        <v/>
      </c>
      <c r="I29" s="35"/>
      <c r="J29" s="89" t="str">
        <f aca="false">IFERROR(IF(I29=0,"",I29/I$7),"")</f>
        <v/>
      </c>
      <c r="K29" s="35"/>
      <c r="L29" s="89" t="str">
        <f aca="false">IFERROR(IF(K29=0,"",K29/K$7),"")</f>
        <v/>
      </c>
    </row>
    <row r="30" customFormat="false" ht="22.5" hidden="false" customHeight="true" outlineLevel="0" collapsed="false">
      <c r="B30" s="90"/>
      <c r="C30" s="60"/>
      <c r="D30" s="89" t="str">
        <f aca="false">IFERROR(IF(C30=0,"",C30/C$7),"")</f>
        <v/>
      </c>
      <c r="E30" s="35"/>
      <c r="F30" s="89" t="str">
        <f aca="false">IFERROR(IF(E30=0,"",E30/E$7),"")</f>
        <v/>
      </c>
      <c r="G30" s="35"/>
      <c r="H30" s="89" t="str">
        <f aca="false">IFERROR(IF(G30=0,"",G30/G$7),"")</f>
        <v/>
      </c>
      <c r="I30" s="35"/>
      <c r="J30" s="89" t="str">
        <f aca="false">IFERROR(IF(I30=0,"",I30/I$7),"")</f>
        <v/>
      </c>
      <c r="K30" s="35"/>
      <c r="L30" s="89" t="str">
        <f aca="false">IFERROR(IF(K30=0,"",K30/K$7),"")</f>
        <v/>
      </c>
    </row>
    <row r="31" customFormat="false" ht="22.5" hidden="false" customHeight="true" outlineLevel="0" collapsed="false">
      <c r="B31" s="90"/>
      <c r="C31" s="60"/>
      <c r="D31" s="89" t="str">
        <f aca="false">IFERROR(IF(C31=0,"",C31/C$7),"")</f>
        <v/>
      </c>
      <c r="E31" s="35"/>
      <c r="F31" s="89" t="str">
        <f aca="false">IFERROR(IF(E31=0,"",E31/E$7),"")</f>
        <v/>
      </c>
      <c r="G31" s="35"/>
      <c r="H31" s="89" t="str">
        <f aca="false">IFERROR(IF(G31=0,"",G31/G$7),"")</f>
        <v/>
      </c>
      <c r="I31" s="35"/>
      <c r="J31" s="89" t="str">
        <f aca="false">IFERROR(IF(I31=0,"",I31/I$7),"")</f>
        <v/>
      </c>
      <c r="K31" s="35"/>
      <c r="L31" s="89" t="str">
        <f aca="false">IFERROR(IF(K31=0,"",K31/K$7),"")</f>
        <v/>
      </c>
    </row>
    <row r="32" customFormat="false" ht="22.5" hidden="false" customHeight="true" outlineLevel="0" collapsed="false">
      <c r="B32" s="91"/>
      <c r="C32" s="64"/>
      <c r="D32" s="92" t="str">
        <f aca="false">IFERROR(IF(C32=0,"",C32/C$7),"")</f>
        <v/>
      </c>
      <c r="E32" s="37"/>
      <c r="F32" s="92" t="str">
        <f aca="false">IFERROR(IF(E32=0,"",E32/E$7),"")</f>
        <v/>
      </c>
      <c r="G32" s="37"/>
      <c r="H32" s="92" t="str">
        <f aca="false">IFERROR(IF(G32=0,"",G32/G$7),"")</f>
        <v/>
      </c>
      <c r="I32" s="37"/>
      <c r="J32" s="92" t="str">
        <f aca="false">IFERROR(IF(I32=0,"",I32/I$7),"")</f>
        <v/>
      </c>
      <c r="K32" s="37"/>
      <c r="L32" s="92" t="str">
        <f aca="false">IFERROR(IF(K32=0,"",K32/K$7),"")</f>
        <v/>
      </c>
    </row>
    <row r="33" customFormat="false" ht="22.5" hidden="false" customHeight="true" outlineLevel="0" collapsed="false">
      <c r="B33" s="123" t="s">
        <v>115</v>
      </c>
      <c r="C33" s="124" t="n">
        <f aca="false">SUM(C24:C32)</f>
        <v>0</v>
      </c>
      <c r="D33" s="95" t="str">
        <f aca="false">IFERROR(IF(C33=0,"",C33/C$7),"")</f>
        <v/>
      </c>
      <c r="E33" s="94" t="n">
        <f aca="false">SUM(E24:E32)</f>
        <v>0</v>
      </c>
      <c r="F33" s="95" t="str">
        <f aca="false">IFERROR(IF(E33=0,"",E33/E$7),"")</f>
        <v/>
      </c>
      <c r="G33" s="94" t="n">
        <f aca="false">SUM(G24:G32)</f>
        <v>0</v>
      </c>
      <c r="H33" s="95" t="str">
        <f aca="false">IFERROR(IF(G33=0,"",G33/G$7),"")</f>
        <v/>
      </c>
      <c r="I33" s="94" t="n">
        <f aca="false">SUM(I24:I32)</f>
        <v>0</v>
      </c>
      <c r="J33" s="95" t="str">
        <f aca="false">IFERROR(IF(I33=0,"",I33/I$7),"")</f>
        <v/>
      </c>
      <c r="K33" s="94" t="n">
        <f aca="false">SUM(K24:K32)</f>
        <v>0</v>
      </c>
      <c r="L33" s="95" t="str">
        <f aca="false">IFERROR(IF(K33=0,"",K33/K$7),"")</f>
        <v/>
      </c>
    </row>
    <row r="34" customFormat="false" ht="22.5" hidden="false" customHeight="true" outlineLevel="0" collapsed="false">
      <c r="B34" s="122"/>
      <c r="C34" s="60"/>
      <c r="D34" s="89" t="str">
        <f aca="false">IFERROR(IF(C34=0,"",C34/C$7),"")</f>
        <v/>
      </c>
      <c r="E34" s="35"/>
      <c r="F34" s="89" t="str">
        <f aca="false">IFERROR(IF(E34=0,"",E34/E$7),"")</f>
        <v/>
      </c>
      <c r="G34" s="35"/>
      <c r="H34" s="89" t="str">
        <f aca="false">IFERROR(IF(G34=0,"",G34/G$7),"")</f>
        <v/>
      </c>
      <c r="I34" s="35"/>
      <c r="J34" s="89" t="str">
        <f aca="false">IFERROR(IF(I34=0,"",I34/I$7),"")</f>
        <v/>
      </c>
      <c r="K34" s="35"/>
      <c r="L34" s="89" t="str">
        <f aca="false">IFERROR(IF(K34=0,"",K34/K$7),"")</f>
        <v/>
      </c>
    </row>
    <row r="35" customFormat="false" ht="22.5" hidden="false" customHeight="true" outlineLevel="0" collapsed="false">
      <c r="B35" s="90"/>
      <c r="C35" s="60"/>
      <c r="D35" s="89" t="str">
        <f aca="false">IFERROR(IF(C35=0,"",C35/C$7),"")</f>
        <v/>
      </c>
      <c r="E35" s="35"/>
      <c r="F35" s="89" t="str">
        <f aca="false">IFERROR(IF(E35=0,"",E35/E$7),"")</f>
        <v/>
      </c>
      <c r="G35" s="35"/>
      <c r="H35" s="89" t="str">
        <f aca="false">IFERROR(IF(G35=0,"",G35/G$7),"")</f>
        <v/>
      </c>
      <c r="I35" s="35"/>
      <c r="J35" s="89" t="str">
        <f aca="false">IFERROR(IF(I35=0,"",I35/I$7),"")</f>
        <v/>
      </c>
      <c r="K35" s="35"/>
      <c r="L35" s="89" t="str">
        <f aca="false">IFERROR(IF(K35=0,"",K35/K$7),"")</f>
        <v/>
      </c>
    </row>
    <row r="36" customFormat="false" ht="22.5" hidden="false" customHeight="true" outlineLevel="0" collapsed="false">
      <c r="B36" s="90"/>
      <c r="C36" s="60"/>
      <c r="D36" s="89" t="str">
        <f aca="false">IFERROR(IF(C36=0,"",C36/C$7),"")</f>
        <v/>
      </c>
      <c r="E36" s="35"/>
      <c r="F36" s="89" t="str">
        <f aca="false">IFERROR(IF(E36=0,"",E36/E$7),"")</f>
        <v/>
      </c>
      <c r="G36" s="35"/>
      <c r="H36" s="89" t="str">
        <f aca="false">IFERROR(IF(G36=0,"",G36/G$7),"")</f>
        <v/>
      </c>
      <c r="I36" s="35"/>
      <c r="J36" s="89" t="str">
        <f aca="false">IFERROR(IF(I36=0,"",I36/I$7),"")</f>
        <v/>
      </c>
      <c r="K36" s="35"/>
      <c r="L36" s="89" t="str">
        <f aca="false">IFERROR(IF(K36=0,"",K36/K$7),"")</f>
        <v/>
      </c>
    </row>
    <row r="37" customFormat="false" ht="22.5" hidden="false" customHeight="true" outlineLevel="0" collapsed="false">
      <c r="B37" s="90"/>
      <c r="C37" s="60"/>
      <c r="D37" s="89"/>
      <c r="E37" s="35"/>
      <c r="F37" s="89"/>
      <c r="G37" s="35"/>
      <c r="H37" s="89"/>
      <c r="I37" s="35"/>
      <c r="J37" s="89"/>
      <c r="K37" s="35"/>
      <c r="L37" s="89"/>
    </row>
    <row r="38" customFormat="false" ht="22.5" hidden="false" customHeight="true" outlineLevel="0" collapsed="false">
      <c r="B38" s="90"/>
      <c r="C38" s="60"/>
      <c r="D38" s="89"/>
      <c r="E38" s="35"/>
      <c r="F38" s="89"/>
      <c r="G38" s="35"/>
      <c r="H38" s="89"/>
      <c r="I38" s="35"/>
      <c r="J38" s="89"/>
      <c r="K38" s="35"/>
      <c r="L38" s="89"/>
    </row>
    <row r="39" customFormat="false" ht="22.5" hidden="false" customHeight="true" outlineLevel="0" collapsed="false">
      <c r="B39" s="90"/>
      <c r="C39" s="60"/>
      <c r="D39" s="89" t="str">
        <f aca="false">IFERROR(IF(C39=0,"",C39/C$7),"")</f>
        <v/>
      </c>
      <c r="E39" s="35"/>
      <c r="F39" s="89" t="str">
        <f aca="false">IFERROR(IF(E39=0,"",E39/E$7),"")</f>
        <v/>
      </c>
      <c r="G39" s="35"/>
      <c r="H39" s="89" t="str">
        <f aca="false">IFERROR(IF(G39=0,"",G39/G$7),"")</f>
        <v/>
      </c>
      <c r="I39" s="35"/>
      <c r="J39" s="89" t="str">
        <f aca="false">IFERROR(IF(I39=0,"",I39/I$7),"")</f>
        <v/>
      </c>
      <c r="K39" s="35"/>
      <c r="L39" s="89" t="str">
        <f aca="false">IFERROR(IF(K39=0,"",K39/K$7),"")</f>
        <v/>
      </c>
    </row>
    <row r="40" customFormat="false" ht="22.5" hidden="false" customHeight="true" outlineLevel="0" collapsed="false">
      <c r="B40" s="90"/>
      <c r="C40" s="60"/>
      <c r="D40" s="89" t="str">
        <f aca="false">IFERROR(IF(C40=0,"",C40/C$7),"")</f>
        <v/>
      </c>
      <c r="E40" s="35"/>
      <c r="F40" s="89" t="str">
        <f aca="false">IFERROR(IF(E40=0,"",E40/E$7),"")</f>
        <v/>
      </c>
      <c r="G40" s="35"/>
      <c r="H40" s="89" t="str">
        <f aca="false">IFERROR(IF(G40=0,"",G40/G$7),"")</f>
        <v/>
      </c>
      <c r="I40" s="35"/>
      <c r="J40" s="89" t="str">
        <f aca="false">IFERROR(IF(I40=0,"",I40/I$7),"")</f>
        <v/>
      </c>
      <c r="K40" s="35"/>
      <c r="L40" s="89" t="str">
        <f aca="false">IFERROR(IF(K40=0,"",K40/K$7),"")</f>
        <v/>
      </c>
    </row>
    <row r="41" customFormat="false" ht="22.5" hidden="false" customHeight="true" outlineLevel="0" collapsed="false">
      <c r="B41" s="90"/>
      <c r="C41" s="60"/>
      <c r="D41" s="89" t="str">
        <f aca="false">IFERROR(IF(C41=0,"",C41/C$7),"")</f>
        <v/>
      </c>
      <c r="E41" s="35"/>
      <c r="F41" s="89" t="str">
        <f aca="false">IFERROR(IF(E41=0,"",E41/E$7),"")</f>
        <v/>
      </c>
      <c r="G41" s="35"/>
      <c r="H41" s="89" t="str">
        <f aca="false">IFERROR(IF(G41=0,"",G41/G$7),"")</f>
        <v/>
      </c>
      <c r="I41" s="35"/>
      <c r="J41" s="89" t="str">
        <f aca="false">IFERROR(IF(I41=0,"",I41/I$7),"")</f>
        <v/>
      </c>
      <c r="K41" s="35"/>
      <c r="L41" s="89" t="str">
        <f aca="false">IFERROR(IF(K41=0,"",K41/K$7),"")</f>
        <v/>
      </c>
    </row>
    <row r="42" customFormat="false" ht="22.5" hidden="false" customHeight="true" outlineLevel="0" collapsed="false">
      <c r="B42" s="90"/>
      <c r="C42" s="60"/>
      <c r="D42" s="89" t="str">
        <f aca="false">IFERROR(IF(C42=0,"",C42/C$7),"")</f>
        <v/>
      </c>
      <c r="E42" s="35"/>
      <c r="F42" s="89" t="str">
        <f aca="false">IFERROR(IF(E42=0,"",E42/E$7),"")</f>
        <v/>
      </c>
      <c r="G42" s="35"/>
      <c r="H42" s="89" t="str">
        <f aca="false">IFERROR(IF(G42=0,"",G42/G$7),"")</f>
        <v/>
      </c>
      <c r="I42" s="35"/>
      <c r="J42" s="89" t="str">
        <f aca="false">IFERROR(IF(I42=0,"",I42/I$7),"")</f>
        <v/>
      </c>
      <c r="K42" s="35"/>
      <c r="L42" s="89" t="str">
        <f aca="false">IFERROR(IF(K42=0,"",K42/K$7),"")</f>
        <v/>
      </c>
    </row>
    <row r="43" customFormat="false" ht="22.5" hidden="false" customHeight="true" outlineLevel="0" collapsed="false">
      <c r="B43" s="90"/>
      <c r="C43" s="60"/>
      <c r="D43" s="89" t="str">
        <f aca="false">IFERROR(IF(C43=0,"",C43/C$7),"")</f>
        <v/>
      </c>
      <c r="E43" s="35"/>
      <c r="F43" s="89" t="str">
        <f aca="false">IFERROR(IF(E43=0,"",E43/E$7),"")</f>
        <v/>
      </c>
      <c r="G43" s="35"/>
      <c r="H43" s="89" t="str">
        <f aca="false">IFERROR(IF(G43=0,"",G43/G$7),"")</f>
        <v/>
      </c>
      <c r="I43" s="35"/>
      <c r="J43" s="89" t="str">
        <f aca="false">IFERROR(IF(I43=0,"",I43/I$7),"")</f>
        <v/>
      </c>
      <c r="K43" s="35"/>
      <c r="L43" s="89" t="str">
        <f aca="false">IFERROR(IF(K43=0,"",K43/K$7),"")</f>
        <v/>
      </c>
    </row>
    <row r="44" customFormat="false" ht="22.5" hidden="false" customHeight="true" outlineLevel="0" collapsed="false">
      <c r="B44" s="90"/>
      <c r="C44" s="60"/>
      <c r="D44" s="89" t="str">
        <f aca="false">IFERROR(IF(C44=0,"",C44/C$7),"")</f>
        <v/>
      </c>
      <c r="E44" s="35"/>
      <c r="F44" s="89" t="str">
        <f aca="false">IFERROR(IF(E44=0,"",E44/E$7),"")</f>
        <v/>
      </c>
      <c r="G44" s="35"/>
      <c r="H44" s="89" t="str">
        <f aca="false">IFERROR(IF(G44=0,"",G44/G$7),"")</f>
        <v/>
      </c>
      <c r="I44" s="35"/>
      <c r="J44" s="89" t="str">
        <f aca="false">IFERROR(IF(I44=0,"",I44/I$7),"")</f>
        <v/>
      </c>
      <c r="K44" s="35"/>
      <c r="L44" s="89" t="str">
        <f aca="false">IFERROR(IF(K44=0,"",K44/K$7),"")</f>
        <v/>
      </c>
    </row>
    <row r="45" customFormat="false" ht="22.5" hidden="false" customHeight="true" outlineLevel="0" collapsed="false">
      <c r="B45" s="91"/>
      <c r="C45" s="64"/>
      <c r="D45" s="92" t="str">
        <f aca="false">IFERROR(IF(C45=0,"",C45/C$7),"")</f>
        <v/>
      </c>
      <c r="E45" s="37"/>
      <c r="F45" s="92" t="str">
        <f aca="false">IFERROR(IF(E45=0,"",E45/E$7),"")</f>
        <v/>
      </c>
      <c r="G45" s="37"/>
      <c r="H45" s="92" t="str">
        <f aca="false">IFERROR(IF(G45=0,"",G45/G$7),"")</f>
        <v/>
      </c>
      <c r="I45" s="37"/>
      <c r="J45" s="92" t="str">
        <f aca="false">IFERROR(IF(I45=0,"",I45/I$7),"")</f>
        <v/>
      </c>
      <c r="K45" s="37"/>
      <c r="L45" s="92" t="str">
        <f aca="false">IFERROR(IF(K45=0,"",K45/K$7),"")</f>
        <v/>
      </c>
    </row>
    <row r="46" customFormat="false" ht="22.5" hidden="false" customHeight="true" outlineLevel="0" collapsed="false">
      <c r="B46" s="123" t="s">
        <v>116</v>
      </c>
      <c r="C46" s="124" t="n">
        <f aca="false">SUM(C34:C45)</f>
        <v>0</v>
      </c>
      <c r="D46" s="95" t="str">
        <f aca="false">IFERROR(IF(C46=0,"",C46/C$7),"")</f>
        <v/>
      </c>
      <c r="E46" s="94" t="n">
        <f aca="false">SUM(E34:E45)</f>
        <v>0</v>
      </c>
      <c r="F46" s="95" t="str">
        <f aca="false">IFERROR(IF(E46=0,"",E46/E$7),"")</f>
        <v/>
      </c>
      <c r="G46" s="94" t="n">
        <f aca="false">SUM(G34:G45)</f>
        <v>0</v>
      </c>
      <c r="H46" s="95" t="str">
        <f aca="false">IFERROR(IF(G46=0,"",G46/G$7),"")</f>
        <v/>
      </c>
      <c r="I46" s="94" t="n">
        <f aca="false">SUM(I34:I45)</f>
        <v>0</v>
      </c>
      <c r="J46" s="95" t="str">
        <f aca="false">IFERROR(IF(I46=0,"",I46/I$7),"")</f>
        <v/>
      </c>
      <c r="K46" s="94" t="n">
        <f aca="false">SUM(K34:K45)</f>
        <v>0</v>
      </c>
      <c r="L46" s="95" t="str">
        <f aca="false">IFERROR(IF(K46=0,"",K46/K$7),"")</f>
        <v/>
      </c>
    </row>
    <row r="47" customFormat="false" ht="22.5" hidden="false" customHeight="true" outlineLevel="0" collapsed="false">
      <c r="B47" s="125" t="s">
        <v>117</v>
      </c>
      <c r="C47" s="124" t="n">
        <f aca="false">C14+C23+C33+C46</f>
        <v>0</v>
      </c>
      <c r="D47" s="95" t="str">
        <f aca="false">IFERROR(IF(C47=0,"",C47/C$7),"")</f>
        <v/>
      </c>
      <c r="E47" s="124" t="n">
        <f aca="false">E14+E23+E33+E46</f>
        <v>0</v>
      </c>
      <c r="F47" s="95" t="str">
        <f aca="false">IFERROR(IF(E47=0,"",E47/E$7),"")</f>
        <v/>
      </c>
      <c r="G47" s="124" t="n">
        <f aca="false">G14+G23+G33+G46</f>
        <v>0</v>
      </c>
      <c r="H47" s="95" t="str">
        <f aca="false">IFERROR(IF(G47=0,"",G47/G$7),"")</f>
        <v/>
      </c>
      <c r="I47" s="124" t="n">
        <f aca="false">I14+I23+I33+I46</f>
        <v>0</v>
      </c>
      <c r="J47" s="95" t="str">
        <f aca="false">IFERROR(IF(I47=0,"",I47/I$7),"")</f>
        <v/>
      </c>
      <c r="K47" s="124" t="n">
        <f aca="false">K14+K23+K33+K46</f>
        <v>0</v>
      </c>
      <c r="L47" s="95" t="str">
        <f aca="false">IFERROR(IF(K47=0,"",K47/K$7),"")</f>
        <v/>
      </c>
    </row>
    <row r="48" customFormat="false" ht="22.5" hidden="false" customHeight="true" outlineLevel="0" collapsed="false">
      <c r="B48" s="126" t="s">
        <v>118</v>
      </c>
      <c r="C48" s="64"/>
      <c r="D48" s="92" t="str">
        <f aca="false">IFERROR(IF(C48=0,"",C48/C$7),"")</f>
        <v/>
      </c>
      <c r="E48" s="37" t="n">
        <f aca="false">SUM(E36:E47)</f>
        <v>0</v>
      </c>
      <c r="F48" s="92" t="str">
        <f aca="false">IFERROR(IF(E48=0,"",E48/E$7),"")</f>
        <v/>
      </c>
      <c r="G48" s="37" t="n">
        <f aca="false">SUM(G36:G47)</f>
        <v>0</v>
      </c>
      <c r="H48" s="92" t="str">
        <f aca="false">IFERROR(IF(G48=0,"",G48/G$7),"")</f>
        <v/>
      </c>
      <c r="I48" s="37" t="n">
        <f aca="false">SUM(I36:I47)</f>
        <v>0</v>
      </c>
      <c r="J48" s="92" t="str">
        <f aca="false">IFERROR(IF(I48=0,"",I48/I$7),"")</f>
        <v/>
      </c>
      <c r="K48" s="37" t="n">
        <f aca="false">SUM(K36:K47)</f>
        <v>0</v>
      </c>
      <c r="L48" s="92" t="str">
        <f aca="false">IFERROR(IF(K48=0,"",K48/K$7),"")</f>
        <v/>
      </c>
    </row>
    <row r="49" customFormat="false" ht="22.5" hidden="false" customHeight="true" outlineLevel="0" collapsed="false">
      <c r="B49" s="93" t="s">
        <v>119</v>
      </c>
      <c r="C49" s="124" t="n">
        <f aca="false">SUM(C47:C48)</f>
        <v>0</v>
      </c>
      <c r="D49" s="95" t="str">
        <f aca="false">IFERROR(IF(C49=0,"",C49/C$7),"")</f>
        <v/>
      </c>
      <c r="E49" s="94" t="n">
        <f aca="false">SUM(E47:E48)</f>
        <v>0</v>
      </c>
      <c r="F49" s="95" t="str">
        <f aca="false">IFERROR(IF(E49=0,"",E49/E$7),"")</f>
        <v/>
      </c>
      <c r="G49" s="94" t="n">
        <f aca="false">SUM(G47:G48)</f>
        <v>0</v>
      </c>
      <c r="H49" s="95" t="str">
        <f aca="false">IFERROR(IF(G49=0,"",G49/G$7),"")</f>
        <v/>
      </c>
      <c r="I49" s="94" t="n">
        <f aca="false">SUM(I47:I48)</f>
        <v>0</v>
      </c>
      <c r="J49" s="95" t="str">
        <f aca="false">IFERROR(IF(I49=0,"",I49/I$7),"")</f>
        <v/>
      </c>
      <c r="K49" s="94" t="n">
        <f aca="false">SUM(K47:K48)</f>
        <v>0</v>
      </c>
      <c r="L49" s="95" t="str">
        <f aca="false">IFERROR(IF(K49=0,"",K49/K$7),"")</f>
        <v/>
      </c>
    </row>
    <row r="50" customFormat="false" ht="22.5" hidden="false" customHeight="true" outlineLevel="0" collapsed="false">
      <c r="B50" s="127" t="s">
        <v>120</v>
      </c>
      <c r="C50" s="128"/>
      <c r="D50" s="129" t="str">
        <f aca="false">IFERROR(IF(C50=0,"",C50/C$7),"")</f>
        <v/>
      </c>
      <c r="E50" s="130" t="n">
        <f aca="false">SUM(E40:E49)</f>
        <v>0</v>
      </c>
      <c r="F50" s="129" t="str">
        <f aca="false">IFERROR(IF(E50=0,"",E50/E$7),"")</f>
        <v/>
      </c>
      <c r="G50" s="130" t="n">
        <f aca="false">SUM(G40:G49)</f>
        <v>0</v>
      </c>
      <c r="H50" s="129" t="str">
        <f aca="false">IFERROR(IF(G50=0,"",G50/G$7),"")</f>
        <v/>
      </c>
      <c r="I50" s="130" t="n">
        <f aca="false">SUM(I40:I49)</f>
        <v>0</v>
      </c>
      <c r="J50" s="129" t="str">
        <f aca="false">IFERROR(IF(I50=0,"",I50/I$7),"")</f>
        <v/>
      </c>
      <c r="K50" s="130" t="n">
        <f aca="false">SUM(K40:K49)</f>
        <v>0</v>
      </c>
      <c r="L50" s="129" t="str">
        <f aca="false">IFERROR(IF(K50=0,"",K50/K$7),"")</f>
        <v/>
      </c>
    </row>
    <row r="51" customFormat="false" ht="22.5" hidden="false" customHeight="true" outlineLevel="0" collapsed="false">
      <c r="B51" s="93" t="s">
        <v>121</v>
      </c>
      <c r="C51" s="124" t="n">
        <f aca="false">C49-C50</f>
        <v>0</v>
      </c>
      <c r="D51" s="95" t="str">
        <f aca="false">IFERROR(IF(C51=0,"",C51/C$7),"")</f>
        <v/>
      </c>
      <c r="E51" s="94" t="n">
        <f aca="false">E49-E50</f>
        <v>0</v>
      </c>
      <c r="F51" s="95" t="str">
        <f aca="false">IFERROR(IF(E51=0,"",E51/E$7),"")</f>
        <v/>
      </c>
      <c r="G51" s="94" t="n">
        <f aca="false">G49-G50</f>
        <v>0</v>
      </c>
      <c r="H51" s="95" t="str">
        <f aca="false">IFERROR(IF(G51=0,"",G51/G$7),"")</f>
        <v/>
      </c>
      <c r="I51" s="94" t="n">
        <f aca="false">I49-I50</f>
        <v>0</v>
      </c>
      <c r="J51" s="95" t="str">
        <f aca="false">IFERROR(IF(I51=0,"",I51/I$7),"")</f>
        <v/>
      </c>
      <c r="K51" s="94" t="n">
        <f aca="false">K49-K50</f>
        <v>0</v>
      </c>
      <c r="L51" s="95" t="str">
        <f aca="false">IFERROR(IF(K51=0,"",K51/K$7),"")</f>
        <v/>
      </c>
    </row>
    <row r="52" customFormat="false" ht="18" hidden="false" customHeight="true" outlineLevel="0" collapsed="false">
      <c r="B52" s="46"/>
      <c r="C52" s="131"/>
      <c r="D52" s="132"/>
      <c r="E52" s="133"/>
      <c r="F52" s="132"/>
      <c r="G52" s="133"/>
      <c r="H52" s="132"/>
      <c r="I52" s="133"/>
      <c r="J52" s="132"/>
      <c r="K52" s="133"/>
      <c r="L52" s="132"/>
    </row>
    <row r="53" customFormat="false" ht="18" hidden="false" customHeight="true" outlineLevel="0" collapsed="false">
      <c r="B53" s="46"/>
      <c r="C53" s="131"/>
      <c r="D53" s="132"/>
      <c r="E53" s="133"/>
      <c r="F53" s="132"/>
      <c r="G53" s="133"/>
      <c r="H53" s="132"/>
      <c r="I53" s="133"/>
      <c r="J53" s="132"/>
      <c r="K53" s="133"/>
      <c r="L53" s="132"/>
    </row>
    <row r="54" customFormat="false" ht="18" hidden="false" customHeight="true" outlineLevel="0" collapsed="false">
      <c r="B54" s="46"/>
      <c r="C54" s="131"/>
      <c r="D54" s="132"/>
      <c r="E54" s="133"/>
      <c r="F54" s="132"/>
      <c r="G54" s="133"/>
      <c r="H54" s="132"/>
      <c r="I54" s="133"/>
      <c r="J54" s="132"/>
      <c r="K54" s="133"/>
      <c r="L54" s="132"/>
    </row>
    <row r="55" customFormat="false" ht="18" hidden="false" customHeight="true" outlineLevel="0" collapsed="false">
      <c r="B55" s="46"/>
      <c r="C55" s="131"/>
      <c r="D55" s="132"/>
      <c r="E55" s="133"/>
      <c r="F55" s="132"/>
      <c r="G55" s="133"/>
      <c r="H55" s="132"/>
      <c r="I55" s="133"/>
      <c r="J55" s="132"/>
      <c r="K55" s="133"/>
      <c r="L55" s="132"/>
    </row>
    <row r="56" customFormat="false" ht="18" hidden="false" customHeight="true" outlineLevel="0" collapsed="false">
      <c r="B56" s="46"/>
      <c r="C56" s="131"/>
      <c r="D56" s="132"/>
      <c r="E56" s="133"/>
      <c r="F56" s="132"/>
      <c r="G56" s="133"/>
      <c r="H56" s="132"/>
      <c r="I56" s="133"/>
      <c r="J56" s="132"/>
      <c r="K56" s="133"/>
      <c r="L56" s="132"/>
    </row>
    <row r="57" customFormat="false" ht="18" hidden="false" customHeight="true" outlineLevel="0" collapsed="false">
      <c r="B57" s="46"/>
      <c r="C57" s="131"/>
      <c r="D57" s="132"/>
      <c r="E57" s="133"/>
      <c r="F57" s="132"/>
      <c r="G57" s="133"/>
      <c r="H57" s="132"/>
      <c r="I57" s="133"/>
      <c r="J57" s="132"/>
      <c r="K57" s="133"/>
      <c r="L57" s="132"/>
    </row>
    <row r="58" customFormat="false" ht="18" hidden="false" customHeight="true" outlineLevel="0" collapsed="false">
      <c r="B58" s="46"/>
      <c r="C58" s="131"/>
      <c r="D58" s="132"/>
      <c r="E58" s="133"/>
      <c r="F58" s="132"/>
      <c r="G58" s="133"/>
      <c r="H58" s="132"/>
      <c r="I58" s="133"/>
      <c r="J58" s="132"/>
      <c r="K58" s="133"/>
      <c r="L58" s="132"/>
    </row>
    <row r="59" customFormat="false" ht="18" hidden="false" customHeight="true" outlineLevel="0" collapsed="false">
      <c r="B59" s="46"/>
      <c r="C59" s="131"/>
      <c r="D59" s="132"/>
      <c r="E59" s="133"/>
      <c r="F59" s="132"/>
      <c r="G59" s="133"/>
      <c r="H59" s="132"/>
      <c r="I59" s="133"/>
      <c r="J59" s="132"/>
      <c r="K59" s="133"/>
      <c r="L59" s="132"/>
    </row>
    <row r="60" customFormat="false" ht="18" hidden="false" customHeight="true" outlineLevel="0" collapsed="false">
      <c r="C60" s="43"/>
      <c r="E60" s="43"/>
      <c r="G60" s="43"/>
      <c r="I60" s="76"/>
      <c r="K60" s="43"/>
    </row>
    <row r="61" customFormat="false" ht="18" hidden="false" customHeight="true" outlineLevel="0" collapsed="false">
      <c r="C61" s="43"/>
      <c r="E61" s="43"/>
      <c r="G61" s="43"/>
      <c r="I61" s="76"/>
      <c r="K61" s="43"/>
    </row>
    <row r="62" customFormat="false" ht="18" hidden="false" customHeight="true" outlineLevel="0" collapsed="false">
      <c r="C62" s="43"/>
      <c r="E62" s="43"/>
      <c r="G62" s="43"/>
      <c r="I62" s="76"/>
      <c r="K62" s="43"/>
    </row>
  </sheetData>
  <mergeCells count="6">
    <mergeCell ref="B5:B6"/>
    <mergeCell ref="C5:D5"/>
    <mergeCell ref="E5:F5"/>
    <mergeCell ref="G5:H5"/>
    <mergeCell ref="I5:J5"/>
    <mergeCell ref="K5:L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54"/>
  <sheetViews>
    <sheetView showFormulas="false" showGridLines="false" showRowColHeaders="true" showZeros="true" rightToLeft="false" tabSelected="false" showOutlineSymbols="true" defaultGridColor="true" view="normal" topLeftCell="A1" colorId="64" zoomScale="55" zoomScaleNormal="55" zoomScalePageLayoutView="100" workbookViewId="0">
      <pane xSplit="0" ySplit="4" topLeftCell="A5" activePane="bottomLeft" state="frozen"/>
      <selection pane="topLeft" activeCell="A1" activeCellId="0" sqref="A1"/>
      <selection pane="bottomLeft" activeCell="A5" activeCellId="0" sqref="A5"/>
    </sheetView>
  </sheetViews>
  <sheetFormatPr defaultColWidth="8.5390625" defaultRowHeight="18" zeroHeight="false" outlineLevelRow="0" outlineLevelCol="0"/>
  <cols>
    <col collapsed="false" customWidth="true" hidden="false" outlineLevel="0" max="2" min="2" style="19" width="28"/>
    <col collapsed="false" customWidth="true" hidden="false" outlineLevel="0" max="7" min="3" style="20" width="15"/>
    <col collapsed="false" customWidth="true" hidden="false" outlineLevel="0" max="9" min="8" style="46" width="15"/>
    <col collapsed="false" customWidth="true" hidden="false" outlineLevel="0" max="12" min="10" style="20" width="15"/>
    <col collapsed="false" customWidth="true" hidden="false" outlineLevel="0" max="13" min="13" style="20" width="16.13"/>
    <col collapsed="false" customWidth="true" hidden="false" outlineLevel="0" max="14" min="14" style="20" width="8.88"/>
  </cols>
  <sheetData>
    <row r="2" customFormat="false" ht="18.75" hidden="false" customHeight="true" outlineLevel="0" collapsed="false">
      <c r="B2" s="2"/>
      <c r="C2" s="46"/>
      <c r="D2" s="78"/>
      <c r="G2" s="46"/>
      <c r="H2" s="47" t="s">
        <v>49</v>
      </c>
      <c r="I2" s="2"/>
      <c r="K2" s="46"/>
      <c r="L2" s="78"/>
    </row>
    <row r="3" customFormat="false" ht="19.5" hidden="false" customHeight="true" outlineLevel="0" collapsed="false">
      <c r="B3" s="134" t="s">
        <v>6</v>
      </c>
      <c r="C3" s="9" t="str">
        <f aca="false">'BS(借方)'!C4</f>
        <v>－</v>
      </c>
      <c r="D3" s="9"/>
      <c r="E3" s="79" t="str">
        <f aca="false">'BS(借方)'!D4</f>
        <v>23年11月期</v>
      </c>
      <c r="F3" s="79"/>
      <c r="G3" s="80" t="str">
        <f aca="false">'BS(借方)'!E4</f>
        <v>24年11月期</v>
      </c>
      <c r="H3" s="80"/>
      <c r="I3" s="81" t="str">
        <f aca="false">'BS(借方)'!F4</f>
        <v>25年11月期</v>
      </c>
      <c r="J3" s="81"/>
      <c r="K3" s="111" t="str">
        <f aca="false">'BS(借方)'!G4</f>
        <v>26年11月期
（7か月TB）</v>
      </c>
      <c r="L3" s="111"/>
    </row>
    <row r="4" customFormat="false" ht="19.5" hidden="false" customHeight="true" outlineLevel="0" collapsed="false">
      <c r="B4" s="134"/>
      <c r="C4" s="25" t="s">
        <v>74</v>
      </c>
      <c r="D4" s="84" t="s">
        <v>75</v>
      </c>
      <c r="E4" s="25" t="s">
        <v>74</v>
      </c>
      <c r="F4" s="25" t="s">
        <v>75</v>
      </c>
      <c r="G4" s="25" t="s">
        <v>74</v>
      </c>
      <c r="H4" s="84" t="s">
        <v>75</v>
      </c>
      <c r="I4" s="25" t="s">
        <v>74</v>
      </c>
      <c r="J4" s="84" t="s">
        <v>75</v>
      </c>
      <c r="K4" s="135" t="s">
        <v>74</v>
      </c>
      <c r="L4" s="86" t="s">
        <v>75</v>
      </c>
    </row>
    <row r="5" customFormat="false" ht="22.5" hidden="false" customHeight="true" outlineLevel="0" collapsed="false">
      <c r="B5" s="118" t="s">
        <v>107</v>
      </c>
      <c r="C5" s="119" t="n">
        <f aca="false">PL!C11</f>
        <v>0</v>
      </c>
      <c r="D5" s="120" t="s">
        <v>108</v>
      </c>
      <c r="E5" s="121" t="n">
        <f aca="false">PL!E11</f>
        <v>474428321</v>
      </c>
      <c r="F5" s="120" t="s">
        <v>108</v>
      </c>
      <c r="G5" s="121" t="n">
        <f aca="false">PL!G11</f>
        <v>539035019</v>
      </c>
      <c r="H5" s="120" t="s">
        <v>108</v>
      </c>
      <c r="I5" s="121" t="n">
        <f aca="false">PL!I11</f>
        <v>558389734</v>
      </c>
      <c r="J5" s="120" t="s">
        <v>108</v>
      </c>
      <c r="K5" s="121" t="n">
        <f aca="false">PL!K11</f>
        <v>279153443</v>
      </c>
      <c r="L5" s="120" t="s">
        <v>108</v>
      </c>
      <c r="M5" s="117" t="s">
        <v>122</v>
      </c>
    </row>
    <row r="6" customFormat="false" ht="22.5" hidden="false" customHeight="true" outlineLevel="0" collapsed="false">
      <c r="B6" s="122" t="s">
        <v>123</v>
      </c>
      <c r="C6" s="60"/>
      <c r="D6" s="89" t="str">
        <f aca="false">IFERROR(C6/$C$5,"")</f>
        <v/>
      </c>
      <c r="E6" s="35" t="n">
        <v>112323477</v>
      </c>
      <c r="F6" s="89" t="n">
        <f aca="false">IFERROR(E6/$E$5,"")</f>
        <v>0.236755421268369</v>
      </c>
      <c r="G6" s="35" t="n">
        <v>115961553</v>
      </c>
      <c r="H6" s="89" t="n">
        <f aca="false">IFERROR(G6/$G$5,"")</f>
        <v>0.215128050891996</v>
      </c>
      <c r="I6" s="35" t="n">
        <v>127016990</v>
      </c>
      <c r="J6" s="89" t="n">
        <f aca="false">IFERROR(I6/$I$5,"")</f>
        <v>0.227470138267263</v>
      </c>
      <c r="K6" s="35" t="n">
        <v>64179726</v>
      </c>
      <c r="L6" s="89" t="n">
        <f aca="false">IFERROR(K6/$K$5,"")</f>
        <v>0.22990841635437</v>
      </c>
    </row>
    <row r="7" customFormat="false" ht="22.5" hidden="false" customHeight="true" outlineLevel="0" collapsed="false">
      <c r="B7" s="90" t="s">
        <v>124</v>
      </c>
      <c r="C7" s="60"/>
      <c r="D7" s="89" t="str">
        <f aca="false">IFERROR(C7/$C$5,"")</f>
        <v/>
      </c>
      <c r="E7" s="35" t="n">
        <v>3152359</v>
      </c>
      <c r="F7" s="89" t="n">
        <f aca="false">IFERROR(E7/$E$5,"")</f>
        <v>0.00664454220050662</v>
      </c>
      <c r="G7" s="35" t="n">
        <v>4978151</v>
      </c>
      <c r="H7" s="89" t="n">
        <f aca="false">IFERROR(G7/$G$5,"")</f>
        <v>0.00923530164929786</v>
      </c>
      <c r="I7" s="35" t="n">
        <v>5724652</v>
      </c>
      <c r="J7" s="89" t="n">
        <f aca="false">IFERROR(I7/$I$5,"")</f>
        <v>0.0102520724351283</v>
      </c>
      <c r="K7" s="35" t="n">
        <v>3504938</v>
      </c>
      <c r="L7" s="89" t="n">
        <f aca="false">IFERROR(K7/$K$5,"")</f>
        <v>0.0125555965290387</v>
      </c>
    </row>
    <row r="8" customFormat="false" ht="22.5" hidden="false" customHeight="true" outlineLevel="0" collapsed="false">
      <c r="B8" s="90" t="s">
        <v>125</v>
      </c>
      <c r="C8" s="60"/>
      <c r="D8" s="89" t="str">
        <f aca="false">IFERROR(C8/$C$5,"")</f>
        <v/>
      </c>
      <c r="E8" s="35" t="n">
        <v>24335030</v>
      </c>
      <c r="F8" s="89" t="n">
        <f aca="false">IFERROR(E8/$E$5,"")</f>
        <v>0.0512933754644045</v>
      </c>
      <c r="G8" s="35" t="n">
        <v>34052424</v>
      </c>
      <c r="H8" s="89" t="n">
        <f aca="false">IFERROR(G8/$G$5,"")</f>
        <v>0.0631729345955536</v>
      </c>
      <c r="I8" s="35" t="n">
        <v>26650854</v>
      </c>
      <c r="J8" s="89" t="n">
        <f aca="false">IFERROR(I8/$I$5,"")</f>
        <v>0.0477280515332683</v>
      </c>
      <c r="K8" s="35" t="n">
        <v>15163208</v>
      </c>
      <c r="L8" s="89" t="n">
        <f aca="false">IFERROR(K8/$K$5,"")</f>
        <v>0.0543185419353757</v>
      </c>
    </row>
    <row r="9" customFormat="false" ht="22.5" hidden="false" customHeight="true" outlineLevel="0" collapsed="false">
      <c r="B9" s="90" t="s">
        <v>126</v>
      </c>
      <c r="C9" s="60"/>
      <c r="D9" s="89" t="str">
        <f aca="false">IFERROR(C9/$C$5,"")</f>
        <v/>
      </c>
      <c r="E9" s="35" t="n">
        <v>352787</v>
      </c>
      <c r="F9" s="89" t="n">
        <f aca="false">IFERROR(E9/$E$5,"")</f>
        <v>0.000743604427443108</v>
      </c>
      <c r="G9" s="35" t="n">
        <v>280605</v>
      </c>
      <c r="H9" s="89" t="n">
        <f aca="false">IFERROR(G9/$G$5,"")</f>
        <v>0.000520569146918449</v>
      </c>
      <c r="I9" s="35" t="n">
        <v>436931</v>
      </c>
      <c r="J9" s="89" t="n">
        <f aca="false">IFERROR(I9/$I$5,"")</f>
        <v>0.000782483941583353</v>
      </c>
      <c r="K9" s="35" t="n">
        <v>129150</v>
      </c>
      <c r="L9" s="89" t="n">
        <f aca="false">IFERROR(K9/$K$5,"")</f>
        <v>0.000462648780584805</v>
      </c>
    </row>
    <row r="10" customFormat="false" ht="22.5" hidden="false" customHeight="true" outlineLevel="0" collapsed="false">
      <c r="B10" s="90" t="s">
        <v>127</v>
      </c>
      <c r="C10" s="60"/>
      <c r="D10" s="89" t="str">
        <f aca="false">IFERROR(C10/$C$5,"")</f>
        <v/>
      </c>
      <c r="E10" s="35" t="n">
        <v>45990311</v>
      </c>
      <c r="F10" s="89" t="n">
        <f aca="false">IFERROR(E10/$E$5,"")</f>
        <v>0.096938376071356</v>
      </c>
      <c r="G10" s="35" t="n">
        <v>39848148</v>
      </c>
      <c r="H10" s="89" t="n">
        <f aca="false">IFERROR(G10/$G$5,"")</f>
        <v>0.0739249707262526</v>
      </c>
      <c r="I10" s="35" t="n">
        <v>29981679</v>
      </c>
      <c r="J10" s="89" t="n">
        <f aca="false">IFERROR(I10/$I$5,"")</f>
        <v>0.053693105683064</v>
      </c>
      <c r="K10" s="35" t="n">
        <v>14193011</v>
      </c>
      <c r="L10" s="89" t="n">
        <f aca="false">IFERROR(K10/$K$5,"")</f>
        <v>0.0508430447694675</v>
      </c>
    </row>
    <row r="11" customFormat="false" ht="22.5" hidden="false" customHeight="true" outlineLevel="0" collapsed="false">
      <c r="B11" s="90" t="s">
        <v>128</v>
      </c>
      <c r="C11" s="60"/>
      <c r="D11" s="89" t="str">
        <f aca="false">IFERROR(C11/$C$5,"")</f>
        <v/>
      </c>
      <c r="E11" s="35" t="n">
        <v>189625</v>
      </c>
      <c r="F11" s="89" t="n">
        <f aca="false">IFERROR(E11/$E$5,"")</f>
        <v>0.000399691569003108</v>
      </c>
      <c r="G11" s="35" t="n">
        <v>484171</v>
      </c>
      <c r="H11" s="89" t="n">
        <f aca="false">IFERROR(G11/$G$5,"")</f>
        <v>0.00089821808033589</v>
      </c>
      <c r="I11" s="35" t="n">
        <v>1489497</v>
      </c>
      <c r="J11" s="89" t="n">
        <f aca="false">IFERROR(I11/$I$5,"")</f>
        <v>0.0026674863617747</v>
      </c>
      <c r="K11" s="35" t="n">
        <v>887177</v>
      </c>
      <c r="L11" s="89" t="n">
        <f aca="false">IFERROR(K11/$K$5,"")</f>
        <v>0.00317809800397124</v>
      </c>
    </row>
    <row r="12" customFormat="false" ht="22.5" hidden="false" customHeight="true" outlineLevel="0" collapsed="false">
      <c r="B12" s="90" t="s">
        <v>129</v>
      </c>
      <c r="C12" s="60"/>
      <c r="D12" s="89" t="str">
        <f aca="false">IFERROR(C12/$C$5,"")</f>
        <v/>
      </c>
      <c r="E12" s="35" t="n">
        <v>9600000</v>
      </c>
      <c r="F12" s="89" t="n">
        <f aca="false">IFERROR(E12/$E$5,"")</f>
        <v>0.0202348796963999</v>
      </c>
      <c r="G12" s="35" t="n">
        <v>9600000</v>
      </c>
      <c r="H12" s="89" t="n">
        <f aca="false">IFERROR(G12/$G$5,"")</f>
        <v>0.0178096035723423</v>
      </c>
      <c r="I12" s="35" t="n">
        <v>14400000</v>
      </c>
      <c r="J12" s="89" t="n">
        <f aca="false">IFERROR(I12/$I$5,"")</f>
        <v>0.0257884397280126</v>
      </c>
      <c r="K12" s="35" t="n">
        <v>6300000</v>
      </c>
      <c r="L12" s="89" t="n">
        <f aca="false">IFERROR(K12/$K$5,"")</f>
        <v>0.0225682331992588</v>
      </c>
    </row>
    <row r="13" customFormat="false" ht="22.5" hidden="false" customHeight="true" outlineLevel="0" collapsed="false">
      <c r="B13" s="90" t="s">
        <v>130</v>
      </c>
      <c r="C13" s="60"/>
      <c r="D13" s="89" t="str">
        <f aca="false">IFERROR(C13/$C$5,"")</f>
        <v/>
      </c>
      <c r="E13" s="35" t="n">
        <v>10104201</v>
      </c>
      <c r="F13" s="89" t="n">
        <f aca="false">IFERROR(E13/$E$5,"")</f>
        <v>0.0212976345482546</v>
      </c>
      <c r="G13" s="35" t="n">
        <v>22242217</v>
      </c>
      <c r="H13" s="89" t="n">
        <f aca="false">IFERROR(G13/$G$5,"")</f>
        <v>0.041263027847918</v>
      </c>
      <c r="I13" s="35" t="n">
        <v>15295210</v>
      </c>
      <c r="J13" s="89" t="n">
        <f aca="false">IFERROR(I13/$I$5,"")</f>
        <v>0.0273916389730761</v>
      </c>
      <c r="K13" s="35" t="n">
        <v>2778916</v>
      </c>
      <c r="L13" s="89" t="n">
        <f aca="false">IFERROR(K13/$K$5,"")</f>
        <v>0.00995479751256373</v>
      </c>
    </row>
    <row r="14" customFormat="false" ht="22.5" hidden="false" customHeight="true" outlineLevel="0" collapsed="false">
      <c r="B14" s="90" t="s">
        <v>131</v>
      </c>
      <c r="C14" s="60"/>
      <c r="D14" s="89" t="str">
        <f aca="false">IFERROR(C14/$C$5,"")</f>
        <v/>
      </c>
      <c r="E14" s="35" t="n">
        <v>2936211</v>
      </c>
      <c r="F14" s="89" t="n">
        <f aca="false">IFERROR(E14/$E$5,"")</f>
        <v>0.0061889454529423</v>
      </c>
      <c r="G14" s="35" t="n">
        <v>3945609</v>
      </c>
      <c r="H14" s="89" t="n">
        <f aca="false">IFERROR(G14/$G$5,"")</f>
        <v>0.00731976376473604</v>
      </c>
      <c r="I14" s="35" t="n">
        <v>3862961</v>
      </c>
      <c r="J14" s="89" t="n">
        <f aca="false">IFERROR(I14/$I$5,"")</f>
        <v>0.00691803728612246</v>
      </c>
      <c r="K14" s="35" t="n">
        <v>1748144</v>
      </c>
      <c r="L14" s="89" t="n">
        <f aca="false">IFERROR(K14/$K$5,"")</f>
        <v>0.00626230499331509</v>
      </c>
    </row>
    <row r="15" customFormat="false" ht="22.5" hidden="false" customHeight="true" outlineLevel="0" collapsed="false">
      <c r="B15" s="90" t="s">
        <v>132</v>
      </c>
      <c r="C15" s="60"/>
      <c r="D15" s="89" t="str">
        <f aca="false">IFERROR(C15/$C$5,"")</f>
        <v/>
      </c>
      <c r="E15" s="35" t="n">
        <v>3911003</v>
      </c>
      <c r="F15" s="89" t="n">
        <f aca="false">IFERROR(E15/$E$5,"")</f>
        <v>0.0082436119997145</v>
      </c>
      <c r="G15" s="35" t="n">
        <v>9294598</v>
      </c>
      <c r="H15" s="89" t="n">
        <f aca="false">IFERROR(G15/$G$5,"")</f>
        <v>0.0172430318483631</v>
      </c>
      <c r="I15" s="35" t="n">
        <v>6349173</v>
      </c>
      <c r="J15" s="89" t="n">
        <f aca="false">IFERROR(I15/$I$5,"")</f>
        <v>0.0113705045300851</v>
      </c>
      <c r="K15" s="35"/>
      <c r="L15" s="89" t="n">
        <f aca="false">IFERROR(K15/$K$5,"")</f>
        <v>0</v>
      </c>
    </row>
    <row r="16" customFormat="false" ht="22.5" hidden="false" customHeight="true" outlineLevel="0" collapsed="false">
      <c r="B16" s="90" t="s">
        <v>133</v>
      </c>
      <c r="C16" s="60"/>
      <c r="D16" s="89" t="str">
        <f aca="false">IFERROR(C16/$C$5,"")</f>
        <v/>
      </c>
      <c r="E16" s="35" t="n">
        <v>4294932</v>
      </c>
      <c r="F16" s="89" t="n">
        <f aca="false">IFERROR(E16/$E$5,"")</f>
        <v>0.00905285753377274</v>
      </c>
      <c r="G16" s="35" t="n">
        <v>4554982</v>
      </c>
      <c r="H16" s="89" t="n">
        <f aca="false">IFERROR(G16/$G$5,"")</f>
        <v>0.00845025246866197</v>
      </c>
      <c r="I16" s="35" t="n">
        <v>7249573</v>
      </c>
      <c r="J16" s="89" t="n">
        <f aca="false">IFERROR(I16/$I$5,"")</f>
        <v>0.0129829983586339</v>
      </c>
      <c r="K16" s="35" t="n">
        <v>4352502</v>
      </c>
      <c r="L16" s="89" t="n">
        <f aca="false">IFERROR(K16/$K$5,"")</f>
        <v>0.0155917904978159</v>
      </c>
    </row>
    <row r="17" customFormat="false" ht="22.5" hidden="false" customHeight="true" outlineLevel="0" collapsed="false">
      <c r="B17" s="90" t="s">
        <v>134</v>
      </c>
      <c r="C17" s="60"/>
      <c r="D17" s="89" t="str">
        <f aca="false">IFERROR(C17/$C$5,"")</f>
        <v/>
      </c>
      <c r="E17" s="35" t="n">
        <v>8230492</v>
      </c>
      <c r="F17" s="89" t="n">
        <f aca="false">IFERROR(E17/$E$5,"")</f>
        <v>0.0173482307773106</v>
      </c>
      <c r="G17" s="35" t="n">
        <v>19460488</v>
      </c>
      <c r="H17" s="89" t="n">
        <f aca="false">IFERROR(G17/$G$5,"")</f>
        <v>0.0361024558962838</v>
      </c>
      <c r="I17" s="35" t="n">
        <v>33248832</v>
      </c>
      <c r="J17" s="89" t="n">
        <f aca="false">IFERROR(I17/$I$5,"")</f>
        <v>0.059544131948529</v>
      </c>
      <c r="K17" s="35" t="n">
        <v>19879129</v>
      </c>
      <c r="L17" s="89" t="n">
        <f aca="false">IFERROR(K17/$K$5,"")</f>
        <v>0.0712121935031982</v>
      </c>
    </row>
    <row r="18" customFormat="false" ht="22.5" hidden="false" customHeight="true" outlineLevel="0" collapsed="false">
      <c r="B18" s="90" t="s">
        <v>135</v>
      </c>
      <c r="C18" s="60"/>
      <c r="D18" s="89" t="str">
        <f aca="false">IFERROR(C18/$C$5,"")</f>
        <v/>
      </c>
      <c r="E18" s="35" t="n">
        <v>468295</v>
      </c>
      <c r="F18" s="89" t="n">
        <f aca="false">IFERROR(E18/$E$5,"")</f>
        <v>0.000987072186190166</v>
      </c>
      <c r="G18" s="35" t="n">
        <v>1088033</v>
      </c>
      <c r="H18" s="89" t="n">
        <f aca="false">IFERROR(G18/$G$5,"")</f>
        <v>0.00201848295871107</v>
      </c>
      <c r="I18" s="35" t="n">
        <v>275210</v>
      </c>
      <c r="J18" s="89" t="n">
        <f aca="false">IFERROR(I18/$I$5,"")</f>
        <v>0.000492863645662941</v>
      </c>
      <c r="K18" s="35" t="n">
        <v>243111</v>
      </c>
      <c r="L18" s="89" t="n">
        <f aca="false">IFERROR(K18/$K$5,"")</f>
        <v>0.000870886625603969</v>
      </c>
    </row>
    <row r="19" customFormat="false" ht="22.5" hidden="false" customHeight="true" outlineLevel="0" collapsed="false">
      <c r="B19" s="90" t="s">
        <v>136</v>
      </c>
      <c r="C19" s="60"/>
      <c r="D19" s="89" t="str">
        <f aca="false">IFERROR(C19/$C$5,"")</f>
        <v/>
      </c>
      <c r="E19" s="35" t="n">
        <v>9801863</v>
      </c>
      <c r="F19" s="89" t="n">
        <f aca="false">IFERROR(E19/$E$5,"")</f>
        <v>0.020660366521416</v>
      </c>
      <c r="G19" s="35" t="n">
        <v>6407354</v>
      </c>
      <c r="H19" s="89" t="n">
        <f aca="false">IFERROR(G19/$G$5,"")</f>
        <v>0.0118867119466314</v>
      </c>
      <c r="I19" s="35" t="n">
        <v>4371794</v>
      </c>
      <c r="J19" s="89" t="n">
        <f aca="false">IFERROR(I19/$I$5,"")</f>
        <v>0.00782928792168661</v>
      </c>
      <c r="K19" s="35" t="n">
        <v>1558723</v>
      </c>
      <c r="L19" s="89" t="n">
        <f aca="false">IFERROR(K19/$K$5,"")</f>
        <v>0.00558374986619814</v>
      </c>
    </row>
    <row r="20" customFormat="false" ht="22.5" hidden="false" customHeight="true" outlineLevel="0" collapsed="false">
      <c r="B20" s="90" t="s">
        <v>137</v>
      </c>
      <c r="C20" s="60"/>
      <c r="D20" s="89" t="str">
        <f aca="false">IFERROR(C20/$C$5,"")</f>
        <v/>
      </c>
      <c r="E20" s="35" t="n">
        <v>2455532</v>
      </c>
      <c r="F20" s="89" t="n">
        <f aca="false">IFERROR(E20/$E$5,"")</f>
        <v>0.00517577027194378</v>
      </c>
      <c r="G20" s="35" t="n">
        <v>2672628</v>
      </c>
      <c r="H20" s="89" t="n">
        <f aca="false">IFERROR(G20/$G$5,"")</f>
        <v>0.00495817137253563</v>
      </c>
      <c r="I20" s="35" t="n">
        <v>3045340</v>
      </c>
      <c r="J20" s="89" t="n">
        <f aca="false">IFERROR(I20/$I$5,"")</f>
        <v>0.00545378937786847</v>
      </c>
      <c r="K20" s="35" t="n">
        <v>2149718</v>
      </c>
      <c r="L20" s="89" t="n">
        <f aca="false">IFERROR(K20/$K$5,"")</f>
        <v>0.0077008471645467</v>
      </c>
    </row>
    <row r="21" customFormat="false" ht="22.5" hidden="false" customHeight="true" outlineLevel="0" collapsed="false">
      <c r="B21" s="90" t="s">
        <v>138</v>
      </c>
      <c r="C21" s="60"/>
      <c r="D21" s="89" t="str">
        <f aca="false">IFERROR(C21/$C$5,"")</f>
        <v/>
      </c>
      <c r="E21" s="35" t="n">
        <v>2958090</v>
      </c>
      <c r="F21" s="89" t="n">
        <f aca="false">IFERROR(E21/$E$5,"")</f>
        <v>0.00623506200845038</v>
      </c>
      <c r="G21" s="35" t="n">
        <v>3148822</v>
      </c>
      <c r="H21" s="89" t="n">
        <f aca="false">IFERROR(G21/$G$5,"")</f>
        <v>0.00584159078540313</v>
      </c>
      <c r="I21" s="35" t="n">
        <v>3940893</v>
      </c>
      <c r="J21" s="89" t="n">
        <f aca="false">IFERROR(I21/$I$5,"")</f>
        <v>0.00705760288923936</v>
      </c>
      <c r="K21" s="35" t="n">
        <v>1714053</v>
      </c>
      <c r="L21" s="89" t="n">
        <f aca="false">IFERROR(K21/$K$5,"")</f>
        <v>0.0061401821936332</v>
      </c>
    </row>
    <row r="22" customFormat="false" ht="22.5" hidden="false" customHeight="true" outlineLevel="0" collapsed="false">
      <c r="B22" s="90" t="s">
        <v>139</v>
      </c>
      <c r="C22" s="60"/>
      <c r="D22" s="89" t="str">
        <f aca="false">IFERROR(C22/$C$5,"")</f>
        <v/>
      </c>
      <c r="E22" s="35" t="n">
        <v>8881475</v>
      </c>
      <c r="F22" s="89" t="n">
        <f aca="false">IFERROR(E22/$E$5,"")</f>
        <v>0.0187203727241233</v>
      </c>
      <c r="G22" s="35" t="n">
        <v>10506364</v>
      </c>
      <c r="H22" s="89" t="n">
        <f aca="false">IFERROR(G22/$G$5,"")</f>
        <v>0.0194910601902842</v>
      </c>
      <c r="I22" s="35" t="n">
        <v>20061210</v>
      </c>
      <c r="J22" s="89" t="n">
        <f aca="false">IFERROR(I22/$I$5,"")</f>
        <v>0.0359268961775003</v>
      </c>
      <c r="K22" s="35" t="n">
        <v>5281078</v>
      </c>
      <c r="L22" s="89" t="n">
        <f aca="false">IFERROR(K22/$K$5,"")</f>
        <v>0.0189181904519802</v>
      </c>
    </row>
    <row r="23" customFormat="false" ht="22.5" hidden="false" customHeight="true" outlineLevel="0" collapsed="false">
      <c r="B23" s="90" t="s">
        <v>140</v>
      </c>
      <c r="C23" s="60"/>
      <c r="D23" s="89" t="str">
        <f aca="false">IFERROR(C23/$C$5,"")</f>
        <v/>
      </c>
      <c r="E23" s="35" t="n">
        <v>8453145</v>
      </c>
      <c r="F23" s="89" t="n">
        <f aca="false">IFERROR(E23/$E$5,"")</f>
        <v>0.0178175387636692</v>
      </c>
      <c r="G23" s="35" t="n">
        <v>10229520</v>
      </c>
      <c r="H23" s="89" t="n">
        <f aca="false">IFERROR(G23/$G$5,"")</f>
        <v>0.0189774683265986</v>
      </c>
      <c r="I23" s="35" t="n">
        <v>8217611</v>
      </c>
      <c r="J23" s="89" t="n">
        <f aca="false">IFERROR(I23/$I$5,"")</f>
        <v>0.0147166226376218</v>
      </c>
      <c r="K23" s="35" t="n">
        <v>4409532</v>
      </c>
      <c r="L23" s="89" t="n">
        <f aca="false">IFERROR(K23/$K$5,"")</f>
        <v>0.0157960867421578</v>
      </c>
    </row>
    <row r="24" customFormat="false" ht="22.5" hidden="false" customHeight="true" outlineLevel="0" collapsed="false">
      <c r="B24" s="90" t="s">
        <v>141</v>
      </c>
      <c r="C24" s="60"/>
      <c r="D24" s="89" t="str">
        <f aca="false">IFERROR(C24/$C$5,"")</f>
        <v/>
      </c>
      <c r="E24" s="35" t="n">
        <v>2411203</v>
      </c>
      <c r="F24" s="89" t="n">
        <f aca="false">IFERROR(E24/$E$5,"")</f>
        <v>0.00508233360714568</v>
      </c>
      <c r="G24" s="35" t="n">
        <v>4218242</v>
      </c>
      <c r="H24" s="89" t="n">
        <f aca="false">IFERROR(G24/$G$5,"")</f>
        <v>0.00782554352002128</v>
      </c>
      <c r="I24" s="35" t="n">
        <v>3876512</v>
      </c>
      <c r="J24" s="89" t="n">
        <f aca="false">IFERROR(I24/$I$5,"")</f>
        <v>0.00694230528242484</v>
      </c>
      <c r="K24" s="35" t="n">
        <v>1726252</v>
      </c>
      <c r="L24" s="89" t="n">
        <f aca="false">IFERROR(K24/$K$5,"")</f>
        <v>0.00618388217407729</v>
      </c>
    </row>
    <row r="25" customFormat="false" ht="22.5" hidden="false" customHeight="true" outlineLevel="0" collapsed="false">
      <c r="B25" s="90" t="s">
        <v>142</v>
      </c>
      <c r="C25" s="60"/>
      <c r="D25" s="89" t="str">
        <f aca="false">IFERROR(C25/$C$5,"")</f>
        <v/>
      </c>
      <c r="E25" s="35" t="n">
        <v>12485436</v>
      </c>
      <c r="F25" s="89" t="n">
        <f aca="false">IFERROR(E25/$E$5,"")</f>
        <v>0.026316801605948</v>
      </c>
      <c r="G25" s="35" t="n">
        <v>14036551</v>
      </c>
      <c r="H25" s="89" t="n">
        <f aca="false">IFERROR(G25/$G$5,"")</f>
        <v>0.0260401467534338</v>
      </c>
      <c r="I25" s="35" t="n">
        <v>8462064</v>
      </c>
      <c r="J25" s="89" t="n">
        <f aca="false">IFERROR(I25/$I$5,"")</f>
        <v>0.0151544046832351</v>
      </c>
      <c r="K25" s="35" t="n">
        <v>4361180</v>
      </c>
      <c r="L25" s="89" t="n">
        <f aca="false">IFERROR(K25/$K$5,"")</f>
        <v>0.0156228773434831</v>
      </c>
    </row>
    <row r="26" customFormat="false" ht="22.5" hidden="false" customHeight="true" outlineLevel="0" collapsed="false">
      <c r="B26" s="90" t="s">
        <v>143</v>
      </c>
      <c r="C26" s="60"/>
      <c r="D26" s="89" t="str">
        <f aca="false">IFERROR(C26/$C$5,"")</f>
        <v/>
      </c>
      <c r="E26" s="35" t="n">
        <v>5563800</v>
      </c>
      <c r="F26" s="89" t="n">
        <f aca="false">IFERROR(E26/$E$5,"")</f>
        <v>0.0117273774640448</v>
      </c>
      <c r="G26" s="35" t="n">
        <v>5027000</v>
      </c>
      <c r="H26" s="89" t="n">
        <f aca="false">IFERROR(G26/$G$5,"")</f>
        <v>0.00932592470397549</v>
      </c>
      <c r="I26" s="35" t="n">
        <v>5797000</v>
      </c>
      <c r="J26" s="89" t="n">
        <f aca="false">IFERROR(I26/$I$5,"")</f>
        <v>0.0103816378543951</v>
      </c>
      <c r="K26" s="35" t="n">
        <v>3197700</v>
      </c>
      <c r="L26" s="89" t="n">
        <f aca="false">IFERROR(K26/$K$5,"")</f>
        <v>0.0114549903652809</v>
      </c>
    </row>
    <row r="27" customFormat="false" ht="22.5" hidden="false" customHeight="true" outlineLevel="0" collapsed="false">
      <c r="B27" s="90" t="s">
        <v>144</v>
      </c>
      <c r="C27" s="60"/>
      <c r="D27" s="89" t="str">
        <f aca="false">IFERROR(C27/$C$5,"")</f>
        <v/>
      </c>
      <c r="E27" s="35" t="n">
        <v>7152851</v>
      </c>
      <c r="F27" s="89" t="n">
        <f aca="false">IFERROR(E27/$E$5,"")</f>
        <v>0.015076779111591</v>
      </c>
      <c r="G27" s="35" t="n">
        <v>11861229</v>
      </c>
      <c r="H27" s="89" t="n">
        <f aca="false">IFERROR(G27/$G$5,"")</f>
        <v>0.0220045610802886</v>
      </c>
      <c r="I27" s="35" t="n">
        <v>14452516</v>
      </c>
      <c r="J27" s="89" t="n">
        <f aca="false">IFERROR(I27/$I$5,"")</f>
        <v>0.0258824887350096</v>
      </c>
      <c r="K27" s="35" t="n">
        <v>6927603</v>
      </c>
      <c r="L27" s="89" t="n">
        <f aca="false">IFERROR(K27/$K$5,"")</f>
        <v>0.0248164698437913</v>
      </c>
    </row>
    <row r="28" customFormat="false" ht="22.5" hidden="false" customHeight="true" outlineLevel="0" collapsed="false">
      <c r="B28" s="90" t="s">
        <v>145</v>
      </c>
      <c r="C28" s="60"/>
      <c r="D28" s="89" t="str">
        <f aca="false">IFERROR(C28/$C$5,"")</f>
        <v/>
      </c>
      <c r="E28" s="35" t="n">
        <v>24000</v>
      </c>
      <c r="F28" s="89" t="n">
        <f aca="false">IFERROR(E28/$E$5,"")</f>
        <v>5.05871992409998E-005</v>
      </c>
      <c r="G28" s="35" t="n">
        <v>24000</v>
      </c>
      <c r="H28" s="89" t="n">
        <f aca="false">IFERROR(G28/$G$5,"")</f>
        <v>4.45240089308558E-005</v>
      </c>
      <c r="I28" s="35" t="n">
        <v>16500</v>
      </c>
      <c r="J28" s="89" t="n">
        <f aca="false">IFERROR(I28/$I$5,"")</f>
        <v>2.95492538550145E-005</v>
      </c>
      <c r="K28" s="35" t="n">
        <v>4000</v>
      </c>
      <c r="L28" s="89" t="n">
        <f aca="false">IFERROR(K28/$K$5,"")</f>
        <v>1.43290369519104E-005</v>
      </c>
    </row>
    <row r="29" customFormat="false" ht="22.5" hidden="false" customHeight="true" outlineLevel="0" collapsed="false">
      <c r="B29" s="90" t="s">
        <v>146</v>
      </c>
      <c r="C29" s="60"/>
      <c r="D29" s="89" t="str">
        <f aca="false">IFERROR(C29/$C$5,"")</f>
        <v/>
      </c>
      <c r="E29" s="35" t="n">
        <v>626896</v>
      </c>
      <c r="F29" s="89" t="n">
        <f aca="false">IFERROR(E29/$E$5,"")</f>
        <v>0.00132137136897441</v>
      </c>
      <c r="G29" s="35" t="n">
        <v>446867</v>
      </c>
      <c r="H29" s="89" t="n">
        <f aca="false">IFERROR(G29/$G$5,"")</f>
        <v>0.00082901292912103</v>
      </c>
      <c r="I29" s="35" t="n">
        <v>512955</v>
      </c>
      <c r="J29" s="89" t="n">
        <f aca="false">IFERROR(I29/$I$5,"")</f>
        <v>0.0009186325764363</v>
      </c>
      <c r="K29" s="35" t="n">
        <v>258439</v>
      </c>
      <c r="L29" s="89" t="n">
        <f aca="false">IFERROR(K29/$K$5,"")</f>
        <v>0.00092579549520369</v>
      </c>
    </row>
    <row r="30" customFormat="false" ht="22.5" hidden="false" customHeight="true" outlineLevel="0" collapsed="false">
      <c r="B30" s="90" t="s">
        <v>147</v>
      </c>
      <c r="C30" s="60"/>
      <c r="D30" s="89" t="str">
        <f aca="false">IFERROR(C30/$C$5,"")</f>
        <v/>
      </c>
      <c r="E30" s="35"/>
      <c r="F30" s="89" t="n">
        <f aca="false">IFERROR(E30/$E$5,"")</f>
        <v>0</v>
      </c>
      <c r="G30" s="35" t="n">
        <v>103345</v>
      </c>
      <c r="H30" s="89" t="n">
        <f aca="false">IFERROR(G30/$G$5,"")</f>
        <v>0.000191722237623304</v>
      </c>
      <c r="I30" s="35" t="n">
        <v>173500</v>
      </c>
      <c r="J30" s="89" t="n">
        <f aca="false">IFERROR(I30/$I$5,"")</f>
        <v>0.000310714881445152</v>
      </c>
      <c r="K30" s="35" t="n">
        <v>88900</v>
      </c>
      <c r="L30" s="89" t="n">
        <f aca="false">IFERROR(K30/$K$5,"")</f>
        <v>0.000318462846256208</v>
      </c>
    </row>
    <row r="31" customFormat="false" ht="22.5" hidden="false" customHeight="true" outlineLevel="0" collapsed="false">
      <c r="B31" s="90" t="s">
        <v>148</v>
      </c>
      <c r="C31" s="60"/>
      <c r="D31" s="89" t="str">
        <f aca="false">IFERROR(C31/$C$5,"")</f>
        <v/>
      </c>
      <c r="E31" s="35" t="n">
        <v>3334480</v>
      </c>
      <c r="F31" s="89" t="n">
        <f aca="false">IFERROR(E31/$E$5,"")</f>
        <v>0.00702841683854704</v>
      </c>
      <c r="G31" s="35" t="n">
        <v>5436149</v>
      </c>
      <c r="H31" s="89" t="n">
        <f aca="false">IFERROR(G31/$G$5,"")</f>
        <v>0.0100849644427276</v>
      </c>
      <c r="I31" s="35" t="n">
        <v>4666766</v>
      </c>
      <c r="J31" s="89" t="n">
        <f aca="false">IFERROR(I31/$I$5,"")</f>
        <v>0.00835754261914851</v>
      </c>
      <c r="K31" s="35" t="n">
        <v>2718158</v>
      </c>
      <c r="L31" s="89" t="n">
        <f aca="false">IFERROR(K31/$K$5,"")</f>
        <v>0.00973714660578269</v>
      </c>
    </row>
    <row r="32" customFormat="false" ht="22.5" hidden="false" customHeight="true" outlineLevel="0" collapsed="false">
      <c r="B32" s="90"/>
      <c r="C32" s="60"/>
      <c r="D32" s="89" t="str">
        <f aca="false">IFERROR(C32/$C$5,"")</f>
        <v/>
      </c>
      <c r="E32" s="35"/>
      <c r="F32" s="89" t="n">
        <f aca="false">IFERROR(E32/$E$5,"")</f>
        <v>0</v>
      </c>
      <c r="G32" s="35"/>
      <c r="H32" s="89" t="n">
        <f aca="false">IFERROR(G32/$G$5,"")</f>
        <v>0</v>
      </c>
      <c r="I32" s="35"/>
      <c r="J32" s="89" t="n">
        <f aca="false">IFERROR(I32/$I$5,"")</f>
        <v>0</v>
      </c>
      <c r="K32" s="35"/>
      <c r="L32" s="89" t="n">
        <f aca="false">IFERROR(K32/$K$5,"")</f>
        <v>0</v>
      </c>
    </row>
    <row r="33" customFormat="false" ht="22.5" hidden="false" customHeight="true" outlineLevel="0" collapsed="false">
      <c r="B33" s="90"/>
      <c r="C33" s="60"/>
      <c r="D33" s="89" t="str">
        <f aca="false">IFERROR(C33/$C$5,"")</f>
        <v/>
      </c>
      <c r="E33" s="35"/>
      <c r="F33" s="89" t="n">
        <f aca="false">IFERROR(E33/$E$5,"")</f>
        <v>0</v>
      </c>
      <c r="G33" s="35"/>
      <c r="H33" s="89" t="n">
        <f aca="false">IFERROR(G33/$G$5,"")</f>
        <v>0</v>
      </c>
      <c r="I33" s="35"/>
      <c r="J33" s="89" t="n">
        <f aca="false">IFERROR(I33/$I$5,"")</f>
        <v>0</v>
      </c>
      <c r="K33" s="35"/>
      <c r="L33" s="89" t="n">
        <f aca="false">IFERROR(K33/$K$5,"")</f>
        <v>0</v>
      </c>
    </row>
    <row r="34" customFormat="false" ht="22.5" hidden="false" customHeight="true" outlineLevel="0" collapsed="false">
      <c r="B34" s="90"/>
      <c r="C34" s="60"/>
      <c r="D34" s="89" t="str">
        <f aca="false">IFERROR(C34/$C$5,"")</f>
        <v/>
      </c>
      <c r="E34" s="35"/>
      <c r="F34" s="89" t="n">
        <f aca="false">IFERROR(E34/$E$5,"")</f>
        <v>0</v>
      </c>
      <c r="G34" s="35"/>
      <c r="H34" s="89" t="n">
        <f aca="false">IFERROR(G34/$G$5,"")</f>
        <v>0</v>
      </c>
      <c r="I34" s="35"/>
      <c r="J34" s="89" t="n">
        <f aca="false">IFERROR(I34/$I$5,"")</f>
        <v>0</v>
      </c>
      <c r="K34" s="35"/>
      <c r="L34" s="89" t="n">
        <f aca="false">IFERROR(K34/$K$5,"")</f>
        <v>0</v>
      </c>
    </row>
    <row r="35" customFormat="false" ht="22.5" hidden="false" customHeight="true" outlineLevel="0" collapsed="false">
      <c r="B35" s="90"/>
      <c r="C35" s="60"/>
      <c r="D35" s="89" t="str">
        <f aca="false">IFERROR(C35/$C$5,"")</f>
        <v/>
      </c>
      <c r="E35" s="35"/>
      <c r="F35" s="89" t="n">
        <f aca="false">IFERROR(E35/$E$5,"")</f>
        <v>0</v>
      </c>
      <c r="G35" s="35"/>
      <c r="H35" s="89" t="n">
        <f aca="false">IFERROR(G35/$G$5,"")</f>
        <v>0</v>
      </c>
      <c r="I35" s="35"/>
      <c r="J35" s="89" t="n">
        <f aca="false">IFERROR(I35/$I$5,"")</f>
        <v>0</v>
      </c>
      <c r="K35" s="35"/>
      <c r="L35" s="89" t="n">
        <f aca="false">IFERROR(K35/$K$5,"")</f>
        <v>0</v>
      </c>
    </row>
    <row r="36" customFormat="false" ht="22.5" hidden="false" customHeight="true" outlineLevel="0" collapsed="false">
      <c r="B36" s="90"/>
      <c r="C36" s="60"/>
      <c r="D36" s="89" t="str">
        <f aca="false">IFERROR(C36/$C$5,"")</f>
        <v/>
      </c>
      <c r="E36" s="35"/>
      <c r="F36" s="89" t="n">
        <f aca="false">IFERROR(E36/$E$5,"")</f>
        <v>0</v>
      </c>
      <c r="G36" s="35"/>
      <c r="H36" s="89" t="n">
        <f aca="false">IFERROR(G36/$G$5,"")</f>
        <v>0</v>
      </c>
      <c r="I36" s="35"/>
      <c r="J36" s="89" t="n">
        <f aca="false">IFERROR(I36/$I$5,"")</f>
        <v>0</v>
      </c>
      <c r="K36" s="35"/>
      <c r="L36" s="89" t="n">
        <f aca="false">IFERROR(K36/$K$5,"")</f>
        <v>0</v>
      </c>
    </row>
    <row r="37" customFormat="false" ht="22.5" hidden="false" customHeight="true" outlineLevel="0" collapsed="false">
      <c r="B37" s="90"/>
      <c r="C37" s="60"/>
      <c r="D37" s="89" t="str">
        <f aca="false">IFERROR(C37/$C$5,"")</f>
        <v/>
      </c>
      <c r="E37" s="35"/>
      <c r="F37" s="89" t="n">
        <f aca="false">IFERROR(E37/$E$5,"")</f>
        <v>0</v>
      </c>
      <c r="G37" s="35"/>
      <c r="H37" s="89" t="n">
        <f aca="false">IFERROR(G37/$G$5,"")</f>
        <v>0</v>
      </c>
      <c r="I37" s="35"/>
      <c r="J37" s="89" t="n">
        <f aca="false">IFERROR(I37/$I$5,"")</f>
        <v>0</v>
      </c>
      <c r="K37" s="35"/>
      <c r="L37" s="89" t="n">
        <f aca="false">IFERROR(K37/$K$5,"")</f>
        <v>0</v>
      </c>
    </row>
    <row r="38" customFormat="false" ht="22.5" hidden="false" customHeight="true" outlineLevel="0" collapsed="false">
      <c r="B38" s="90"/>
      <c r="C38" s="60"/>
      <c r="D38" s="89" t="str">
        <f aca="false">IFERROR(C38/$C$5,"")</f>
        <v/>
      </c>
      <c r="E38" s="35"/>
      <c r="F38" s="89" t="n">
        <f aca="false">IFERROR(E38/$E$5,"")</f>
        <v>0</v>
      </c>
      <c r="G38" s="35"/>
      <c r="H38" s="89" t="n">
        <f aca="false">IFERROR(G38/$G$5,"")</f>
        <v>0</v>
      </c>
      <c r="I38" s="35"/>
      <c r="J38" s="89" t="n">
        <f aca="false">IFERROR(I38/$I$5,"")</f>
        <v>0</v>
      </c>
      <c r="K38" s="35"/>
      <c r="L38" s="89" t="n">
        <f aca="false">IFERROR(K38/$K$5,"")</f>
        <v>0</v>
      </c>
    </row>
    <row r="39" customFormat="false" ht="22.5" hidden="false" customHeight="true" outlineLevel="0" collapsed="false">
      <c r="B39" s="90"/>
      <c r="C39" s="60"/>
      <c r="D39" s="89" t="str">
        <f aca="false">IFERROR(C39/$C$5,"")</f>
        <v/>
      </c>
      <c r="E39" s="35"/>
      <c r="F39" s="89" t="n">
        <f aca="false">IFERROR(E39/$E$5,"")</f>
        <v>0</v>
      </c>
      <c r="G39" s="35"/>
      <c r="H39" s="89" t="n">
        <f aca="false">IFERROR(G39/$G$5,"")</f>
        <v>0</v>
      </c>
      <c r="I39" s="35"/>
      <c r="J39" s="89" t="n">
        <f aca="false">IFERROR(I39/$I$5,"")</f>
        <v>0</v>
      </c>
      <c r="K39" s="35"/>
      <c r="L39" s="89" t="n">
        <f aca="false">IFERROR(K39/$K$5,"")</f>
        <v>0</v>
      </c>
    </row>
    <row r="40" customFormat="false" ht="22.5" hidden="false" customHeight="true" outlineLevel="0" collapsed="false">
      <c r="B40" s="136" t="s">
        <v>149</v>
      </c>
      <c r="C40" s="137" t="n">
        <f aca="false">SUM(C6:C39)</f>
        <v>0</v>
      </c>
      <c r="D40" s="138" t="str">
        <f aca="false">IFERROR(C40/C5,"")</f>
        <v/>
      </c>
      <c r="E40" s="139" t="n">
        <f aca="false">SUM(E6:E39)</f>
        <v>290037494</v>
      </c>
      <c r="F40" s="138" t="n">
        <f aca="false">IFERROR(E40/E5,"")</f>
        <v>0.611341020680762</v>
      </c>
      <c r="G40" s="139" t="n">
        <f aca="false">SUM(G6:G39)</f>
        <v>339909050</v>
      </c>
      <c r="H40" s="138" t="n">
        <f aca="false">IFERROR(G40/G5,"")</f>
        <v>0.630588065744946</v>
      </c>
      <c r="I40" s="139" t="n">
        <f aca="false">SUM(I6:I39)</f>
        <v>349576223</v>
      </c>
      <c r="J40" s="138" t="n">
        <f aca="false">IFERROR(I40/I5,"")</f>
        <v>0.626043427582069</v>
      </c>
      <c r="K40" s="139" t="n">
        <f aca="false">SUM(K6:K39)</f>
        <v>167754348</v>
      </c>
      <c r="L40" s="138" t="n">
        <f aca="false">IFERROR(K40/K5,"")</f>
        <v>0.600939562833907</v>
      </c>
    </row>
    <row r="41" customFormat="false" ht="18" hidden="false" customHeight="true" outlineLevel="0" collapsed="false">
      <c r="B41" s="46"/>
      <c r="C41" s="131"/>
      <c r="D41" s="19"/>
      <c r="E41" s="133"/>
      <c r="F41" s="19"/>
      <c r="G41" s="133"/>
      <c r="H41" s="19"/>
      <c r="I41" s="133"/>
      <c r="J41" s="19"/>
      <c r="K41" s="133"/>
      <c r="L41" s="19"/>
    </row>
    <row r="42" customFormat="false" ht="18" hidden="false" customHeight="true" outlineLevel="0" collapsed="false">
      <c r="B42" s="46"/>
      <c r="C42" s="131"/>
      <c r="D42" s="19"/>
      <c r="E42" s="133"/>
      <c r="F42" s="19"/>
      <c r="G42" s="133"/>
      <c r="H42" s="19"/>
      <c r="I42" s="133"/>
      <c r="J42" s="19"/>
      <c r="K42" s="133"/>
      <c r="L42" s="19"/>
    </row>
    <row r="43" customFormat="false" ht="18" hidden="false" customHeight="true" outlineLevel="0" collapsed="false">
      <c r="B43" s="46"/>
      <c r="C43" s="131"/>
      <c r="D43" s="19"/>
      <c r="E43" s="133"/>
      <c r="F43" s="19"/>
      <c r="G43" s="133"/>
      <c r="H43" s="19"/>
      <c r="I43" s="133"/>
      <c r="J43" s="19"/>
      <c r="K43" s="133"/>
      <c r="L43" s="19"/>
    </row>
    <row r="44" customFormat="false" ht="18" hidden="false" customHeight="true" outlineLevel="0" collapsed="false">
      <c r="B44" s="46"/>
      <c r="C44" s="131"/>
      <c r="D44" s="19"/>
      <c r="E44" s="133"/>
      <c r="F44" s="19"/>
      <c r="G44" s="133"/>
      <c r="H44" s="19"/>
      <c r="I44" s="133"/>
      <c r="J44" s="19"/>
      <c r="K44" s="133"/>
      <c r="L44" s="19"/>
    </row>
    <row r="45" customFormat="false" ht="18" hidden="false" customHeight="true" outlineLevel="0" collapsed="false">
      <c r="B45" s="46"/>
      <c r="C45" s="131"/>
      <c r="D45" s="19"/>
      <c r="E45" s="133"/>
      <c r="F45" s="19"/>
      <c r="G45" s="133"/>
      <c r="H45" s="19"/>
      <c r="I45" s="133"/>
      <c r="J45" s="19"/>
      <c r="K45" s="133"/>
      <c r="L45" s="19"/>
    </row>
    <row r="46" customFormat="false" ht="18" hidden="false" customHeight="true" outlineLevel="0" collapsed="false">
      <c r="B46" s="46"/>
      <c r="C46" s="131"/>
      <c r="D46" s="19"/>
      <c r="E46" s="133"/>
      <c r="F46" s="19"/>
      <c r="G46" s="133"/>
      <c r="H46" s="19"/>
      <c r="I46" s="133"/>
      <c r="J46" s="19"/>
      <c r="K46" s="133"/>
      <c r="L46" s="19"/>
    </row>
    <row r="47" customFormat="false" ht="18" hidden="false" customHeight="true" outlineLevel="0" collapsed="false">
      <c r="B47" s="46"/>
      <c r="C47" s="131"/>
      <c r="D47" s="19"/>
      <c r="E47" s="133"/>
      <c r="F47" s="19"/>
      <c r="G47" s="133"/>
      <c r="H47" s="19"/>
      <c r="I47" s="133"/>
      <c r="J47" s="19"/>
      <c r="K47" s="133"/>
      <c r="L47" s="19"/>
    </row>
    <row r="48" customFormat="false" ht="18" hidden="false" customHeight="true" outlineLevel="0" collapsed="false">
      <c r="B48" s="46"/>
      <c r="C48" s="131"/>
      <c r="D48" s="19"/>
      <c r="E48" s="133"/>
      <c r="F48" s="19"/>
      <c r="G48" s="133"/>
      <c r="H48" s="19"/>
      <c r="I48" s="133"/>
      <c r="J48" s="19"/>
      <c r="K48" s="133"/>
      <c r="L48" s="19"/>
    </row>
    <row r="49" customFormat="false" ht="18" hidden="false" customHeight="true" outlineLevel="0" collapsed="false">
      <c r="C49" s="43"/>
      <c r="E49" s="43"/>
      <c r="G49" s="43"/>
      <c r="I49" s="76"/>
      <c r="K49" s="43"/>
    </row>
    <row r="50" customFormat="false" ht="18" hidden="false" customHeight="true" outlineLevel="0" collapsed="false">
      <c r="C50" s="43"/>
      <c r="E50" s="43"/>
      <c r="G50" s="43"/>
      <c r="I50" s="76"/>
      <c r="K50" s="43"/>
    </row>
    <row r="51" customFormat="false" ht="18" hidden="false" customHeight="true" outlineLevel="0" collapsed="false">
      <c r="C51" s="43"/>
      <c r="E51" s="43"/>
      <c r="G51" s="43"/>
      <c r="I51" s="76"/>
      <c r="K51" s="43"/>
    </row>
    <row r="52" customFormat="false" ht="18" hidden="false" customHeight="true" outlineLevel="0" collapsed="false">
      <c r="C52" s="43"/>
      <c r="E52" s="43"/>
      <c r="G52" s="43"/>
      <c r="I52" s="76"/>
      <c r="K52" s="43"/>
    </row>
    <row r="53" customFormat="false" ht="18" hidden="false" customHeight="true" outlineLevel="0" collapsed="false">
      <c r="C53" s="43"/>
      <c r="E53" s="43"/>
      <c r="G53" s="43"/>
      <c r="I53" s="76"/>
      <c r="K53" s="43"/>
    </row>
    <row r="54" customFormat="false" ht="18" hidden="false" customHeight="true" outlineLevel="0" collapsed="false">
      <c r="C54" s="43"/>
      <c r="E54" s="43"/>
    </row>
  </sheetData>
  <mergeCells count="6">
    <mergeCell ref="B3:B4"/>
    <mergeCell ref="C3:D3"/>
    <mergeCell ref="E3:F3"/>
    <mergeCell ref="G3:H3"/>
    <mergeCell ref="I3:J3"/>
    <mergeCell ref="K3:L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44464"/>
    <pageSetUpPr fitToPage="false"/>
  </sheetPr>
  <dimension ref="A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J21" activeCellId="0" sqref="J21"/>
    </sheetView>
  </sheetViews>
  <sheetFormatPr defaultColWidth="8.5390625" defaultRowHeight="18"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2" min="2" style="20" width="32"/>
    <col collapsed="false" customWidth="true" hidden="false" outlineLevel="0" max="3" min="3" style="20" width="14"/>
    <col collapsed="false" customWidth="true" hidden="false" outlineLevel="0" max="4" min="4" style="20" width="80"/>
  </cols>
  <sheetData>
    <row r="2" customFormat="false" ht="15" hidden="false" customHeight="true" outlineLevel="0" collapsed="false">
      <c r="B2" s="140" t="s">
        <v>150</v>
      </c>
    </row>
    <row r="3" customFormat="false" ht="15" hidden="false" customHeight="true" outlineLevel="0" collapsed="false">
      <c r="B3" s="141" t="s">
        <v>151</v>
      </c>
    </row>
    <row r="4" customFormat="false" ht="15" hidden="false" customHeight="true" outlineLevel="0" collapsed="false">
      <c r="C4" s="142" t="s">
        <v>152</v>
      </c>
    </row>
    <row r="5" customFormat="false" ht="15" hidden="false" customHeight="true" outlineLevel="0" collapsed="false">
      <c r="B5" s="141" t="s">
        <v>153</v>
      </c>
      <c r="C5" s="143" t="n">
        <f aca="false">PLハイライト!G8</f>
        <v>6636849</v>
      </c>
      <c r="D5" s="141" t="s">
        <v>154</v>
      </c>
    </row>
    <row r="6" customFormat="false" ht="15" hidden="false" customHeight="true" outlineLevel="0" collapsed="false">
      <c r="B6" s="141" t="s">
        <v>155</v>
      </c>
      <c r="C6" s="143" t="n">
        <f aca="false">PLハイライト!F17/12*7</f>
        <v>11598923</v>
      </c>
      <c r="D6" s="141" t="s">
        <v>156</v>
      </c>
    </row>
    <row r="7" customFormat="false" ht="15" hidden="false" customHeight="true" outlineLevel="0" collapsed="false">
      <c r="B7" s="141" t="s">
        <v>157</v>
      </c>
      <c r="C7" s="143" t="n">
        <f aca="false">C5+C6</f>
        <v>18235772</v>
      </c>
      <c r="D7" s="141"/>
    </row>
    <row r="8" customFormat="false" ht="15" hidden="false" customHeight="true" outlineLevel="0" collapsed="false">
      <c r="B8" s="144" t="s">
        <v>158</v>
      </c>
      <c r="C8" s="143" t="n">
        <f aca="false">C7/7*12</f>
        <v>31261323.4285714</v>
      </c>
      <c r="D8" s="142" t="s">
        <v>159</v>
      </c>
    </row>
    <row r="9" customFormat="false" ht="15" hidden="false" customHeight="true" outlineLevel="0" collapsed="false">
      <c r="B9" s="141" t="s">
        <v>160</v>
      </c>
      <c r="C9" s="143" t="n">
        <f aca="false">-PLハイライト!F15</f>
        <v>-6349173</v>
      </c>
      <c r="D9" s="141" t="s">
        <v>161</v>
      </c>
    </row>
    <row r="10" customFormat="false" ht="15" hidden="false" customHeight="true" outlineLevel="0" collapsed="false">
      <c r="B10" s="144" t="s">
        <v>162</v>
      </c>
      <c r="C10" s="143" t="n">
        <f aca="false">C8+C9</f>
        <v>24912150.4285714</v>
      </c>
      <c r="D10" s="141"/>
    </row>
    <row r="11" customFormat="false" ht="15" hidden="false" customHeight="true" outlineLevel="0" collapsed="false">
      <c r="B11" s="141"/>
      <c r="C11" s="143"/>
      <c r="D11" s="141"/>
    </row>
    <row r="12" customFormat="false" ht="15" hidden="false" customHeight="true" outlineLevel="0" collapsed="false">
      <c r="B12" s="141" t="s">
        <v>163</v>
      </c>
      <c r="C12" s="143" t="n">
        <f aca="false">'BS (貸方)'!G50-'BS(借方)'!G50-'BS(借方)'!G14</f>
        <v>-55420760</v>
      </c>
      <c r="D12" s="141" t="s">
        <v>164</v>
      </c>
    </row>
    <row r="13" customFormat="false" ht="15" hidden="false" customHeight="true" outlineLevel="0" collapsed="false">
      <c r="B13" s="141" t="s">
        <v>165</v>
      </c>
      <c r="C13" s="143" t="n">
        <f aca="false">C10*0.66*1</f>
        <v>16442019.2828571</v>
      </c>
      <c r="D13" s="141" t="s">
        <v>166</v>
      </c>
    </row>
    <row r="14" customFormat="false" ht="15" hidden="false" customHeight="true" outlineLevel="0" collapsed="false">
      <c r="B14" s="141" t="s">
        <v>167</v>
      </c>
      <c r="C14" s="143" t="n">
        <f aca="false">C10*0.66*3</f>
        <v>49326057.8485714</v>
      </c>
      <c r="D14" s="141" t="s">
        <v>168</v>
      </c>
    </row>
    <row r="15" customFormat="false" ht="15" hidden="false" customHeight="true" outlineLevel="0" collapsed="false">
      <c r="B15" s="144" t="s">
        <v>169</v>
      </c>
      <c r="C15" s="145" t="n">
        <f aca="false">C12+C13</f>
        <v>-38978740.7171429</v>
      </c>
      <c r="D15" s="141" t="s">
        <v>170</v>
      </c>
    </row>
    <row r="16" customFormat="false" ht="15" hidden="false" customHeight="true" outlineLevel="0" collapsed="false">
      <c r="B16" s="144" t="s">
        <v>171</v>
      </c>
      <c r="C16" s="145" t="n">
        <f aca="false">C12+C14</f>
        <v>-6094702.15142857</v>
      </c>
      <c r="D16" s="141" t="s">
        <v>172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A1:I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I4" activeCellId="0" sqref="I4"/>
    </sheetView>
  </sheetViews>
  <sheetFormatPr defaultColWidth="8.5390625" defaultRowHeight="18" zeroHeight="false" outlineLevelRow="0" outlineLevelCol="0"/>
  <cols>
    <col collapsed="false" customWidth="true" hidden="false" outlineLevel="0" max="6" min="2" style="20" width="18.63"/>
  </cols>
  <sheetData>
    <row r="1" customFormat="false" ht="18" hidden="false" customHeight="true" outlineLevel="0" collapsed="false">
      <c r="A1" s="146" t="s">
        <v>173</v>
      </c>
    </row>
    <row r="2" customFormat="false" ht="18.75" hidden="false" customHeight="true" outlineLevel="0" collapsed="false">
      <c r="F2" s="47" t="s">
        <v>49</v>
      </c>
    </row>
    <row r="3" customFormat="false" ht="21.75" hidden="false" customHeight="true" outlineLevel="0" collapsed="false">
      <c r="B3" s="147"/>
      <c r="C3" s="148" t="s">
        <v>174</v>
      </c>
      <c r="D3" s="84" t="s">
        <v>175</v>
      </c>
      <c r="E3" s="149" t="s">
        <v>176</v>
      </c>
      <c r="F3" s="149"/>
    </row>
    <row r="4" customFormat="false" ht="31.5" hidden="false" customHeight="true" outlineLevel="0" collapsed="false">
      <c r="B4" s="150" t="s">
        <v>177</v>
      </c>
      <c r="C4" s="151" t="n">
        <v>0</v>
      </c>
      <c r="D4" s="152" t="n">
        <v>0</v>
      </c>
      <c r="E4" s="152" t="n">
        <v>0</v>
      </c>
      <c r="F4" s="151" t="n">
        <v>100</v>
      </c>
      <c r="I4" s="2" t="s">
        <v>178</v>
      </c>
    </row>
    <row r="5" customFormat="false" ht="31.5" hidden="false" customHeight="true" outlineLevel="0" collapsed="false">
      <c r="B5" s="150" t="s">
        <v>179</v>
      </c>
      <c r="C5" s="152" t="n">
        <f aca="false">'EV EBITDAマルチプル'!K7</f>
        <v>-140949808</v>
      </c>
      <c r="D5" s="153" t="n">
        <f aca="false">E5-C5</f>
        <v>32383980</v>
      </c>
      <c r="E5" s="152" t="n">
        <f aca="false">'EV EBITDAマルチプル'!M7</f>
        <v>-108565828</v>
      </c>
      <c r="F5" s="151" t="n">
        <v>0</v>
      </c>
    </row>
    <row r="6" customFormat="false" ht="31.5" hidden="false" customHeight="true" outlineLevel="0" collapsed="false">
      <c r="B6" s="154" t="s">
        <v>180</v>
      </c>
      <c r="C6" s="151" t="n">
        <f aca="false">年買法!K6</f>
        <v>-54971915.49</v>
      </c>
      <c r="D6" s="153" t="n">
        <f aca="false">E6-C6</f>
        <v>12469807.02</v>
      </c>
      <c r="E6" s="151" t="n">
        <f aca="false">年買法!M6</f>
        <v>-42502108.47</v>
      </c>
      <c r="F6" s="151" t="n">
        <v>0</v>
      </c>
    </row>
    <row r="7" customFormat="false" ht="31.5" hidden="false" customHeight="true" outlineLevel="0" collapsed="false"/>
    <row r="8" customFormat="false" ht="15" hidden="false" customHeight="true" outlineLevel="0" collapsed="false"/>
    <row r="9" customFormat="false" ht="31.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89C9"/>
    <pageSetUpPr fitToPage="false"/>
  </sheetPr>
  <dimension ref="B2:G119"/>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0" ySplit="4" topLeftCell="A44" activePane="bottomLeft" state="frozen"/>
      <selection pane="topLeft" activeCell="A1" activeCellId="0" sqref="A1"/>
      <selection pane="bottomLeft" activeCell="A61" activeCellId="0" sqref="A61"/>
    </sheetView>
  </sheetViews>
  <sheetFormatPr defaultColWidth="8.5390625" defaultRowHeight="18" zeroHeight="false" outlineLevelRow="0" outlineLevelCol="0"/>
  <cols>
    <col collapsed="false" customWidth="true" hidden="false" outlineLevel="0" max="2" min="2" style="19" width="28"/>
    <col collapsed="false" customWidth="true" hidden="false" outlineLevel="0" max="5" min="3" style="20" width="16.13"/>
    <col collapsed="false" customWidth="true" hidden="false" outlineLevel="0" max="7" min="7" style="20" width="62"/>
  </cols>
  <sheetData>
    <row r="2" customFormat="false" ht="18.75" hidden="false" customHeight="true" outlineLevel="0" collapsed="false">
      <c r="E2" s="47" t="s">
        <v>49</v>
      </c>
    </row>
    <row r="3" customFormat="false" ht="27.75" hidden="false" customHeight="true" outlineLevel="0" collapsed="false">
      <c r="B3" s="8" t="s">
        <v>5</v>
      </c>
      <c r="C3" s="8"/>
      <c r="D3" s="8"/>
      <c r="E3" s="8"/>
      <c r="G3" s="144" t="s">
        <v>181</v>
      </c>
    </row>
    <row r="4" customFormat="false" ht="19.5" hidden="false" customHeight="true" outlineLevel="0" collapsed="false">
      <c r="B4" s="9" t="s">
        <v>6</v>
      </c>
      <c r="C4" s="148" t="str">
        <f aca="false">'BS(借方)'!F4</f>
        <v>25年11月期</v>
      </c>
      <c r="D4" s="11" t="s">
        <v>182</v>
      </c>
      <c r="E4" s="12" t="s">
        <v>183</v>
      </c>
    </row>
    <row r="5" customFormat="false" ht="22.5" hidden="false" customHeight="true" outlineLevel="0" collapsed="false">
      <c r="B5" s="13" t="s">
        <v>9</v>
      </c>
      <c r="C5" s="14" t="n">
        <f aca="false">SUM(C6:C19)</f>
        <v>150113194</v>
      </c>
      <c r="D5" s="14" t="n">
        <f aca="false">SUM(D6:D19)</f>
        <v>-45650000</v>
      </c>
      <c r="E5" s="15" t="n">
        <f aca="false">C5+D5</f>
        <v>104463194</v>
      </c>
    </row>
    <row r="6" customFormat="false" ht="22.5" hidden="false" customHeight="true" outlineLevel="0" collapsed="false">
      <c r="B6" s="16" t="str">
        <f aca="false">'BS(借方)'!B6</f>
        <v>現金及び預金</v>
      </c>
      <c r="C6" s="17" t="n">
        <f aca="false">'BS(借方)'!F6</f>
        <v>10140492</v>
      </c>
      <c r="D6" s="17"/>
      <c r="E6" s="18" t="n">
        <f aca="false">C6+D6</f>
        <v>10140492</v>
      </c>
    </row>
    <row r="7" customFormat="false" ht="22.5" hidden="false" customHeight="true" outlineLevel="0" collapsed="false">
      <c r="B7" s="16" t="str">
        <f aca="false">'BS(借方)'!B7</f>
        <v>売掛金</v>
      </c>
      <c r="C7" s="17" t="n">
        <f aca="false">'BS(借方)'!F7</f>
        <v>27628072</v>
      </c>
      <c r="D7" s="17"/>
      <c r="E7" s="18" t="n">
        <f aca="false">C7+D7</f>
        <v>27628072</v>
      </c>
    </row>
    <row r="8" customFormat="false" ht="22.5" hidden="false" customHeight="true" outlineLevel="0" collapsed="false">
      <c r="B8" s="16" t="str">
        <f aca="false">'BS(借方)'!B8</f>
        <v>商品</v>
      </c>
      <c r="C8" s="17" t="n">
        <f aca="false">'BS(借方)'!F8</f>
        <v>106017284</v>
      </c>
      <c r="D8" s="155" t="n">
        <v>-44000000</v>
      </c>
      <c r="E8" s="18" t="n">
        <f aca="false">C8+D8</f>
        <v>62017284</v>
      </c>
      <c r="G8" s="142" t="s">
        <v>184</v>
      </c>
    </row>
    <row r="9" customFormat="false" ht="22.5" hidden="false" customHeight="true" outlineLevel="0" collapsed="false">
      <c r="B9" s="16" t="str">
        <f aca="false">'BS(借方)'!B9</f>
        <v>貯蔵品</v>
      </c>
      <c r="C9" s="17" t="n">
        <f aca="false">'BS(借方)'!F9</f>
        <v>150000</v>
      </c>
      <c r="D9" s="17"/>
      <c r="E9" s="18" t="n">
        <f aca="false">C9+D9</f>
        <v>150000</v>
      </c>
    </row>
    <row r="10" customFormat="false" ht="22.5" hidden="false" customHeight="true" outlineLevel="0" collapsed="false">
      <c r="B10" s="16" t="str">
        <f aca="false">'BS(借方)'!B10</f>
        <v>前渡金</v>
      </c>
      <c r="C10" s="17" t="n">
        <f aca="false">'BS(借方)'!F10</f>
        <v>0</v>
      </c>
      <c r="D10" s="17"/>
      <c r="E10" s="18" t="n">
        <f aca="false">C10+D10</f>
        <v>0</v>
      </c>
    </row>
    <row r="11" customFormat="false" ht="22.5" hidden="false" customHeight="true" outlineLevel="0" collapsed="false">
      <c r="B11" s="16" t="str">
        <f aca="false">'BS(借方)'!B11</f>
        <v>前払費用</v>
      </c>
      <c r="C11" s="17" t="n">
        <f aca="false">'BS(借方)'!F11</f>
        <v>3991637</v>
      </c>
      <c r="D11" s="17"/>
      <c r="E11" s="18" t="n">
        <f aca="false">C11+D11</f>
        <v>3991637</v>
      </c>
    </row>
    <row r="12" customFormat="false" ht="22.5" hidden="false" customHeight="true" outlineLevel="0" collapsed="false">
      <c r="B12" s="16" t="str">
        <f aca="false">'BS(借方)'!B12</f>
        <v>未収入金</v>
      </c>
      <c r="C12" s="17" t="n">
        <f aca="false">'BS(借方)'!F12</f>
        <v>30800</v>
      </c>
      <c r="D12" s="17"/>
      <c r="E12" s="18" t="n">
        <f aca="false">C12+D12</f>
        <v>30800</v>
      </c>
    </row>
    <row r="13" customFormat="false" ht="22.5" hidden="false" customHeight="true" outlineLevel="0" collapsed="false">
      <c r="B13" s="16" t="str">
        <f aca="false">'BS(借方)'!B13</f>
        <v>未収還付法人税等</v>
      </c>
      <c r="C13" s="17" t="n">
        <f aca="false">'BS(借方)'!F13</f>
        <v>504909</v>
      </c>
      <c r="D13" s="17"/>
      <c r="E13" s="18" t="n">
        <f aca="false">C13+D13</f>
        <v>504909</v>
      </c>
    </row>
    <row r="14" customFormat="false" ht="22.5" hidden="false" customHeight="true" outlineLevel="0" collapsed="false">
      <c r="B14" s="16" t="str">
        <f aca="false">'BS(借方)'!B14</f>
        <v>仮払金</v>
      </c>
      <c r="C14" s="17" t="n">
        <f aca="false">'BS(借方)'!F14</f>
        <v>1650000</v>
      </c>
      <c r="D14" s="155" t="n">
        <v>-1650000</v>
      </c>
      <c r="E14" s="18" t="n">
        <f aca="false">C14+D14</f>
        <v>0</v>
      </c>
      <c r="G14" s="141" t="s">
        <v>185</v>
      </c>
    </row>
    <row r="15" customFormat="false" ht="22.5" hidden="false" customHeight="true" outlineLevel="0" collapsed="false">
      <c r="B15" s="16" t="str">
        <f aca="false">'BS(借方)'!B15</f>
        <v>立替金</v>
      </c>
      <c r="C15" s="17" t="n">
        <f aca="false">'BS(借方)'!F15</f>
        <v>0</v>
      </c>
      <c r="D15" s="17"/>
      <c r="E15" s="18" t="n">
        <f aca="false">C15+D15</f>
        <v>0</v>
      </c>
    </row>
    <row r="16" customFormat="false" ht="22.5" hidden="false" customHeight="true" outlineLevel="0" collapsed="false">
      <c r="B16" s="16" t="n">
        <f aca="false">'BS(借方)'!B16</f>
        <v>0</v>
      </c>
      <c r="C16" s="17" t="n">
        <f aca="false">'BS(借方)'!F16</f>
        <v>0</v>
      </c>
      <c r="D16" s="17"/>
      <c r="E16" s="18" t="n">
        <f aca="false">C16+D16</f>
        <v>0</v>
      </c>
    </row>
    <row r="17" customFormat="false" ht="22.5" hidden="false" customHeight="true" outlineLevel="0" collapsed="false">
      <c r="B17" s="16" t="n">
        <f aca="false">'BS(借方)'!B17</f>
        <v>0</v>
      </c>
      <c r="C17" s="17" t="n">
        <f aca="false">'BS(借方)'!F17</f>
        <v>0</v>
      </c>
      <c r="D17" s="17"/>
      <c r="E17" s="18" t="n">
        <f aca="false">C17+D17</f>
        <v>0</v>
      </c>
    </row>
    <row r="18" customFormat="false" ht="22.5" hidden="false" customHeight="true" outlineLevel="0" collapsed="false">
      <c r="B18" s="16" t="n">
        <f aca="false">'BS(借方)'!B18</f>
        <v>0</v>
      </c>
      <c r="C18" s="17" t="n">
        <f aca="false">'BS(借方)'!F18</f>
        <v>0</v>
      </c>
      <c r="D18" s="17"/>
      <c r="E18" s="18" t="n">
        <f aca="false">C18+D18</f>
        <v>0</v>
      </c>
    </row>
    <row r="19" customFormat="false" ht="22.5" hidden="false" customHeight="true" outlineLevel="0" collapsed="false">
      <c r="B19" s="30"/>
      <c r="C19" s="55"/>
      <c r="D19" s="55"/>
      <c r="E19" s="18" t="n">
        <f aca="false">C19+D19</f>
        <v>0</v>
      </c>
    </row>
    <row r="20" customFormat="false" ht="22.5" hidden="false" customHeight="true" outlineLevel="0" collapsed="false">
      <c r="B20" s="13" t="s">
        <v>31</v>
      </c>
      <c r="C20" s="139" t="n">
        <f aca="false">C21+C35+C46</f>
        <v>85271983</v>
      </c>
      <c r="D20" s="139" t="n">
        <f aca="false">D21+D35+D46</f>
        <v>-1500004</v>
      </c>
      <c r="E20" s="156" t="n">
        <f aca="false">C20+D20</f>
        <v>83771979</v>
      </c>
    </row>
    <row r="21" customFormat="false" ht="22.5" hidden="false" customHeight="true" outlineLevel="0" collapsed="false">
      <c r="B21" s="32" t="s">
        <v>32</v>
      </c>
      <c r="C21" s="34" t="n">
        <f aca="false">SUM(C22:C34)</f>
        <v>54658019</v>
      </c>
      <c r="D21" s="34" t="n">
        <f aca="false">SUM(D22:D34)</f>
        <v>0</v>
      </c>
      <c r="E21" s="157" t="n">
        <f aca="false">C21+D21</f>
        <v>54658019</v>
      </c>
    </row>
    <row r="22" customFormat="false" ht="22.5" hidden="false" customHeight="true" outlineLevel="0" collapsed="false">
      <c r="B22" s="16" t="str">
        <f aca="false">'BS(借方)'!B22</f>
        <v>建物</v>
      </c>
      <c r="C22" s="17" t="n">
        <f aca="false">'BS(借方)'!F22</f>
        <v>44397084</v>
      </c>
      <c r="D22" s="17"/>
      <c r="E22" s="18" t="n">
        <f aca="false">C22+D22</f>
        <v>44397084</v>
      </c>
    </row>
    <row r="23" customFormat="false" ht="22.5" hidden="false" customHeight="true" outlineLevel="0" collapsed="false">
      <c r="B23" s="16" t="str">
        <f aca="false">'BS(借方)'!B23</f>
        <v>建物付属設備</v>
      </c>
      <c r="C23" s="17" t="n">
        <f aca="false">'BS(借方)'!F23</f>
        <v>0</v>
      </c>
      <c r="D23" s="17"/>
      <c r="E23" s="18" t="n">
        <f aca="false">C23+D23</f>
        <v>0</v>
      </c>
    </row>
    <row r="24" customFormat="false" ht="22.5" hidden="false" customHeight="true" outlineLevel="0" collapsed="false">
      <c r="B24" s="16" t="str">
        <f aca="false">'BS(借方)'!B24</f>
        <v>構築物</v>
      </c>
      <c r="C24" s="17" t="n">
        <f aca="false">'BS(借方)'!F24</f>
        <v>0</v>
      </c>
      <c r="D24" s="17"/>
      <c r="E24" s="18" t="n">
        <f aca="false">C24+D24</f>
        <v>0</v>
      </c>
    </row>
    <row r="25" customFormat="false" ht="22.5" hidden="false" customHeight="true" outlineLevel="0" collapsed="false">
      <c r="B25" s="16" t="str">
        <f aca="false">'BS(借方)'!B25</f>
        <v>車両運搬具</v>
      </c>
      <c r="C25" s="17" t="n">
        <f aca="false">'BS(借方)'!F25</f>
        <v>1057574</v>
      </c>
      <c r="D25" s="17"/>
      <c r="E25" s="18" t="n">
        <f aca="false">C25+D25</f>
        <v>1057574</v>
      </c>
    </row>
    <row r="26" customFormat="false" ht="22.5" hidden="false" customHeight="true" outlineLevel="0" collapsed="false">
      <c r="B26" s="16" t="str">
        <f aca="false">'BS(借方)'!B26</f>
        <v>工具器具及び備品</v>
      </c>
      <c r="C26" s="17" t="n">
        <f aca="false">'BS(借方)'!F26</f>
        <v>6044761</v>
      </c>
      <c r="D26" s="17"/>
      <c r="E26" s="18" t="n">
        <f aca="false">C26+D26</f>
        <v>6044761</v>
      </c>
    </row>
    <row r="27" customFormat="false" ht="22.5" hidden="false" customHeight="true" outlineLevel="0" collapsed="false">
      <c r="B27" s="16" t="str">
        <f aca="false">'BS(借方)'!B27</f>
        <v>土地</v>
      </c>
      <c r="C27" s="17" t="n">
        <f aca="false">'BS(借方)'!F27</f>
        <v>2974400</v>
      </c>
      <c r="D27" s="17"/>
      <c r="E27" s="18" t="n">
        <f aca="false">C27+D27</f>
        <v>2974400</v>
      </c>
    </row>
    <row r="28" customFormat="false" ht="22.5" hidden="false" customHeight="true" outlineLevel="0" collapsed="false">
      <c r="B28" s="16" t="str">
        <f aca="false">'BS(借方)'!B28</f>
        <v>その他の有形固定資産</v>
      </c>
      <c r="C28" s="17" t="n">
        <f aca="false">'BS(借方)'!F28</f>
        <v>184200</v>
      </c>
      <c r="D28" s="17"/>
      <c r="E28" s="18" t="n">
        <f aca="false">C28+D28</f>
        <v>184200</v>
      </c>
    </row>
    <row r="29" customFormat="false" ht="22.5" hidden="false" customHeight="true" outlineLevel="0" collapsed="false">
      <c r="B29" s="16" t="n">
        <f aca="false">'BS(借方)'!B29</f>
        <v>0</v>
      </c>
      <c r="C29" s="17" t="n">
        <f aca="false">'BS(借方)'!F29</f>
        <v>0</v>
      </c>
      <c r="D29" s="17"/>
      <c r="E29" s="18" t="n">
        <f aca="false">C29+D29</f>
        <v>0</v>
      </c>
    </row>
    <row r="30" customFormat="false" ht="22.5" hidden="false" customHeight="true" outlineLevel="0" collapsed="false">
      <c r="B30" s="16" t="n">
        <f aca="false">'BS(借方)'!B30</f>
        <v>0</v>
      </c>
      <c r="C30" s="17" t="n">
        <f aca="false">'BS(借方)'!F30</f>
        <v>0</v>
      </c>
      <c r="D30" s="17"/>
      <c r="E30" s="18" t="n">
        <f aca="false">C30+D30</f>
        <v>0</v>
      </c>
    </row>
    <row r="31" customFormat="false" ht="22.5" hidden="false" customHeight="true" outlineLevel="0" collapsed="false">
      <c r="B31" s="16" t="n">
        <f aca="false">'BS(借方)'!B31</f>
        <v>0</v>
      </c>
      <c r="C31" s="17" t="n">
        <f aca="false">'BS(借方)'!F31</f>
        <v>0</v>
      </c>
      <c r="D31" s="17"/>
      <c r="E31" s="18" t="n">
        <f aca="false">C31+D31</f>
        <v>0</v>
      </c>
    </row>
    <row r="32" customFormat="false" ht="22.5" hidden="false" customHeight="true" outlineLevel="0" collapsed="false">
      <c r="B32" s="16" t="n">
        <f aca="false">'BS(借方)'!B32</f>
        <v>0</v>
      </c>
      <c r="C32" s="17" t="n">
        <f aca="false">'BS(借方)'!F32</f>
        <v>0</v>
      </c>
      <c r="D32" s="17"/>
      <c r="E32" s="18" t="n">
        <f aca="false">C32+D32</f>
        <v>0</v>
      </c>
    </row>
    <row r="33" customFormat="false" ht="22.5" hidden="false" customHeight="true" outlineLevel="0" collapsed="false">
      <c r="B33" s="16" t="n">
        <f aca="false">'BS(借方)'!B33</f>
        <v>0</v>
      </c>
      <c r="C33" s="17" t="n">
        <f aca="false">'BS(借方)'!F33</f>
        <v>0</v>
      </c>
      <c r="D33" s="17"/>
      <c r="E33" s="18" t="n">
        <f aca="false">C33+D33</f>
        <v>0</v>
      </c>
    </row>
    <row r="34" customFormat="false" ht="22.5" hidden="false" customHeight="true" outlineLevel="0" collapsed="false">
      <c r="B34" s="30"/>
      <c r="C34" s="55"/>
      <c r="D34" s="55"/>
      <c r="E34" s="18" t="n">
        <f aca="false">C34+D34</f>
        <v>0</v>
      </c>
    </row>
    <row r="35" customFormat="false" ht="22.5" hidden="false" customHeight="true" outlineLevel="0" collapsed="false">
      <c r="B35" s="32" t="s">
        <v>40</v>
      </c>
      <c r="C35" s="158" t="n">
        <f aca="false">SUM(C36:C45)</f>
        <v>0</v>
      </c>
      <c r="D35" s="159" t="n">
        <f aca="false">SUM(D36:D45)</f>
        <v>0</v>
      </c>
      <c r="E35" s="160" t="n">
        <f aca="false">C35+D35</f>
        <v>0</v>
      </c>
    </row>
    <row r="36" customFormat="false" ht="21.75" hidden="false" customHeight="true" outlineLevel="0" collapsed="false">
      <c r="B36" s="16" t="n">
        <f aca="false">'BS(借方)'!B36</f>
        <v>0</v>
      </c>
      <c r="C36" s="17" t="n">
        <f aca="false">'BS(借方)'!F36</f>
        <v>0</v>
      </c>
      <c r="D36" s="17"/>
      <c r="E36" s="18" t="n">
        <f aca="false">C36+D36</f>
        <v>0</v>
      </c>
    </row>
    <row r="37" customFormat="false" ht="21.75" hidden="false" customHeight="true" outlineLevel="0" collapsed="false">
      <c r="B37" s="16" t="n">
        <f aca="false">'BS(借方)'!B37</f>
        <v>0</v>
      </c>
      <c r="C37" s="17" t="n">
        <f aca="false">'BS(借方)'!F37</f>
        <v>0</v>
      </c>
      <c r="D37" s="17"/>
      <c r="E37" s="18" t="n">
        <f aca="false">C37+D37</f>
        <v>0</v>
      </c>
    </row>
    <row r="38" customFormat="false" ht="21.75" hidden="false" customHeight="true" outlineLevel="0" collapsed="false">
      <c r="B38" s="16" t="n">
        <f aca="false">'BS(借方)'!B38</f>
        <v>0</v>
      </c>
      <c r="C38" s="17" t="n">
        <f aca="false">'BS(借方)'!F38</f>
        <v>0</v>
      </c>
      <c r="D38" s="17"/>
      <c r="E38" s="18" t="n">
        <f aca="false">C38+D38</f>
        <v>0</v>
      </c>
    </row>
    <row r="39" customFormat="false" ht="21.75" hidden="false" customHeight="true" outlineLevel="0" collapsed="false">
      <c r="B39" s="16" t="n">
        <f aca="false">'BS(借方)'!B39</f>
        <v>0</v>
      </c>
      <c r="C39" s="17" t="n">
        <f aca="false">'BS(借方)'!F39</f>
        <v>0</v>
      </c>
      <c r="D39" s="17"/>
      <c r="E39" s="18" t="n">
        <f aca="false">C39+D39</f>
        <v>0</v>
      </c>
    </row>
    <row r="40" customFormat="false" ht="21.75" hidden="false" customHeight="true" outlineLevel="0" collapsed="false">
      <c r="B40" s="16" t="n">
        <f aca="false">'BS(借方)'!B40</f>
        <v>0</v>
      </c>
      <c r="C40" s="17" t="n">
        <f aca="false">'BS(借方)'!F40</f>
        <v>0</v>
      </c>
      <c r="D40" s="17"/>
      <c r="E40" s="18" t="n">
        <f aca="false">C40+D40</f>
        <v>0</v>
      </c>
    </row>
    <row r="41" customFormat="false" ht="21.75" hidden="false" customHeight="true" outlineLevel="0" collapsed="false">
      <c r="B41" s="16"/>
      <c r="C41" s="17"/>
      <c r="D41" s="17"/>
      <c r="E41" s="18" t="n">
        <f aca="false">C41+D41</f>
        <v>0</v>
      </c>
    </row>
    <row r="42" customFormat="false" ht="21.75" hidden="false" customHeight="true" outlineLevel="0" collapsed="false">
      <c r="B42" s="16"/>
      <c r="C42" s="17"/>
      <c r="D42" s="17"/>
      <c r="E42" s="18" t="n">
        <f aca="false">C42+D42</f>
        <v>0</v>
      </c>
    </row>
    <row r="43" customFormat="false" ht="21.75" hidden="false" customHeight="true" outlineLevel="0" collapsed="false">
      <c r="B43" s="16"/>
      <c r="C43" s="17"/>
      <c r="D43" s="17"/>
      <c r="E43" s="18" t="n">
        <f aca="false">C43+D43</f>
        <v>0</v>
      </c>
    </row>
    <row r="44" customFormat="false" ht="21.75" hidden="false" customHeight="true" outlineLevel="0" collapsed="false">
      <c r="B44" s="16"/>
      <c r="C44" s="17"/>
      <c r="D44" s="17"/>
      <c r="E44" s="18" t="n">
        <f aca="false">C44+D44</f>
        <v>0</v>
      </c>
    </row>
    <row r="45" customFormat="false" ht="21.75" hidden="false" customHeight="true" outlineLevel="0" collapsed="false">
      <c r="B45" s="30"/>
      <c r="C45" s="55"/>
      <c r="D45" s="55"/>
      <c r="E45" s="18" t="n">
        <f aca="false">C45+D45</f>
        <v>0</v>
      </c>
    </row>
    <row r="46" customFormat="false" ht="21.75" hidden="false" customHeight="true" outlineLevel="0" collapsed="false">
      <c r="B46" s="32" t="s">
        <v>41</v>
      </c>
      <c r="C46" s="161" t="n">
        <f aca="false">SUM(C47:C54)</f>
        <v>30613964</v>
      </c>
      <c r="D46" s="162" t="n">
        <f aca="false">SUM(D47:D54)</f>
        <v>-1500004</v>
      </c>
      <c r="E46" s="163" t="n">
        <f aca="false">C46+D46</f>
        <v>29113960</v>
      </c>
    </row>
    <row r="47" customFormat="false" ht="22.5" hidden="false" customHeight="true" outlineLevel="0" collapsed="false">
      <c r="B47" s="164" t="str">
        <f aca="false">'BS(借方)'!B47</f>
        <v>リサイクル預託金</v>
      </c>
      <c r="C47" s="17" t="n">
        <f aca="false">'BS(借方)'!F47</f>
        <v>31500</v>
      </c>
      <c r="D47" s="17"/>
      <c r="E47" s="18" t="n">
        <f aca="false">C47+D47</f>
        <v>31500</v>
      </c>
    </row>
    <row r="48" customFormat="false" ht="22.5" hidden="false" customHeight="true" outlineLevel="0" collapsed="false">
      <c r="B48" s="164" t="str">
        <f aca="false">'BS(借方)'!B48</f>
        <v>長期前払費用</v>
      </c>
      <c r="C48" s="17" t="n">
        <f aca="false">'BS(借方)'!F48</f>
        <v>1711860</v>
      </c>
      <c r="D48" s="17"/>
      <c r="E48" s="18" t="n">
        <f aca="false">C48+D48</f>
        <v>1711860</v>
      </c>
    </row>
    <row r="49" customFormat="false" ht="22.5" hidden="false" customHeight="true" outlineLevel="0" collapsed="false">
      <c r="B49" s="164" t="str">
        <f aca="false">'BS(借方)'!B49</f>
        <v>差入保証金</v>
      </c>
      <c r="C49" s="17" t="n">
        <f aca="false">'BS(借方)'!F49</f>
        <v>27370600</v>
      </c>
      <c r="D49" s="17"/>
      <c r="E49" s="18" t="n">
        <f aca="false">C49+D49</f>
        <v>27370600</v>
      </c>
    </row>
    <row r="50" customFormat="false" ht="22.5" hidden="false" customHeight="true" outlineLevel="0" collapsed="false">
      <c r="B50" s="164" t="str">
        <f aca="false">'BS(借方)'!B50</f>
        <v>営業権</v>
      </c>
      <c r="C50" s="17" t="n">
        <f aca="false">'BS(借方)'!F50</f>
        <v>1500004</v>
      </c>
      <c r="D50" s="155" t="n">
        <v>-1500004</v>
      </c>
      <c r="E50" s="18" t="n">
        <f aca="false">C50+D50</f>
        <v>0</v>
      </c>
      <c r="G50" s="141" t="s">
        <v>186</v>
      </c>
    </row>
    <row r="51" customFormat="false" ht="22.5" hidden="false" customHeight="true" outlineLevel="0" collapsed="false">
      <c r="B51" s="164" t="n">
        <f aca="false">'BS(借方)'!B51</f>
        <v>0</v>
      </c>
      <c r="C51" s="17" t="n">
        <f aca="false">'BS(借方)'!F51</f>
        <v>0</v>
      </c>
      <c r="D51" s="17"/>
      <c r="E51" s="18" t="n">
        <f aca="false">C51+D51</f>
        <v>0</v>
      </c>
    </row>
    <row r="52" customFormat="false" ht="22.5" hidden="false" customHeight="true" outlineLevel="0" collapsed="false">
      <c r="B52" s="164" t="n">
        <f aca="false">'BS(借方)'!B52</f>
        <v>0</v>
      </c>
      <c r="C52" s="17" t="n">
        <f aca="false">'BS(借方)'!F52</f>
        <v>0</v>
      </c>
      <c r="D52" s="17"/>
      <c r="E52" s="18" t="n">
        <f aca="false">C52+D52</f>
        <v>0</v>
      </c>
    </row>
    <row r="53" customFormat="false" ht="22.5" hidden="false" customHeight="true" outlineLevel="0" collapsed="false">
      <c r="B53" s="164" t="n">
        <f aca="false">'BS(借方)'!B53</f>
        <v>0</v>
      </c>
      <c r="C53" s="17" t="n">
        <f aca="false">'BS(借方)'!F53</f>
        <v>0</v>
      </c>
      <c r="D53" s="17"/>
      <c r="E53" s="18" t="n">
        <f aca="false">C53+D53</f>
        <v>0</v>
      </c>
    </row>
    <row r="54" customFormat="false" ht="22.5" hidden="false" customHeight="true" outlineLevel="0" collapsed="false">
      <c r="B54" s="164" t="n">
        <f aca="false">'BS(借方)'!B54</f>
        <v>0</v>
      </c>
      <c r="C54" s="17" t="n">
        <f aca="false">'BS(借方)'!F54</f>
        <v>0</v>
      </c>
      <c r="D54" s="17"/>
      <c r="E54" s="18" t="n">
        <f aca="false">C54+D54</f>
        <v>0</v>
      </c>
    </row>
    <row r="55" customFormat="false" ht="21.75" hidden="false" customHeight="true" outlineLevel="0" collapsed="false">
      <c r="B55" s="164"/>
      <c r="C55" s="17"/>
      <c r="D55" s="17"/>
      <c r="E55" s="18" t="n">
        <f aca="false">C55+D55</f>
        <v>0</v>
      </c>
    </row>
    <row r="56" customFormat="false" ht="21.75" hidden="false" customHeight="true" outlineLevel="0" collapsed="false">
      <c r="B56" s="165" t="s">
        <v>46</v>
      </c>
      <c r="C56" s="40" t="n">
        <f aca="false">SUM(C57:C59)</f>
        <v>0</v>
      </c>
      <c r="D56" s="40" t="n">
        <f aca="false">SUM(D57:D59)</f>
        <v>0</v>
      </c>
      <c r="E56" s="166" t="n">
        <f aca="false">C56+D56</f>
        <v>0</v>
      </c>
    </row>
    <row r="57" customFormat="false" ht="21.75" hidden="false" customHeight="true" outlineLevel="0" collapsed="false">
      <c r="B57" s="164" t="n">
        <f aca="false">'BS(借方)'!B57</f>
        <v>0</v>
      </c>
      <c r="C57" s="167" t="n">
        <f aca="false">'BS(借方)'!F57</f>
        <v>0</v>
      </c>
      <c r="D57" s="167"/>
      <c r="E57" s="18" t="n">
        <f aca="false">C57+D57</f>
        <v>0</v>
      </c>
    </row>
    <row r="58" customFormat="false" ht="21.75" hidden="false" customHeight="true" outlineLevel="0" collapsed="false">
      <c r="B58" s="164"/>
      <c r="C58" s="167"/>
      <c r="D58" s="167"/>
      <c r="E58" s="18" t="n">
        <f aca="false">C58+D58</f>
        <v>0</v>
      </c>
    </row>
    <row r="59" customFormat="false" ht="21.75" hidden="false" customHeight="true" outlineLevel="0" collapsed="false">
      <c r="B59" s="168"/>
      <c r="C59" s="169"/>
      <c r="D59" s="169"/>
      <c r="E59" s="170" t="n">
        <f aca="false">C59+D59</f>
        <v>0</v>
      </c>
    </row>
    <row r="60" customFormat="false" ht="21.75" hidden="false" customHeight="true" outlineLevel="0" collapsed="false">
      <c r="B60" s="171" t="s">
        <v>187</v>
      </c>
      <c r="C60" s="172" t="n">
        <v>0</v>
      </c>
      <c r="D60" s="172" t="n">
        <v>0</v>
      </c>
      <c r="E60" s="173" t="n">
        <f aca="false">C60+D60</f>
        <v>0</v>
      </c>
    </row>
    <row r="61" customFormat="false" ht="22.5" hidden="false" customHeight="true" outlineLevel="0" collapsed="false">
      <c r="B61" s="41" t="s">
        <v>47</v>
      </c>
      <c r="C61" s="174" t="n">
        <f aca="false">C5+C20+C56+C60</f>
        <v>235385177</v>
      </c>
      <c r="D61" s="174" t="n">
        <f aca="false">D5+D20+D56+D60</f>
        <v>-47150004</v>
      </c>
      <c r="E61" s="175" t="n">
        <f aca="false">C61+D61</f>
        <v>188235173</v>
      </c>
    </row>
    <row r="62" customFormat="false" ht="18" hidden="false" customHeight="true" outlineLevel="0" collapsed="false">
      <c r="C62" s="176"/>
      <c r="D62" s="176"/>
      <c r="E62" s="176"/>
    </row>
    <row r="63" customFormat="false" ht="18" hidden="false" customHeight="true" outlineLevel="0" collapsed="false">
      <c r="B63" s="141" t="s">
        <v>188</v>
      </c>
      <c r="C63" s="176"/>
      <c r="D63" s="176"/>
      <c r="E63" s="176"/>
    </row>
    <row r="64" customFormat="false" ht="18" hidden="false" customHeight="true" outlineLevel="0" collapsed="false">
      <c r="C64" s="176"/>
      <c r="D64" s="176"/>
      <c r="E64" s="176"/>
    </row>
    <row r="65" customFormat="false" ht="18" hidden="false" customHeight="true" outlineLevel="0" collapsed="false">
      <c r="C65" s="176"/>
      <c r="D65" s="176"/>
      <c r="E65" s="176"/>
    </row>
    <row r="66" customFormat="false" ht="18" hidden="false" customHeight="true" outlineLevel="0" collapsed="false">
      <c r="C66" s="176"/>
      <c r="D66" s="176"/>
      <c r="E66" s="176"/>
    </row>
    <row r="67" customFormat="false" ht="18" hidden="false" customHeight="true" outlineLevel="0" collapsed="false">
      <c r="C67" s="176"/>
      <c r="D67" s="176"/>
      <c r="E67" s="176"/>
    </row>
    <row r="68" customFormat="false" ht="18" hidden="false" customHeight="true" outlineLevel="0" collapsed="false">
      <c r="C68" s="176"/>
      <c r="D68" s="176"/>
      <c r="E68" s="176"/>
    </row>
    <row r="69" customFormat="false" ht="18" hidden="false" customHeight="true" outlineLevel="0" collapsed="false">
      <c r="C69" s="176"/>
      <c r="D69" s="176"/>
      <c r="E69" s="176"/>
    </row>
    <row r="70" customFormat="false" ht="18" hidden="false" customHeight="true" outlineLevel="0" collapsed="false">
      <c r="C70" s="176"/>
      <c r="D70" s="176"/>
      <c r="E70" s="176"/>
    </row>
    <row r="71" customFormat="false" ht="18" hidden="false" customHeight="true" outlineLevel="0" collapsed="false">
      <c r="C71" s="176"/>
      <c r="D71" s="176"/>
      <c r="E71" s="176"/>
    </row>
    <row r="72" customFormat="false" ht="18" hidden="false" customHeight="true" outlineLevel="0" collapsed="false">
      <c r="C72" s="176"/>
      <c r="D72" s="176"/>
      <c r="E72" s="176"/>
    </row>
    <row r="73" customFormat="false" ht="18" hidden="false" customHeight="true" outlineLevel="0" collapsed="false">
      <c r="C73" s="176"/>
      <c r="D73" s="176"/>
      <c r="E73" s="176"/>
    </row>
    <row r="74" customFormat="false" ht="18" hidden="false" customHeight="true" outlineLevel="0" collapsed="false">
      <c r="C74" s="176"/>
      <c r="D74" s="176"/>
      <c r="E74" s="176"/>
    </row>
    <row r="75" customFormat="false" ht="18" hidden="false" customHeight="true" outlineLevel="0" collapsed="false">
      <c r="C75" s="176"/>
      <c r="D75" s="176"/>
      <c r="E75" s="176"/>
    </row>
    <row r="76" customFormat="false" ht="18" hidden="false" customHeight="true" outlineLevel="0" collapsed="false">
      <c r="C76" s="176"/>
      <c r="D76" s="176"/>
      <c r="E76" s="176"/>
    </row>
    <row r="77" customFormat="false" ht="18" hidden="false" customHeight="true" outlineLevel="0" collapsed="false">
      <c r="C77" s="176"/>
      <c r="D77" s="176"/>
      <c r="E77" s="176"/>
    </row>
    <row r="78" customFormat="false" ht="18" hidden="false" customHeight="true" outlineLevel="0" collapsed="false">
      <c r="C78" s="176"/>
      <c r="D78" s="176"/>
      <c r="E78" s="176"/>
    </row>
    <row r="79" customFormat="false" ht="18" hidden="false" customHeight="true" outlineLevel="0" collapsed="false">
      <c r="C79" s="176"/>
      <c r="D79" s="176"/>
      <c r="E79" s="176"/>
    </row>
    <row r="80" customFormat="false" ht="18" hidden="false" customHeight="true" outlineLevel="0" collapsed="false">
      <c r="C80" s="176"/>
      <c r="D80" s="176"/>
      <c r="E80" s="176"/>
    </row>
    <row r="81" customFormat="false" ht="18" hidden="false" customHeight="true" outlineLevel="0" collapsed="false">
      <c r="C81" s="176"/>
      <c r="D81" s="176"/>
      <c r="E81" s="176"/>
    </row>
    <row r="82" customFormat="false" ht="18" hidden="false" customHeight="true" outlineLevel="0" collapsed="false">
      <c r="C82" s="176"/>
      <c r="D82" s="176"/>
      <c r="E82" s="176"/>
    </row>
    <row r="83" customFormat="false" ht="18" hidden="false" customHeight="true" outlineLevel="0" collapsed="false">
      <c r="C83" s="176"/>
      <c r="D83" s="176"/>
      <c r="E83" s="176"/>
    </row>
    <row r="84" customFormat="false" ht="18" hidden="false" customHeight="true" outlineLevel="0" collapsed="false">
      <c r="C84" s="176"/>
      <c r="D84" s="176"/>
      <c r="E84" s="176"/>
    </row>
    <row r="85" customFormat="false" ht="18" hidden="false" customHeight="true" outlineLevel="0" collapsed="false">
      <c r="C85" s="176"/>
      <c r="D85" s="176"/>
      <c r="E85" s="176"/>
    </row>
    <row r="86" customFormat="false" ht="18" hidden="false" customHeight="true" outlineLevel="0" collapsed="false">
      <c r="C86" s="176"/>
      <c r="D86" s="176"/>
      <c r="E86" s="176"/>
    </row>
    <row r="87" customFormat="false" ht="18" hidden="false" customHeight="true" outlineLevel="0" collapsed="false">
      <c r="C87" s="176"/>
      <c r="D87" s="176"/>
      <c r="E87" s="176"/>
    </row>
    <row r="88" customFormat="false" ht="18" hidden="false" customHeight="true" outlineLevel="0" collapsed="false">
      <c r="C88" s="176"/>
      <c r="D88" s="176"/>
      <c r="E88" s="176"/>
    </row>
    <row r="89" customFormat="false" ht="18" hidden="false" customHeight="true" outlineLevel="0" collapsed="false">
      <c r="C89" s="176"/>
      <c r="D89" s="176"/>
      <c r="E89" s="176"/>
    </row>
    <row r="90" customFormat="false" ht="18" hidden="false" customHeight="true" outlineLevel="0" collapsed="false">
      <c r="C90" s="176"/>
      <c r="D90" s="176"/>
      <c r="E90" s="176"/>
    </row>
    <row r="91" customFormat="false" ht="18" hidden="false" customHeight="true" outlineLevel="0" collapsed="false">
      <c r="C91" s="176"/>
      <c r="D91" s="176"/>
      <c r="E91" s="176"/>
    </row>
    <row r="92" customFormat="false" ht="18" hidden="false" customHeight="true" outlineLevel="0" collapsed="false">
      <c r="C92" s="176"/>
      <c r="D92" s="176"/>
      <c r="E92" s="176"/>
    </row>
    <row r="93" customFormat="false" ht="18" hidden="false" customHeight="true" outlineLevel="0" collapsed="false">
      <c r="C93" s="176"/>
      <c r="D93" s="176"/>
      <c r="E93" s="176"/>
    </row>
    <row r="94" customFormat="false" ht="18" hidden="false" customHeight="true" outlineLevel="0" collapsed="false">
      <c r="C94" s="176"/>
      <c r="D94" s="176"/>
      <c r="E94" s="176"/>
    </row>
    <row r="95" customFormat="false" ht="18" hidden="false" customHeight="true" outlineLevel="0" collapsed="false">
      <c r="C95" s="176"/>
      <c r="D95" s="176"/>
      <c r="E95" s="176"/>
    </row>
    <row r="96" customFormat="false" ht="18" hidden="false" customHeight="true" outlineLevel="0" collapsed="false">
      <c r="C96" s="177"/>
      <c r="D96" s="177"/>
      <c r="E96" s="177"/>
    </row>
    <row r="97" customFormat="false" ht="18" hidden="false" customHeight="true" outlineLevel="0" collapsed="false">
      <c r="C97" s="177"/>
      <c r="D97" s="177"/>
      <c r="E97" s="177"/>
    </row>
    <row r="98" customFormat="false" ht="18" hidden="false" customHeight="true" outlineLevel="0" collapsed="false">
      <c r="C98" s="177"/>
      <c r="D98" s="177"/>
      <c r="E98" s="177"/>
    </row>
    <row r="99" customFormat="false" ht="18" hidden="false" customHeight="true" outlineLevel="0" collapsed="false">
      <c r="C99" s="177"/>
      <c r="D99" s="177"/>
      <c r="E99" s="177"/>
    </row>
    <row r="100" customFormat="false" ht="18" hidden="false" customHeight="true" outlineLevel="0" collapsed="false">
      <c r="C100" s="177"/>
      <c r="D100" s="177"/>
      <c r="E100" s="177"/>
    </row>
    <row r="101" customFormat="false" ht="18" hidden="false" customHeight="true" outlineLevel="0" collapsed="false">
      <c r="C101" s="177"/>
      <c r="D101" s="177"/>
      <c r="E101" s="177"/>
    </row>
    <row r="102" customFormat="false" ht="18" hidden="false" customHeight="true" outlineLevel="0" collapsed="false">
      <c r="C102" s="177"/>
      <c r="D102" s="177"/>
      <c r="E102" s="177"/>
    </row>
    <row r="103" customFormat="false" ht="18" hidden="false" customHeight="true" outlineLevel="0" collapsed="false">
      <c r="C103" s="177"/>
      <c r="D103" s="177"/>
      <c r="E103" s="177"/>
    </row>
    <row r="104" customFormat="false" ht="18" hidden="false" customHeight="true" outlineLevel="0" collapsed="false">
      <c r="C104" s="177"/>
      <c r="D104" s="177"/>
      <c r="E104" s="177"/>
    </row>
    <row r="105" customFormat="false" ht="18" hidden="false" customHeight="true" outlineLevel="0" collapsed="false">
      <c r="C105" s="177"/>
      <c r="D105" s="177"/>
      <c r="E105" s="177"/>
    </row>
    <row r="106" customFormat="false" ht="18" hidden="false" customHeight="true" outlineLevel="0" collapsed="false">
      <c r="C106" s="177"/>
      <c r="D106" s="177"/>
      <c r="E106" s="177"/>
    </row>
    <row r="107" customFormat="false" ht="18" hidden="false" customHeight="true" outlineLevel="0" collapsed="false">
      <c r="C107" s="177"/>
      <c r="D107" s="177"/>
      <c r="E107" s="177"/>
    </row>
    <row r="108" customFormat="false" ht="18" hidden="false" customHeight="true" outlineLevel="0" collapsed="false">
      <c r="C108" s="177"/>
      <c r="D108" s="177"/>
      <c r="E108" s="177"/>
    </row>
    <row r="109" customFormat="false" ht="18" hidden="false" customHeight="true" outlineLevel="0" collapsed="false">
      <c r="C109" s="178"/>
      <c r="D109" s="178"/>
      <c r="E109" s="178"/>
    </row>
    <row r="110" customFormat="false" ht="18" hidden="false" customHeight="true" outlineLevel="0" collapsed="false">
      <c r="C110" s="178"/>
      <c r="D110" s="178"/>
      <c r="E110" s="178"/>
    </row>
    <row r="111" customFormat="false" ht="18" hidden="false" customHeight="true" outlineLevel="0" collapsed="false">
      <c r="C111" s="178"/>
      <c r="D111" s="178"/>
      <c r="E111" s="178"/>
    </row>
    <row r="112" customFormat="false" ht="18" hidden="false" customHeight="true" outlineLevel="0" collapsed="false">
      <c r="C112" s="178"/>
      <c r="D112" s="178"/>
      <c r="E112" s="178"/>
    </row>
    <row r="113" customFormat="false" ht="18" hidden="false" customHeight="true" outlineLevel="0" collapsed="false">
      <c r="C113" s="178"/>
      <c r="D113" s="178"/>
      <c r="E113" s="178"/>
    </row>
    <row r="114" customFormat="false" ht="18" hidden="false" customHeight="true" outlineLevel="0" collapsed="false">
      <c r="C114" s="178"/>
      <c r="D114" s="178"/>
      <c r="E114" s="178"/>
    </row>
    <row r="115" customFormat="false" ht="18" hidden="false" customHeight="true" outlineLevel="0" collapsed="false">
      <c r="C115" s="178"/>
      <c r="D115" s="178"/>
      <c r="E115" s="178"/>
    </row>
    <row r="116" customFormat="false" ht="18" hidden="false" customHeight="true" outlineLevel="0" collapsed="false">
      <c r="C116" s="178"/>
      <c r="D116" s="178"/>
      <c r="E116" s="178"/>
    </row>
    <row r="117" customFormat="false" ht="18" hidden="false" customHeight="true" outlineLevel="0" collapsed="false">
      <c r="C117" s="178"/>
      <c r="D117" s="178"/>
      <c r="E117" s="178"/>
    </row>
    <row r="118" customFormat="false" ht="18" hidden="false" customHeight="true" outlineLevel="0" collapsed="false">
      <c r="C118" s="178"/>
      <c r="D118" s="178"/>
      <c r="E118" s="178"/>
    </row>
    <row r="119" customFormat="false" ht="18" hidden="false" customHeight="true" outlineLevel="0" collapsed="false">
      <c r="C119" s="178"/>
      <c r="D119" s="178"/>
      <c r="E119" s="178"/>
    </row>
  </sheetData>
  <mergeCells count="1">
    <mergeCell ref="B3:E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18" activeCellId="0" sqref="E18"/>
    </sheetView>
  </sheetViews>
  <sheetFormatPr defaultColWidth="8.5390625" defaultRowHeight="18" zeroHeight="false" outlineLevelRow="0" outlineLevelCol="0"/>
  <cols>
    <col collapsed="false" customWidth="true" hidden="false" outlineLevel="0" max="5" min="2" style="20" width="18.63"/>
    <col collapsed="false" customWidth="true" hidden="false" outlineLevel="0" max="6" min="6" style="20" width="40.13"/>
  </cols>
  <sheetData>
    <row r="2" customFormat="false" ht="18.75" hidden="false" customHeight="true" outlineLevel="0" collapsed="false">
      <c r="E2" s="47" t="s">
        <v>49</v>
      </c>
    </row>
    <row r="3" customFormat="false" ht="21.75" hidden="false" customHeight="true" outlineLevel="0" collapsed="false">
      <c r="A3" s="2" t="s">
        <v>22</v>
      </c>
      <c r="B3" s="61" t="s">
        <v>189</v>
      </c>
      <c r="C3" s="179" t="s">
        <v>74</v>
      </c>
      <c r="D3" s="179" t="s">
        <v>190</v>
      </c>
      <c r="E3" s="179" t="s">
        <v>191</v>
      </c>
      <c r="F3" s="180" t="s">
        <v>192</v>
      </c>
    </row>
    <row r="4" customFormat="false" ht="31.5" hidden="false" customHeight="true" outlineLevel="0" collapsed="false">
      <c r="B4" s="181" t="s">
        <v>193</v>
      </c>
      <c r="C4" s="88"/>
      <c r="D4" s="88"/>
      <c r="E4" s="88"/>
      <c r="F4" s="182" t="s">
        <v>194</v>
      </c>
    </row>
    <row r="5" customFormat="false" ht="31.5" hidden="false" customHeight="true" outlineLevel="0" collapsed="false">
      <c r="B5" s="181"/>
      <c r="C5" s="183"/>
      <c r="D5" s="183"/>
      <c r="E5" s="183"/>
      <c r="F5" s="184"/>
    </row>
    <row r="6" customFormat="false" ht="31.5" hidden="false" customHeight="true" outlineLevel="0" collapsed="false">
      <c r="B6" s="181"/>
      <c r="C6" s="183"/>
      <c r="D6" s="183"/>
      <c r="E6" s="183"/>
      <c r="F6" s="184"/>
    </row>
    <row r="7" customFormat="false" ht="31.5" hidden="false" customHeight="true" outlineLevel="0" collapsed="false">
      <c r="B7" s="185"/>
      <c r="C7" s="186"/>
      <c r="D7" s="186"/>
      <c r="E7" s="186"/>
      <c r="F7" s="187"/>
    </row>
    <row r="8" customFormat="false" ht="31.5" hidden="false" customHeight="true" outlineLevel="0" collapsed="false">
      <c r="B8" s="188"/>
      <c r="C8" s="189"/>
      <c r="D8" s="189"/>
      <c r="E8" s="189"/>
      <c r="F8" s="190"/>
    </row>
    <row r="12" customFormat="false" ht="18.75" hidden="false" customHeight="true" outlineLevel="0" collapsed="false">
      <c r="E12" s="47" t="s">
        <v>49</v>
      </c>
    </row>
    <row r="13" customFormat="false" ht="21.75" hidden="false" customHeight="true" outlineLevel="0" collapsed="false">
      <c r="A13" s="2" t="s">
        <v>195</v>
      </c>
      <c r="B13" s="191" t="s">
        <v>189</v>
      </c>
      <c r="C13" s="192" t="s">
        <v>74</v>
      </c>
      <c r="D13" s="192" t="s">
        <v>190</v>
      </c>
      <c r="E13" s="192" t="s">
        <v>191</v>
      </c>
      <c r="F13" s="180" t="s">
        <v>192</v>
      </c>
    </row>
    <row r="14" customFormat="false" ht="31.5" hidden="false" customHeight="true" outlineLevel="0" collapsed="false">
      <c r="B14" s="193" t="s">
        <v>196</v>
      </c>
      <c r="C14" s="194" t="n">
        <v>44000000</v>
      </c>
      <c r="D14" s="194" t="n">
        <v>-44000000</v>
      </c>
      <c r="E14" s="194" t="n">
        <v>0</v>
      </c>
      <c r="F14" s="195" t="s">
        <v>197</v>
      </c>
    </row>
    <row r="15" customFormat="false" ht="31.5" hidden="false" customHeight="true" outlineLevel="0" collapsed="false">
      <c r="B15" s="193" t="s">
        <v>198</v>
      </c>
      <c r="C15" s="194" t="n">
        <v>10000000</v>
      </c>
      <c r="D15" s="194"/>
      <c r="E15" s="194" t="n">
        <v>10000000</v>
      </c>
      <c r="F15" s="196" t="s">
        <v>199</v>
      </c>
    </row>
    <row r="16" customFormat="false" ht="31.5" hidden="false" customHeight="true" outlineLevel="0" collapsed="false">
      <c r="B16" s="197" t="s">
        <v>200</v>
      </c>
      <c r="C16" s="198" t="n">
        <v>52017284</v>
      </c>
      <c r="D16" s="198"/>
      <c r="E16" s="198" t="n">
        <v>52017284</v>
      </c>
      <c r="F16" s="199" t="s">
        <v>201</v>
      </c>
    </row>
    <row r="17" customFormat="false" ht="31.5" hidden="false" customHeight="true" outlineLevel="0" collapsed="false">
      <c r="B17" s="200" t="s">
        <v>119</v>
      </c>
      <c r="C17" s="201" t="n">
        <f aca="false">SUM(C14:C16)</f>
        <v>106017284</v>
      </c>
      <c r="D17" s="201" t="n">
        <f aca="false">SUM(D14:D16)</f>
        <v>-44000000</v>
      </c>
      <c r="E17" s="201" t="n">
        <f aca="false">SUM(E14:E16)</f>
        <v>62017284</v>
      </c>
      <c r="F17" s="202"/>
    </row>
    <row r="18" customFormat="false" ht="31.5" hidden="false" customHeight="true" outlineLevel="0" collapsed="false">
      <c r="B18" s="188"/>
      <c r="C18" s="203"/>
      <c r="D18" s="203"/>
      <c r="E18" s="203"/>
      <c r="F18" s="20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4" activeCellId="0" sqref="B4"/>
    </sheetView>
  </sheetViews>
  <sheetFormatPr defaultColWidth="8.5390625" defaultRowHeight="18" zeroHeight="false" outlineLevelRow="0" outlineLevelCol="0"/>
  <cols>
    <col collapsed="false" customWidth="true" hidden="false" outlineLevel="0" max="5" min="2" style="20" width="18.63"/>
    <col collapsed="false" customWidth="true" hidden="false" outlineLevel="0" max="6" min="6" style="20" width="25.88"/>
  </cols>
  <sheetData>
    <row r="2" customFormat="false" ht="18.75" hidden="false" customHeight="true" outlineLevel="0" collapsed="false">
      <c r="E2" s="47" t="s">
        <v>49</v>
      </c>
    </row>
    <row r="3" customFormat="false" ht="21.75" hidden="false" customHeight="true" outlineLevel="0" collapsed="false">
      <c r="B3" s="61" t="s">
        <v>202</v>
      </c>
      <c r="C3" s="179" t="s">
        <v>74</v>
      </c>
      <c r="D3" s="179" t="s">
        <v>190</v>
      </c>
      <c r="E3" s="179" t="s">
        <v>191</v>
      </c>
      <c r="F3" s="180" t="s">
        <v>192</v>
      </c>
    </row>
    <row r="4" customFormat="false" ht="31.5" hidden="false" customHeight="true" outlineLevel="0" collapsed="false">
      <c r="B4" s="205" t="s">
        <v>203</v>
      </c>
      <c r="C4" s="88"/>
      <c r="D4" s="88"/>
      <c r="E4" s="88"/>
      <c r="F4" s="182"/>
    </row>
    <row r="5" customFormat="false" ht="31.5" hidden="false" customHeight="true" outlineLevel="0" collapsed="false">
      <c r="B5" s="181"/>
      <c r="C5" s="183"/>
      <c r="D5" s="183"/>
      <c r="E5" s="183"/>
      <c r="F5" s="182"/>
    </row>
    <row r="6" customFormat="false" ht="31.5" hidden="false" customHeight="true" outlineLevel="0" collapsed="false">
      <c r="B6" s="181"/>
      <c r="C6" s="183"/>
      <c r="D6" s="183"/>
      <c r="E6" s="183"/>
      <c r="F6" s="182"/>
    </row>
    <row r="7" customFormat="false" ht="31.5" hidden="false" customHeight="true" outlineLevel="0" collapsed="false">
      <c r="B7" s="185"/>
      <c r="C7" s="186"/>
      <c r="D7" s="186"/>
      <c r="E7" s="186"/>
      <c r="F7" s="187"/>
    </row>
    <row r="8" customFormat="false" ht="31.5" hidden="false" customHeight="true" outlineLevel="0" collapsed="false">
      <c r="B8" s="188"/>
      <c r="C8" s="189"/>
      <c r="D8" s="189"/>
      <c r="E8" s="189"/>
      <c r="F8" s="19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15" activeCellId="0" sqref="E15"/>
    </sheetView>
  </sheetViews>
  <sheetFormatPr defaultColWidth="8.5390625" defaultRowHeight="18" zeroHeight="false" outlineLevelRow="0" outlineLevelCol="0"/>
  <cols>
    <col collapsed="false" customWidth="true" hidden="false" outlineLevel="0" max="2" min="2" style="20" width="49.5"/>
    <col collapsed="false" customWidth="true" hidden="false" outlineLevel="0" max="6" min="3" style="20" width="18.63"/>
    <col collapsed="false" customWidth="true" hidden="false" outlineLevel="0" max="7" min="7" style="20" width="32.88"/>
  </cols>
  <sheetData>
    <row r="2" customFormat="false" ht="18.75" hidden="false" customHeight="true" outlineLevel="0" collapsed="false">
      <c r="E2" s="47"/>
      <c r="F2" s="47" t="s">
        <v>49</v>
      </c>
    </row>
    <row r="3" customFormat="false" ht="21.75" hidden="false" customHeight="true" outlineLevel="0" collapsed="false">
      <c r="B3" s="61" t="s">
        <v>204</v>
      </c>
      <c r="C3" s="179" t="s">
        <v>205</v>
      </c>
      <c r="D3" s="179" t="s">
        <v>74</v>
      </c>
      <c r="E3" s="179" t="s">
        <v>190</v>
      </c>
      <c r="F3" s="179" t="s">
        <v>206</v>
      </c>
      <c r="G3" s="180" t="s">
        <v>192</v>
      </c>
    </row>
    <row r="4" customFormat="false" ht="31.5" hidden="false" customHeight="true" outlineLevel="0" collapsed="false">
      <c r="B4" s="206" t="s">
        <v>207</v>
      </c>
      <c r="C4" s="207" t="n">
        <v>89.4</v>
      </c>
      <c r="D4" s="208" t="n">
        <v>2974400</v>
      </c>
      <c r="E4" s="208"/>
      <c r="F4" s="208" t="n">
        <v>2974400</v>
      </c>
      <c r="G4" s="209" t="s">
        <v>208</v>
      </c>
    </row>
    <row r="5" customFormat="false" ht="31.5" hidden="false" customHeight="true" outlineLevel="0" collapsed="false">
      <c r="B5" s="154"/>
      <c r="C5" s="210"/>
      <c r="D5" s="183"/>
      <c r="E5" s="183"/>
      <c r="F5" s="183"/>
      <c r="G5" s="182"/>
    </row>
    <row r="6" customFormat="false" ht="31.5" hidden="false" customHeight="true" outlineLevel="0" collapsed="false">
      <c r="B6" s="164"/>
      <c r="C6" s="210"/>
      <c r="D6" s="35"/>
      <c r="E6" s="183"/>
      <c r="F6" s="183"/>
      <c r="G6" s="182"/>
    </row>
    <row r="7" customFormat="false" ht="31.5" hidden="false" customHeight="true" outlineLevel="0" collapsed="false">
      <c r="B7" s="185"/>
      <c r="C7" s="211"/>
      <c r="D7" s="186"/>
      <c r="E7" s="35"/>
      <c r="F7" s="35"/>
      <c r="G7" s="187"/>
    </row>
    <row r="8" customFormat="false" ht="31.5" hidden="false" customHeight="true" outlineLevel="0" collapsed="false">
      <c r="B8" s="212" t="s">
        <v>119</v>
      </c>
      <c r="C8" s="213" t="n">
        <f aca="false">C4</f>
        <v>89.4</v>
      </c>
      <c r="D8" s="214" t="n">
        <f aca="false">D4</f>
        <v>2974400</v>
      </c>
      <c r="E8" s="214" t="n">
        <f aca="false">SUM(E4:E7)</f>
        <v>0</v>
      </c>
      <c r="F8" s="214" t="n">
        <f aca="false">F4</f>
        <v>2974400</v>
      </c>
      <c r="G8" s="21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8.5390625" defaultRowHeight="18" zeroHeight="false" outlineLevelRow="0" outlineLevelCol="0"/>
  <cols>
    <col collapsed="false" customWidth="true" hidden="false" outlineLevel="0" max="2" min="2" style="20" width="41.38"/>
    <col collapsed="false" customWidth="true" hidden="false" outlineLevel="0" max="5" min="3" style="20" width="18.63"/>
    <col collapsed="false" customWidth="true" hidden="false" outlineLevel="0" max="6" min="6" style="20" width="33.13"/>
  </cols>
  <sheetData>
    <row r="2" customFormat="false" ht="18.75" hidden="false" customHeight="true" outlineLevel="0" collapsed="false">
      <c r="E2" s="47" t="s">
        <v>49</v>
      </c>
    </row>
    <row r="3" customFormat="false" ht="21.75" hidden="false" customHeight="true" outlineLevel="0" collapsed="false">
      <c r="B3" s="61" t="s">
        <v>209</v>
      </c>
      <c r="C3" s="179" t="s">
        <v>74</v>
      </c>
      <c r="D3" s="179" t="s">
        <v>190</v>
      </c>
      <c r="E3" s="179" t="s">
        <v>191</v>
      </c>
      <c r="F3" s="180" t="s">
        <v>192</v>
      </c>
    </row>
    <row r="4" customFormat="false" ht="31.5" hidden="false" customHeight="true" outlineLevel="0" collapsed="false">
      <c r="B4" s="205" t="s">
        <v>210</v>
      </c>
      <c r="C4" s="88"/>
      <c r="D4" s="88"/>
      <c r="E4" s="88"/>
      <c r="F4" s="182"/>
    </row>
    <row r="5" customFormat="false" ht="31.5" hidden="false" customHeight="true" outlineLevel="0" collapsed="false">
      <c r="B5" s="154"/>
      <c r="C5" s="183"/>
      <c r="D5" s="183"/>
      <c r="E5" s="183"/>
      <c r="F5" s="182"/>
    </row>
    <row r="6" customFormat="false" ht="31.5" hidden="false" customHeight="true" outlineLevel="0" collapsed="false">
      <c r="B6" s="164"/>
      <c r="C6" s="183"/>
      <c r="D6" s="183"/>
      <c r="E6" s="183"/>
      <c r="F6" s="182"/>
    </row>
    <row r="7" customFormat="false" ht="31.5" hidden="false" customHeight="true" outlineLevel="0" collapsed="false">
      <c r="B7" s="185"/>
      <c r="C7" s="186"/>
      <c r="D7" s="186"/>
      <c r="E7" s="186"/>
      <c r="F7" s="187"/>
    </row>
    <row r="8" customFormat="false" ht="31.5" hidden="false" customHeight="true" outlineLevel="0" collapsed="false">
      <c r="B8" s="216"/>
      <c r="C8" s="189"/>
      <c r="D8" s="189"/>
      <c r="E8" s="189"/>
      <c r="F8" s="19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F14" activeCellId="0" sqref="F14"/>
    </sheetView>
  </sheetViews>
  <sheetFormatPr defaultColWidth="8.5390625" defaultRowHeight="18" zeroHeight="false" outlineLevelRow="0" outlineLevelCol="0"/>
  <cols>
    <col collapsed="false" customWidth="true" hidden="false" outlineLevel="0" max="2" min="2" style="20" width="35.13"/>
    <col collapsed="false" customWidth="true" hidden="false" outlineLevel="0" max="3" min="3" style="20" width="21.13"/>
    <col collapsed="false" customWidth="true" hidden="false" outlineLevel="0" max="6" min="4" style="20" width="18.63"/>
    <col collapsed="false" customWidth="true" hidden="false" outlineLevel="0" max="7" min="7" style="20" width="31.38"/>
  </cols>
  <sheetData>
    <row r="2" customFormat="false" ht="18.75" hidden="false" customHeight="true" outlineLevel="0" collapsed="false">
      <c r="F2" s="47" t="s">
        <v>49</v>
      </c>
    </row>
    <row r="3" customFormat="false" ht="21.75" hidden="false" customHeight="true" outlineLevel="0" collapsed="false">
      <c r="B3" s="61" t="s">
        <v>211</v>
      </c>
      <c r="C3" s="217" t="s">
        <v>212</v>
      </c>
      <c r="D3" s="179" t="s">
        <v>74</v>
      </c>
      <c r="E3" s="179" t="s">
        <v>190</v>
      </c>
      <c r="F3" s="179" t="s">
        <v>191</v>
      </c>
      <c r="G3" s="180" t="s">
        <v>192</v>
      </c>
    </row>
    <row r="4" customFormat="false" ht="31.5" hidden="false" customHeight="true" outlineLevel="0" collapsed="false">
      <c r="B4" s="205" t="s">
        <v>213</v>
      </c>
      <c r="C4" s="218"/>
      <c r="D4" s="88"/>
      <c r="E4" s="88"/>
      <c r="F4" s="88"/>
      <c r="G4" s="182"/>
    </row>
    <row r="5" customFormat="false" ht="31.5" hidden="false" customHeight="true" outlineLevel="0" collapsed="false">
      <c r="B5" s="154"/>
      <c r="C5" s="219"/>
      <c r="D5" s="183"/>
      <c r="E5" s="183"/>
      <c r="F5" s="183"/>
      <c r="G5" s="182"/>
    </row>
    <row r="6" customFormat="false" ht="31.5" hidden="false" customHeight="true" outlineLevel="0" collapsed="false">
      <c r="B6" s="164"/>
      <c r="C6" s="220"/>
      <c r="D6" s="183"/>
      <c r="E6" s="183"/>
      <c r="F6" s="183"/>
      <c r="G6" s="182"/>
    </row>
    <row r="7" customFormat="false" ht="31.5" hidden="false" customHeight="true" outlineLevel="0" collapsed="false">
      <c r="B7" s="154"/>
      <c r="C7" s="219"/>
      <c r="D7" s="183"/>
      <c r="E7" s="183"/>
      <c r="F7" s="183"/>
      <c r="G7" s="182"/>
    </row>
    <row r="8" customFormat="false" ht="31.5" hidden="false" customHeight="true" outlineLevel="0" collapsed="false">
      <c r="B8" s="185"/>
      <c r="C8" s="221"/>
      <c r="D8" s="186"/>
      <c r="E8" s="35"/>
      <c r="F8" s="186"/>
      <c r="G8" s="187"/>
    </row>
    <row r="9" customFormat="false" ht="31.5" hidden="false" customHeight="true" outlineLevel="0" collapsed="false">
      <c r="B9" s="188"/>
      <c r="C9" s="222"/>
      <c r="D9" s="189"/>
      <c r="E9" s="189"/>
      <c r="F9" s="189"/>
      <c r="G9" s="19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89C9"/>
    <pageSetUpPr fitToPage="false"/>
  </sheetPr>
  <dimension ref="B2:G10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4" topLeftCell="A41" activePane="bottomLeft" state="frozen"/>
      <selection pane="topLeft" activeCell="A1" activeCellId="0" sqref="A1"/>
      <selection pane="bottomLeft" activeCell="A53" activeCellId="0" sqref="A53"/>
    </sheetView>
  </sheetViews>
  <sheetFormatPr defaultColWidth="8.5390625" defaultRowHeight="18" zeroHeight="false" outlineLevelRow="0" outlineLevelCol="0"/>
  <cols>
    <col collapsed="false" customWidth="true" hidden="false" outlineLevel="0" max="2" min="2" style="46" width="28"/>
    <col collapsed="false" customWidth="true" hidden="false" outlineLevel="0" max="5" min="3" style="20" width="16.13"/>
    <col collapsed="false" customWidth="true" hidden="false" outlineLevel="0" max="6" min="6" style="20" width="8.88"/>
    <col collapsed="false" customWidth="true" hidden="false" outlineLevel="0" max="7" min="7" style="20" width="62"/>
  </cols>
  <sheetData>
    <row r="2" customFormat="false" ht="18.75" hidden="false" customHeight="true" outlineLevel="0" collapsed="false">
      <c r="E2" s="47" t="s">
        <v>49</v>
      </c>
    </row>
    <row r="3" customFormat="false" ht="27.75" hidden="false" customHeight="true" outlineLevel="0" collapsed="false">
      <c r="B3" s="223" t="s">
        <v>50</v>
      </c>
      <c r="C3" s="223"/>
      <c r="D3" s="223"/>
      <c r="E3" s="223"/>
      <c r="G3" s="144" t="s">
        <v>181</v>
      </c>
    </row>
    <row r="4" customFormat="false" ht="19.5" hidden="false" customHeight="true" outlineLevel="0" collapsed="false">
      <c r="B4" s="180" t="s">
        <v>6</v>
      </c>
      <c r="C4" s="224" t="str">
        <f aca="false">'修正BS(借方)'!C4</f>
        <v>25年11月期</v>
      </c>
      <c r="D4" s="225" t="s">
        <v>182</v>
      </c>
      <c r="E4" s="12" t="s">
        <v>183</v>
      </c>
    </row>
    <row r="5" customFormat="false" ht="22.5" hidden="false" customHeight="true" outlineLevel="0" collapsed="false">
      <c r="B5" s="226" t="s">
        <v>51</v>
      </c>
      <c r="C5" s="94" t="n">
        <f aca="false">SUM(C6:C17)</f>
        <v>47672202</v>
      </c>
      <c r="D5" s="14" t="n">
        <f aca="false">SUM(D6:D17)</f>
        <v>0</v>
      </c>
      <c r="E5" s="15" t="n">
        <f aca="false">C5+D5</f>
        <v>47672202</v>
      </c>
    </row>
    <row r="6" customFormat="false" ht="22.5" hidden="false" customHeight="true" outlineLevel="0" collapsed="false">
      <c r="B6" s="103" t="str">
        <f aca="false">'BS (貸方)'!B6</f>
        <v>買掛金</v>
      </c>
      <c r="C6" s="35" t="n">
        <f aca="false">'BS (貸方)'!F6</f>
        <v>9202412</v>
      </c>
      <c r="D6" s="52"/>
      <c r="E6" s="18" t="n">
        <f aca="false">C6+D6</f>
        <v>9202412</v>
      </c>
    </row>
    <row r="7" customFormat="false" ht="22.5" hidden="false" customHeight="true" outlineLevel="0" collapsed="false">
      <c r="B7" s="103" t="str">
        <f aca="false">'BS (貸方)'!B7</f>
        <v>短期借入金</v>
      </c>
      <c r="C7" s="35" t="n">
        <f aca="false">'BS (貸方)'!F7</f>
        <v>0</v>
      </c>
      <c r="D7" s="52"/>
      <c r="E7" s="18" t="n">
        <f aca="false">C7+D7</f>
        <v>0</v>
      </c>
    </row>
    <row r="8" customFormat="false" ht="22.5" hidden="false" customHeight="true" outlineLevel="0" collapsed="false">
      <c r="B8" s="103" t="str">
        <f aca="false">'BS (貸方)'!B8</f>
        <v>未払金</v>
      </c>
      <c r="C8" s="35" t="n">
        <f aca="false">'BS (貸方)'!F8</f>
        <v>714227</v>
      </c>
      <c r="D8" s="52"/>
      <c r="E8" s="18" t="n">
        <f aca="false">C8+D8</f>
        <v>714227</v>
      </c>
    </row>
    <row r="9" customFormat="false" ht="22.5" hidden="false" customHeight="true" outlineLevel="0" collapsed="false">
      <c r="B9" s="103" t="str">
        <f aca="false">'BS (貸方)'!B9</f>
        <v>未払費用</v>
      </c>
      <c r="C9" s="35" t="n">
        <f aca="false">'BS (貸方)'!F9</f>
        <v>20113617</v>
      </c>
      <c r="D9" s="52"/>
      <c r="E9" s="18" t="n">
        <f aca="false">C9+D9</f>
        <v>20113617</v>
      </c>
      <c r="G9" s="141" t="s">
        <v>214</v>
      </c>
    </row>
    <row r="10" customFormat="false" ht="22.5" hidden="false" customHeight="true" outlineLevel="0" collapsed="false">
      <c r="B10" s="103" t="str">
        <f aca="false">'BS (貸方)'!B10</f>
        <v>未払法人税等</v>
      </c>
      <c r="C10" s="35" t="n">
        <f aca="false">'BS (貸方)'!F10</f>
        <v>242500</v>
      </c>
      <c r="D10" s="52"/>
      <c r="E10" s="18" t="n">
        <f aca="false">C10+D10</f>
        <v>242500</v>
      </c>
    </row>
    <row r="11" customFormat="false" ht="22.5" hidden="false" customHeight="true" outlineLevel="0" collapsed="false">
      <c r="B11" s="103" t="str">
        <f aca="false">'BS (貸方)'!B11</f>
        <v>未払消費税等</v>
      </c>
      <c r="C11" s="35" t="n">
        <f aca="false">'BS (貸方)'!F11</f>
        <v>11784100</v>
      </c>
      <c r="D11" s="52"/>
      <c r="E11" s="18" t="n">
        <f aca="false">C11+D11</f>
        <v>11784100</v>
      </c>
    </row>
    <row r="12" customFormat="false" ht="22.5" hidden="false" customHeight="true" outlineLevel="0" collapsed="false">
      <c r="B12" s="103" t="str">
        <f aca="false">'BS (貸方)'!B12</f>
        <v>預り金</v>
      </c>
      <c r="C12" s="35" t="n">
        <f aca="false">'BS (貸方)'!F12</f>
        <v>2391530</v>
      </c>
      <c r="D12" s="52"/>
      <c r="E12" s="18" t="n">
        <f aca="false">C12+D12</f>
        <v>2391530</v>
      </c>
    </row>
    <row r="13" customFormat="false" ht="22.5" hidden="false" customHeight="true" outlineLevel="0" collapsed="false">
      <c r="B13" s="103" t="str">
        <f aca="false">'BS (貸方)'!B13</f>
        <v>カード未払金</v>
      </c>
      <c r="C13" s="35" t="n">
        <f aca="false">'BS (貸方)'!F13</f>
        <v>3223816</v>
      </c>
      <c r="D13" s="52"/>
      <c r="E13" s="18" t="n">
        <f aca="false">C13+D13</f>
        <v>3223816</v>
      </c>
    </row>
    <row r="14" customFormat="false" ht="22.5" hidden="false" customHeight="true" outlineLevel="0" collapsed="false">
      <c r="B14" s="103" t="n">
        <f aca="false">'BS (貸方)'!B14</f>
        <v>0</v>
      </c>
      <c r="C14" s="35" t="n">
        <f aca="false">'BS (貸方)'!F14</f>
        <v>0</v>
      </c>
      <c r="D14" s="52"/>
      <c r="E14" s="18" t="n">
        <f aca="false">C14+D14</f>
        <v>0</v>
      </c>
    </row>
    <row r="15" customFormat="false" ht="22.5" hidden="false" customHeight="true" outlineLevel="0" collapsed="false">
      <c r="B15" s="103" t="n">
        <f aca="false">'BS (貸方)'!B15</f>
        <v>0</v>
      </c>
      <c r="C15" s="35" t="n">
        <f aca="false">'BS (貸方)'!F15</f>
        <v>0</v>
      </c>
      <c r="D15" s="52"/>
      <c r="E15" s="18" t="n">
        <f aca="false">C15+D15</f>
        <v>0</v>
      </c>
    </row>
    <row r="16" customFormat="false" ht="22.5" hidden="false" customHeight="true" outlineLevel="0" collapsed="false">
      <c r="B16" s="103" t="n">
        <f aca="false">'BS (貸方)'!B16</f>
        <v>0</v>
      </c>
      <c r="C16" s="35" t="n">
        <f aca="false">'BS (貸方)'!F16</f>
        <v>0</v>
      </c>
      <c r="D16" s="52"/>
      <c r="E16" s="18" t="n">
        <f aca="false">C16+D16</f>
        <v>0</v>
      </c>
    </row>
    <row r="17" customFormat="false" ht="22.5" hidden="false" customHeight="true" outlineLevel="0" collapsed="false">
      <c r="B17" s="104"/>
      <c r="C17" s="37"/>
      <c r="D17" s="54"/>
      <c r="E17" s="18" t="n">
        <f aca="false">C17+D17</f>
        <v>0</v>
      </c>
    </row>
    <row r="18" customFormat="false" ht="22.5" hidden="false" customHeight="true" outlineLevel="0" collapsed="false">
      <c r="B18" s="226" t="s">
        <v>60</v>
      </c>
      <c r="C18" s="94" t="n">
        <f aca="false">SUM(C19:C26)</f>
        <v>201769790</v>
      </c>
      <c r="D18" s="14" t="n">
        <f aca="false">SUM(D19:D26)</f>
        <v>0</v>
      </c>
      <c r="E18" s="156" t="n">
        <f aca="false">C18+D18</f>
        <v>201769790</v>
      </c>
    </row>
    <row r="19" customFormat="false" ht="22.5" hidden="false" customHeight="true" outlineLevel="0" collapsed="false">
      <c r="B19" s="103" t="str">
        <f aca="false">'BS (貸方)'!B19</f>
        <v>長期借入金</v>
      </c>
      <c r="C19" s="35" t="n">
        <f aca="false">'BS (貸方)'!F19</f>
        <v>191858000</v>
      </c>
      <c r="D19" s="52"/>
      <c r="E19" s="18" t="n">
        <f aca="false">C19+D19</f>
        <v>191858000</v>
      </c>
      <c r="G19" s="142" t="s">
        <v>215</v>
      </c>
    </row>
    <row r="20" customFormat="false" ht="22.5" hidden="false" customHeight="true" outlineLevel="0" collapsed="false">
      <c r="B20" s="103" t="str">
        <f aca="false">'BS (貸方)'!B20</f>
        <v>役員借入金</v>
      </c>
      <c r="C20" s="35" t="n">
        <f aca="false">'BS (貸方)'!F20</f>
        <v>7565770</v>
      </c>
      <c r="D20" s="52"/>
      <c r="E20" s="18" t="n">
        <f aca="false">C20+D20</f>
        <v>7565770</v>
      </c>
      <c r="G20" s="141" t="s">
        <v>216</v>
      </c>
    </row>
    <row r="21" customFormat="false" ht="22.5" hidden="false" customHeight="true" outlineLevel="0" collapsed="false">
      <c r="B21" s="103" t="str">
        <f aca="false">'BS (貸方)'!B21</f>
        <v>長期未払金</v>
      </c>
      <c r="C21" s="35" t="n">
        <f aca="false">'BS (貸方)'!F21</f>
        <v>2346020</v>
      </c>
      <c r="D21" s="52"/>
      <c r="E21" s="18" t="n">
        <f aca="false">C21+D21</f>
        <v>2346020</v>
      </c>
    </row>
    <row r="22" customFormat="false" ht="22.5" hidden="false" customHeight="true" outlineLevel="0" collapsed="false">
      <c r="B22" s="103" t="n">
        <f aca="false">'BS (貸方)'!B22</f>
        <v>0</v>
      </c>
      <c r="C22" s="35" t="n">
        <f aca="false">'BS (貸方)'!F22</f>
        <v>0</v>
      </c>
      <c r="D22" s="52"/>
      <c r="E22" s="18" t="n">
        <f aca="false">C22+D22</f>
        <v>0</v>
      </c>
    </row>
    <row r="23" customFormat="false" ht="22.5" hidden="false" customHeight="true" outlineLevel="0" collapsed="false">
      <c r="B23" s="103" t="n">
        <f aca="false">'BS (貸方)'!B23</f>
        <v>0</v>
      </c>
      <c r="C23" s="35" t="n">
        <f aca="false">'BS (貸方)'!F23</f>
        <v>0</v>
      </c>
      <c r="D23" s="52"/>
      <c r="E23" s="18" t="n">
        <f aca="false">C23+D23</f>
        <v>0</v>
      </c>
    </row>
    <row r="24" customFormat="false" ht="22.5" hidden="false" customHeight="true" outlineLevel="0" collapsed="false">
      <c r="B24" s="103"/>
      <c r="C24" s="35"/>
      <c r="D24" s="52"/>
      <c r="E24" s="18" t="n">
        <f aca="false">C24+D24</f>
        <v>0</v>
      </c>
    </row>
    <row r="25" customFormat="false" ht="22.5" hidden="false" customHeight="true" outlineLevel="0" collapsed="false">
      <c r="B25" s="103"/>
      <c r="C25" s="35"/>
      <c r="D25" s="52"/>
      <c r="E25" s="18" t="n">
        <f aca="false">C25+D25</f>
        <v>0</v>
      </c>
    </row>
    <row r="26" customFormat="false" ht="22.5" hidden="false" customHeight="true" outlineLevel="0" collapsed="false">
      <c r="B26" s="103"/>
      <c r="C26" s="35"/>
      <c r="D26" s="52"/>
      <c r="E26" s="18" t="n">
        <f aca="false">C26+D26</f>
        <v>0</v>
      </c>
    </row>
    <row r="27" customFormat="false" ht="22.5" hidden="false" customHeight="true" outlineLevel="0" collapsed="false">
      <c r="B27" s="93" t="s">
        <v>217</v>
      </c>
      <c r="C27" s="139" t="n">
        <v>0</v>
      </c>
      <c r="D27" s="227" t="n">
        <v>0</v>
      </c>
      <c r="E27" s="156" t="n">
        <f aca="false">C27+D27</f>
        <v>0</v>
      </c>
    </row>
    <row r="28" customFormat="false" ht="22.5" hidden="false" customHeight="true" outlineLevel="0" collapsed="false">
      <c r="B28" s="228" t="s">
        <v>64</v>
      </c>
      <c r="C28" s="229" t="n">
        <f aca="false">C5+C18+C27</f>
        <v>249441992</v>
      </c>
      <c r="D28" s="57" t="n">
        <f aca="false">D5+D18+D27</f>
        <v>0</v>
      </c>
      <c r="E28" s="230" t="n">
        <f aca="false">C28+D28</f>
        <v>249441992</v>
      </c>
    </row>
    <row r="29" customFormat="false" ht="22.5" hidden="false" customHeight="true" outlineLevel="0" collapsed="false">
      <c r="B29" s="231"/>
      <c r="C29" s="60"/>
      <c r="D29" s="60"/>
      <c r="E29" s="60"/>
    </row>
    <row r="30" customFormat="false" ht="22.5" hidden="false" customHeight="true" outlineLevel="0" collapsed="false">
      <c r="B30" s="231"/>
      <c r="C30" s="17"/>
      <c r="D30" s="17"/>
      <c r="E30" s="17"/>
    </row>
    <row r="31" customFormat="false" ht="22.5" hidden="false" customHeight="true" outlineLevel="0" collapsed="false">
      <c r="B31" s="231"/>
      <c r="C31" s="17"/>
      <c r="D31" s="17"/>
      <c r="E31" s="17"/>
    </row>
    <row r="32" customFormat="false" ht="22.5" hidden="false" customHeight="true" outlineLevel="0" collapsed="false">
      <c r="B32" s="231"/>
      <c r="C32" s="17"/>
      <c r="D32" s="17"/>
      <c r="E32" s="17"/>
    </row>
    <row r="33" customFormat="false" ht="22.5" hidden="false" customHeight="true" outlineLevel="0" collapsed="false">
      <c r="B33" s="231"/>
      <c r="C33" s="17"/>
      <c r="D33" s="17"/>
      <c r="E33" s="17"/>
    </row>
    <row r="34" customFormat="false" ht="21.75" hidden="false" customHeight="true" outlineLevel="0" collapsed="false">
      <c r="B34" s="232" t="s">
        <v>65</v>
      </c>
      <c r="C34" s="232"/>
      <c r="D34" s="232"/>
      <c r="E34" s="232"/>
    </row>
    <row r="35" customFormat="false" ht="21.75" hidden="false" customHeight="true" outlineLevel="0" collapsed="false">
      <c r="B35" s="226" t="s">
        <v>66</v>
      </c>
      <c r="C35" s="94" t="n">
        <f aca="false">SUM(C36:C38)</f>
        <v>1000000</v>
      </c>
      <c r="D35" s="14" t="n">
        <f aca="false">SUM(D36:D38)</f>
        <v>0</v>
      </c>
      <c r="E35" s="15" t="n">
        <f aca="false">C35+D35</f>
        <v>1000000</v>
      </c>
    </row>
    <row r="36" customFormat="false" ht="21.75" hidden="false" customHeight="true" outlineLevel="0" collapsed="false">
      <c r="B36" s="233" t="str">
        <f aca="false">'BS (貸方)'!B36</f>
        <v>資本金</v>
      </c>
      <c r="C36" s="60" t="n">
        <f aca="false">'BS (貸方)'!F36</f>
        <v>1000000</v>
      </c>
      <c r="D36" s="17"/>
      <c r="E36" s="18" t="n">
        <f aca="false">C36+D36</f>
        <v>1000000</v>
      </c>
    </row>
    <row r="37" customFormat="false" ht="21.75" hidden="false" customHeight="true" outlineLevel="0" collapsed="false">
      <c r="B37" s="233"/>
      <c r="C37" s="17"/>
      <c r="D37" s="17"/>
      <c r="E37" s="18" t="n">
        <f aca="false">C37+D37</f>
        <v>0</v>
      </c>
    </row>
    <row r="38" customFormat="false" ht="21.75" hidden="false" customHeight="true" outlineLevel="0" collapsed="false">
      <c r="B38" s="234"/>
      <c r="C38" s="37"/>
      <c r="D38" s="54"/>
      <c r="E38" s="18" t="n">
        <f aca="false">C38+D38</f>
        <v>0</v>
      </c>
    </row>
    <row r="39" customFormat="false" ht="21.75" hidden="false" customHeight="true" outlineLevel="0" collapsed="false">
      <c r="B39" s="226" t="s">
        <v>68</v>
      </c>
      <c r="C39" s="139" t="n">
        <f aca="false">SUM(C40:C42)</f>
        <v>0</v>
      </c>
      <c r="D39" s="227" t="n">
        <f aca="false">SUM(D40:D42)</f>
        <v>0</v>
      </c>
      <c r="E39" s="156" t="n">
        <f aca="false">C39+D39</f>
        <v>0</v>
      </c>
    </row>
    <row r="40" customFormat="false" ht="21.75" hidden="false" customHeight="true" outlineLevel="0" collapsed="false">
      <c r="B40" s="235"/>
      <c r="C40" s="236"/>
      <c r="D40" s="237"/>
      <c r="E40" s="238" t="n">
        <f aca="false">C40+D40</f>
        <v>0</v>
      </c>
    </row>
    <row r="41" customFormat="false" ht="21.75" hidden="false" customHeight="true" outlineLevel="0" collapsed="false">
      <c r="B41" s="233"/>
      <c r="C41" s="35"/>
      <c r="D41" s="52"/>
      <c r="E41" s="18" t="n">
        <f aca="false">C41+D41</f>
        <v>0</v>
      </c>
    </row>
    <row r="42" customFormat="false" ht="21.75" hidden="false" customHeight="true" outlineLevel="0" collapsed="false">
      <c r="B42" s="239"/>
      <c r="C42" s="37"/>
      <c r="D42" s="54"/>
      <c r="E42" s="18" t="n">
        <f aca="false">C42+D42</f>
        <v>0</v>
      </c>
    </row>
    <row r="43" customFormat="false" ht="22.5" hidden="false" customHeight="true" outlineLevel="0" collapsed="false">
      <c r="B43" s="226" t="s">
        <v>69</v>
      </c>
      <c r="C43" s="139" t="n">
        <f aca="false">SUM(C44:C47)</f>
        <v>-15056815</v>
      </c>
      <c r="D43" s="227" t="n">
        <f aca="false">SUM(D44:D47)</f>
        <v>0</v>
      </c>
      <c r="E43" s="156" t="n">
        <f aca="false">C43+D43</f>
        <v>-15056815</v>
      </c>
    </row>
    <row r="44" customFormat="false" ht="22.5" hidden="false" customHeight="true" outlineLevel="0" collapsed="false">
      <c r="B44" s="233" t="str">
        <f aca="false">'BS (貸方)'!B44</f>
        <v>繰越利益剰余金</v>
      </c>
      <c r="C44" s="60" t="n">
        <f aca="false">'BS (貸方)'!F44</f>
        <v>-15056815</v>
      </c>
      <c r="D44" s="17"/>
      <c r="E44" s="18" t="n">
        <f aca="false">C44+D44</f>
        <v>-15056815</v>
      </c>
    </row>
    <row r="45" customFormat="false" ht="22.5" hidden="false" customHeight="true" outlineLevel="0" collapsed="false">
      <c r="B45" s="233" t="n">
        <f aca="false">'BS (貸方)'!B45</f>
        <v>0</v>
      </c>
      <c r="C45" s="17" t="n">
        <f aca="false">'BS (貸方)'!F45</f>
        <v>0</v>
      </c>
      <c r="D45" s="17"/>
      <c r="E45" s="18" t="n">
        <f aca="false">C45+D45</f>
        <v>0</v>
      </c>
    </row>
    <row r="46" customFormat="false" ht="22.5" hidden="false" customHeight="true" outlineLevel="0" collapsed="false">
      <c r="B46" s="233" t="n">
        <f aca="false">'BS (貸方)'!B46</f>
        <v>0</v>
      </c>
      <c r="C46" s="17" t="n">
        <f aca="false">'BS (貸方)'!F46</f>
        <v>0</v>
      </c>
      <c r="D46" s="17"/>
      <c r="E46" s="18" t="n">
        <f aca="false">C46+D46</f>
        <v>0</v>
      </c>
    </row>
    <row r="47" customFormat="false" ht="22.5" hidden="false" customHeight="true" outlineLevel="0" collapsed="false">
      <c r="B47" s="234"/>
      <c r="C47" s="37"/>
      <c r="D47" s="54"/>
      <c r="E47" s="18" t="n">
        <f aca="false">C47+D47</f>
        <v>0</v>
      </c>
    </row>
    <row r="48" customFormat="false" ht="22.5" hidden="false" customHeight="true" outlineLevel="0" collapsed="false">
      <c r="B48" s="93" t="s">
        <v>71</v>
      </c>
      <c r="C48" s="139" t="n">
        <v>0</v>
      </c>
      <c r="D48" s="227" t="n">
        <v>0</v>
      </c>
      <c r="E48" s="156" t="n">
        <f aca="false">C48+D48</f>
        <v>0</v>
      </c>
    </row>
    <row r="49" customFormat="false" ht="22.5" hidden="false" customHeight="true" outlineLevel="0" collapsed="false">
      <c r="B49" s="93" t="s">
        <v>218</v>
      </c>
      <c r="C49" s="139"/>
      <c r="D49" s="227" t="n">
        <f aca="false">SUM(D50:D51)</f>
        <v>-47150004</v>
      </c>
      <c r="E49" s="156" t="n">
        <f aca="false">C49+D49</f>
        <v>-47150004</v>
      </c>
    </row>
    <row r="50" customFormat="false" ht="22.5" hidden="false" customHeight="true" outlineLevel="0" collapsed="false">
      <c r="B50" s="240" t="s">
        <v>182</v>
      </c>
      <c r="C50" s="241"/>
      <c r="D50" s="242" t="n">
        <f aca="false">'修正BS(借方)'!D61-D28</f>
        <v>-47150004</v>
      </c>
      <c r="E50" s="243" t="n">
        <f aca="false">C50+D50</f>
        <v>-47150004</v>
      </c>
    </row>
    <row r="51" customFormat="false" ht="22.5" hidden="false" customHeight="true" outlineLevel="0" collapsed="false">
      <c r="B51" s="244" t="s">
        <v>219</v>
      </c>
      <c r="C51" s="34"/>
      <c r="D51" s="245" t="n">
        <f aca="false">'修正BS(借方)'!D60-D27</f>
        <v>0</v>
      </c>
      <c r="E51" s="157" t="n">
        <f aca="false">C51+D51</f>
        <v>0</v>
      </c>
    </row>
    <row r="52" customFormat="false" ht="22.5" hidden="false" customHeight="true" outlineLevel="0" collapsed="false">
      <c r="B52" s="246" t="s">
        <v>72</v>
      </c>
      <c r="C52" s="247" t="n">
        <f aca="false">C35+C39+C43+C48</f>
        <v>-14056815</v>
      </c>
      <c r="D52" s="247" t="n">
        <f aca="false">D35+D39+D43+D48+D49</f>
        <v>-47150004</v>
      </c>
      <c r="E52" s="248" t="n">
        <f aca="false">C52+D52</f>
        <v>-61206819</v>
      </c>
    </row>
    <row r="53" customFormat="false" ht="22.5" hidden="false" customHeight="true" outlineLevel="0" collapsed="false">
      <c r="B53" s="249" t="s">
        <v>73</v>
      </c>
      <c r="C53" s="250" t="n">
        <f aca="false">C28+C52</f>
        <v>235385177</v>
      </c>
      <c r="D53" s="250" t="n">
        <f aca="false">D28+D52</f>
        <v>-47150004</v>
      </c>
      <c r="E53" s="251" t="n">
        <f aca="false">C53+D53</f>
        <v>188235173</v>
      </c>
    </row>
    <row r="54" customFormat="false" ht="18" hidden="false" customHeight="true" outlineLevel="0" collapsed="false">
      <c r="C54" s="43"/>
      <c r="D54" s="43"/>
      <c r="E54" s="43"/>
    </row>
    <row r="55" customFormat="false" ht="18" hidden="false" customHeight="true" outlineLevel="0" collapsed="false">
      <c r="B55" s="141" t="s">
        <v>220</v>
      </c>
      <c r="C55" s="43" t="n">
        <f aca="false">C53='修正BS(借方)'!C61</f>
        <v>1</v>
      </c>
      <c r="D55" s="43"/>
      <c r="E55" s="43"/>
    </row>
    <row r="56" customFormat="false" ht="18" hidden="false" customHeight="true" outlineLevel="0" collapsed="false">
      <c r="C56" s="43"/>
      <c r="D56" s="43"/>
      <c r="E56" s="43"/>
    </row>
    <row r="57" customFormat="false" ht="18" hidden="false" customHeight="true" outlineLevel="0" collapsed="false">
      <c r="C57" s="43"/>
      <c r="D57" s="43"/>
      <c r="E57" s="43"/>
    </row>
    <row r="58" customFormat="false" ht="18" hidden="false" customHeight="true" outlineLevel="0" collapsed="false">
      <c r="C58" s="43"/>
      <c r="D58" s="43"/>
      <c r="E58" s="43"/>
    </row>
    <row r="59" customFormat="false" ht="18" hidden="false" customHeight="true" outlineLevel="0" collapsed="false">
      <c r="C59" s="43"/>
      <c r="D59" s="43"/>
      <c r="E59" s="43"/>
    </row>
    <row r="60" customFormat="false" ht="18" hidden="false" customHeight="true" outlineLevel="0" collapsed="false">
      <c r="C60" s="43"/>
      <c r="D60" s="43"/>
      <c r="E60" s="43"/>
    </row>
    <row r="61" customFormat="false" ht="18" hidden="false" customHeight="true" outlineLevel="0" collapsed="false">
      <c r="C61" s="43"/>
      <c r="D61" s="43"/>
      <c r="E61" s="43"/>
    </row>
    <row r="62" customFormat="false" ht="18" hidden="false" customHeight="true" outlineLevel="0" collapsed="false">
      <c r="C62" s="43"/>
      <c r="D62" s="43"/>
      <c r="E62" s="43"/>
    </row>
    <row r="63" customFormat="false" ht="18" hidden="false" customHeight="true" outlineLevel="0" collapsed="false">
      <c r="C63" s="43"/>
      <c r="D63" s="43"/>
      <c r="E63" s="43"/>
    </row>
    <row r="64" customFormat="false" ht="18" hidden="false" customHeight="true" outlineLevel="0" collapsed="false">
      <c r="C64" s="43"/>
      <c r="D64" s="43"/>
      <c r="E64" s="43"/>
    </row>
    <row r="65" customFormat="false" ht="18" hidden="false" customHeight="true" outlineLevel="0" collapsed="false">
      <c r="C65" s="43"/>
      <c r="D65" s="43"/>
      <c r="E65" s="43"/>
    </row>
    <row r="66" customFormat="false" ht="18" hidden="false" customHeight="true" outlineLevel="0" collapsed="false">
      <c r="C66" s="43"/>
      <c r="D66" s="43"/>
      <c r="E66" s="43"/>
    </row>
    <row r="67" customFormat="false" ht="18" hidden="false" customHeight="true" outlineLevel="0" collapsed="false">
      <c r="C67" s="43"/>
      <c r="D67" s="43"/>
      <c r="E67" s="43"/>
    </row>
    <row r="68" customFormat="false" ht="18" hidden="false" customHeight="true" outlineLevel="0" collapsed="false">
      <c r="C68" s="43"/>
      <c r="D68" s="43"/>
      <c r="E68" s="43"/>
    </row>
    <row r="69" customFormat="false" ht="18" hidden="false" customHeight="true" outlineLevel="0" collapsed="false">
      <c r="C69" s="43"/>
      <c r="D69" s="43"/>
      <c r="E69" s="43"/>
    </row>
    <row r="70" customFormat="false" ht="18" hidden="false" customHeight="true" outlineLevel="0" collapsed="false">
      <c r="C70" s="43"/>
      <c r="D70" s="43"/>
      <c r="E70" s="43"/>
    </row>
    <row r="71" customFormat="false" ht="18" hidden="false" customHeight="true" outlineLevel="0" collapsed="false">
      <c r="C71" s="43"/>
      <c r="D71" s="43"/>
      <c r="E71" s="43"/>
    </row>
    <row r="72" customFormat="false" ht="18" hidden="false" customHeight="true" outlineLevel="0" collapsed="false">
      <c r="C72" s="43"/>
      <c r="D72" s="43"/>
      <c r="E72" s="43"/>
    </row>
    <row r="73" customFormat="false" ht="18" hidden="false" customHeight="true" outlineLevel="0" collapsed="false">
      <c r="C73" s="43"/>
      <c r="D73" s="43"/>
      <c r="E73" s="43"/>
    </row>
    <row r="74" customFormat="false" ht="18" hidden="false" customHeight="true" outlineLevel="0" collapsed="false">
      <c r="C74" s="43"/>
      <c r="D74" s="43"/>
      <c r="E74" s="43"/>
    </row>
    <row r="75" customFormat="false" ht="18" hidden="false" customHeight="true" outlineLevel="0" collapsed="false">
      <c r="C75" s="43"/>
      <c r="D75" s="43"/>
      <c r="E75" s="43"/>
    </row>
    <row r="76" customFormat="false" ht="18" hidden="false" customHeight="true" outlineLevel="0" collapsed="false">
      <c r="C76" s="43"/>
      <c r="D76" s="43"/>
      <c r="E76" s="43"/>
    </row>
    <row r="77" customFormat="false" ht="18" hidden="false" customHeight="true" outlineLevel="0" collapsed="false">
      <c r="C77" s="43"/>
      <c r="D77" s="43"/>
      <c r="E77" s="43"/>
    </row>
    <row r="78" customFormat="false" ht="18" hidden="false" customHeight="true" outlineLevel="0" collapsed="false">
      <c r="C78" s="43"/>
      <c r="D78" s="43"/>
      <c r="E78" s="43"/>
    </row>
    <row r="79" customFormat="false" ht="18" hidden="false" customHeight="true" outlineLevel="0" collapsed="false">
      <c r="C79" s="43"/>
      <c r="D79" s="43"/>
      <c r="E79" s="43"/>
    </row>
    <row r="80" customFormat="false" ht="18" hidden="false" customHeight="true" outlineLevel="0" collapsed="false">
      <c r="C80" s="43"/>
      <c r="D80" s="43"/>
      <c r="E80" s="43"/>
    </row>
    <row r="81" customFormat="false" ht="18" hidden="false" customHeight="true" outlineLevel="0" collapsed="false">
      <c r="C81" s="43"/>
      <c r="D81" s="43"/>
      <c r="E81" s="43"/>
    </row>
    <row r="82" customFormat="false" ht="18" hidden="false" customHeight="true" outlineLevel="0" collapsed="false">
      <c r="C82" s="43"/>
      <c r="D82" s="43"/>
      <c r="E82" s="43"/>
    </row>
    <row r="83" customFormat="false" ht="18" hidden="false" customHeight="true" outlineLevel="0" collapsed="false">
      <c r="C83" s="43"/>
      <c r="D83" s="43"/>
      <c r="E83" s="43"/>
    </row>
    <row r="84" customFormat="false" ht="18" hidden="false" customHeight="true" outlineLevel="0" collapsed="false">
      <c r="C84" s="43"/>
      <c r="D84" s="43"/>
      <c r="E84" s="43"/>
    </row>
    <row r="85" customFormat="false" ht="18" hidden="false" customHeight="true" outlineLevel="0" collapsed="false">
      <c r="C85" s="43"/>
      <c r="D85" s="43"/>
      <c r="E85" s="43"/>
    </row>
    <row r="86" customFormat="false" ht="18" hidden="false" customHeight="true" outlineLevel="0" collapsed="false">
      <c r="C86" s="43"/>
      <c r="D86" s="43"/>
      <c r="E86" s="43"/>
    </row>
    <row r="87" customFormat="false" ht="18" hidden="false" customHeight="true" outlineLevel="0" collapsed="false">
      <c r="C87" s="43"/>
      <c r="D87" s="43"/>
      <c r="E87" s="43"/>
    </row>
    <row r="88" customFormat="false" ht="18" hidden="false" customHeight="true" outlineLevel="0" collapsed="false">
      <c r="C88" s="43"/>
      <c r="D88" s="43"/>
      <c r="E88" s="43"/>
    </row>
    <row r="89" customFormat="false" ht="18" hidden="false" customHeight="true" outlineLevel="0" collapsed="false">
      <c r="C89" s="43"/>
      <c r="D89" s="43"/>
      <c r="E89" s="43"/>
    </row>
    <row r="90" customFormat="false" ht="18" hidden="false" customHeight="true" outlineLevel="0" collapsed="false">
      <c r="C90" s="43"/>
      <c r="D90" s="43"/>
      <c r="E90" s="43"/>
    </row>
    <row r="91" customFormat="false" ht="18" hidden="false" customHeight="true" outlineLevel="0" collapsed="false">
      <c r="C91" s="43"/>
      <c r="D91" s="43"/>
      <c r="E91" s="43"/>
    </row>
    <row r="92" customFormat="false" ht="18" hidden="false" customHeight="true" outlineLevel="0" collapsed="false">
      <c r="C92" s="43"/>
      <c r="D92" s="43"/>
      <c r="E92" s="43"/>
    </row>
    <row r="93" customFormat="false" ht="18" hidden="false" customHeight="true" outlineLevel="0" collapsed="false">
      <c r="C93" s="43"/>
      <c r="D93" s="43"/>
      <c r="E93" s="43"/>
    </row>
    <row r="94" customFormat="false" ht="18" hidden="false" customHeight="true" outlineLevel="0" collapsed="false">
      <c r="C94" s="43"/>
      <c r="D94" s="43"/>
      <c r="E94" s="43"/>
    </row>
    <row r="95" customFormat="false" ht="18" hidden="false" customHeight="true" outlineLevel="0" collapsed="false">
      <c r="C95" s="43"/>
      <c r="D95" s="43"/>
      <c r="E95" s="43"/>
    </row>
    <row r="96" customFormat="false" ht="18" hidden="false" customHeight="true" outlineLevel="0" collapsed="false">
      <c r="C96" s="43"/>
      <c r="D96" s="43"/>
      <c r="E96" s="43"/>
    </row>
    <row r="97" customFormat="false" ht="18" hidden="false" customHeight="true" outlineLevel="0" collapsed="false">
      <c r="C97" s="43"/>
      <c r="D97" s="43"/>
      <c r="E97" s="43"/>
    </row>
    <row r="98" customFormat="false" ht="18" hidden="false" customHeight="true" outlineLevel="0" collapsed="false">
      <c r="C98" s="43"/>
      <c r="D98" s="43"/>
      <c r="E98" s="43"/>
    </row>
    <row r="99" customFormat="false" ht="18" hidden="false" customHeight="true" outlineLevel="0" collapsed="false">
      <c r="C99" s="43"/>
      <c r="D99" s="43"/>
      <c r="E99" s="43"/>
    </row>
    <row r="100" customFormat="false" ht="18" hidden="false" customHeight="true" outlineLevel="0" collapsed="false">
      <c r="C100" s="43"/>
      <c r="D100" s="43"/>
      <c r="E100" s="43"/>
    </row>
    <row r="101" customFormat="false" ht="18" hidden="false" customHeight="true" outlineLevel="0" collapsed="false">
      <c r="C101" s="43"/>
      <c r="D101" s="43"/>
      <c r="E101" s="43"/>
    </row>
    <row r="102" customFormat="false" ht="18" hidden="false" customHeight="true" outlineLevel="0" collapsed="false">
      <c r="C102" s="43"/>
      <c r="D102" s="43"/>
      <c r="E102" s="43"/>
    </row>
    <row r="103" customFormat="false" ht="18" hidden="false" customHeight="true" outlineLevel="0" collapsed="false">
      <c r="C103" s="43"/>
      <c r="D103" s="43"/>
      <c r="E103" s="43"/>
    </row>
  </sheetData>
  <mergeCells count="2">
    <mergeCell ref="B3:E3"/>
    <mergeCell ref="B34:E3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14" activeCellId="0" sqref="E14"/>
    </sheetView>
  </sheetViews>
  <sheetFormatPr defaultColWidth="8.5390625" defaultRowHeight="18" zeroHeight="false" outlineLevelRow="0" outlineLevelCol="0"/>
  <cols>
    <col collapsed="false" customWidth="true" hidden="false" outlineLevel="0" max="2" min="2" style="20" width="37.13"/>
    <col collapsed="false" customWidth="true" hidden="false" outlineLevel="0" max="4" min="3" style="20" width="18.63"/>
    <col collapsed="false" customWidth="true" hidden="false" outlineLevel="0" max="7" min="5" style="20" width="19.63"/>
  </cols>
  <sheetData>
    <row r="2" customFormat="false" ht="18.75" hidden="false" customHeight="true" outlineLevel="0" collapsed="false">
      <c r="D2" s="47" t="s">
        <v>49</v>
      </c>
      <c r="E2" s="47" t="s">
        <v>49</v>
      </c>
      <c r="F2" s="47" t="s">
        <v>49</v>
      </c>
    </row>
    <row r="3" customFormat="false" ht="21.75" hidden="false" customHeight="true" outlineLevel="0" collapsed="false">
      <c r="B3" s="252" t="s">
        <v>221</v>
      </c>
      <c r="C3" s="179" t="s">
        <v>222</v>
      </c>
      <c r="D3" s="179" t="s">
        <v>223</v>
      </c>
      <c r="E3" s="253" t="s">
        <v>224</v>
      </c>
      <c r="F3" s="179" t="s">
        <v>223</v>
      </c>
    </row>
    <row r="4" customFormat="false" ht="31.5" hidden="false" customHeight="true" outlineLevel="0" collapsed="false">
      <c r="B4" s="254" t="s">
        <v>225</v>
      </c>
      <c r="C4" s="255"/>
      <c r="D4" s="256"/>
      <c r="E4" s="257"/>
      <c r="F4" s="256"/>
    </row>
    <row r="7" customFormat="false" ht="18.75" hidden="false" customHeight="true" outlineLevel="0" collapsed="false">
      <c r="D7" s="47"/>
      <c r="E7" s="47"/>
    </row>
    <row r="8" customFormat="false" ht="19.5" hidden="false" customHeight="true" outlineLevel="0" collapsed="false">
      <c r="B8" s="252" t="s">
        <v>226</v>
      </c>
      <c r="C8" s="179"/>
      <c r="D8" s="179"/>
      <c r="E8" s="179"/>
      <c r="F8" s="253"/>
      <c r="G8" s="253"/>
    </row>
    <row r="9" customFormat="false" ht="31.5" hidden="false" customHeight="true" outlineLevel="0" collapsed="false">
      <c r="B9" s="258"/>
      <c r="C9" s="255"/>
      <c r="D9" s="259"/>
      <c r="E9" s="260"/>
      <c r="F9" s="257"/>
      <c r="G9" s="261"/>
    </row>
    <row r="10" customFormat="false" ht="31.5" hidden="false" customHeight="true" outlineLevel="0" collapsed="false"/>
    <row r="11" customFormat="false" ht="31.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J10" activeCellId="0" sqref="J10"/>
    </sheetView>
  </sheetViews>
  <sheetFormatPr defaultColWidth="8.5390625" defaultRowHeight="18" zeroHeight="false" outlineLevelRow="0" outlineLevelCol="0"/>
  <cols>
    <col collapsed="false" customWidth="true" hidden="false" outlineLevel="0" max="2" min="2" style="20" width="4.63"/>
    <col collapsed="false" customWidth="true" hidden="false" outlineLevel="0" max="3" min="3" style="20" width="14.5"/>
    <col collapsed="false" customWidth="true" hidden="false" outlineLevel="0" max="11" min="4" style="20" width="18.63"/>
  </cols>
  <sheetData>
    <row r="2" customFormat="false" ht="18.75" hidden="false" customHeight="true" outlineLevel="0" collapsed="false">
      <c r="J2" s="47" t="s">
        <v>49</v>
      </c>
    </row>
    <row r="3" customFormat="false" ht="21.75" hidden="false" customHeight="true" outlineLevel="0" collapsed="false">
      <c r="B3" s="262" t="s">
        <v>227</v>
      </c>
      <c r="C3" s="61" t="s">
        <v>228</v>
      </c>
      <c r="D3" s="179" t="s">
        <v>229</v>
      </c>
      <c r="E3" s="179" t="s">
        <v>230</v>
      </c>
      <c r="F3" s="179" t="s">
        <v>231</v>
      </c>
      <c r="G3" s="179" t="s">
        <v>232</v>
      </c>
      <c r="H3" s="179" t="s">
        <v>233</v>
      </c>
      <c r="I3" s="179" t="s">
        <v>234</v>
      </c>
      <c r="J3" s="179" t="s">
        <v>235</v>
      </c>
    </row>
    <row r="4" customFormat="false" ht="31.5" hidden="false" customHeight="true" outlineLevel="0" collapsed="false">
      <c r="B4" s="263"/>
      <c r="C4" s="264" t="s">
        <v>236</v>
      </c>
      <c r="D4" s="255"/>
      <c r="E4" s="255"/>
      <c r="F4" s="255"/>
      <c r="G4" s="255"/>
      <c r="H4" s="255"/>
      <c r="I4" s="255"/>
      <c r="J4" s="255"/>
    </row>
    <row r="5" customFormat="false" ht="31.5" hidden="false" customHeight="true" outlineLevel="0" collapsed="false">
      <c r="B5" s="263"/>
      <c r="C5" s="265"/>
      <c r="D5" s="255"/>
      <c r="E5" s="255"/>
      <c r="F5" s="255"/>
      <c r="G5" s="255"/>
      <c r="H5" s="255"/>
      <c r="I5" s="255"/>
      <c r="J5" s="255"/>
    </row>
    <row r="6" customFormat="false" ht="31.5" hidden="false" customHeight="true" outlineLevel="0" collapsed="false">
      <c r="B6" s="263"/>
      <c r="C6" s="265"/>
      <c r="D6" s="255"/>
      <c r="E6" s="255"/>
      <c r="F6" s="255"/>
      <c r="G6" s="255"/>
      <c r="H6" s="255"/>
      <c r="I6" s="255"/>
      <c r="J6" s="255"/>
    </row>
    <row r="7" customFormat="false" ht="31.5" hidden="false" customHeight="true" outlineLevel="0" collapsed="false">
      <c r="B7" s="263"/>
      <c r="C7" s="265"/>
      <c r="D7" s="255"/>
      <c r="E7" s="255"/>
      <c r="F7" s="255"/>
      <c r="G7" s="255"/>
      <c r="H7" s="255"/>
      <c r="I7" s="255"/>
      <c r="J7" s="255"/>
    </row>
    <row r="8" customFormat="false" ht="31.5" hidden="false" customHeight="true" outlineLevel="0" collapsed="false">
      <c r="B8" s="263"/>
      <c r="C8" s="265"/>
      <c r="D8" s="255"/>
      <c r="E8" s="255"/>
      <c r="F8" s="255"/>
      <c r="G8" s="255"/>
      <c r="H8" s="255"/>
      <c r="I8" s="255"/>
      <c r="J8" s="255"/>
    </row>
    <row r="9" customFormat="false" ht="31.5" hidden="false" customHeight="true" outlineLevel="0" collapsed="false">
      <c r="B9" s="263"/>
      <c r="C9" s="265"/>
      <c r="D9" s="255"/>
      <c r="E9" s="255"/>
      <c r="F9" s="255"/>
      <c r="G9" s="255"/>
      <c r="H9" s="255"/>
      <c r="I9" s="255"/>
      <c r="J9" s="255"/>
    </row>
    <row r="10" customFormat="false" ht="31.5" hidden="false" customHeight="true" outlineLevel="0" collapsed="false">
      <c r="B10" s="188"/>
      <c r="C10" s="188"/>
      <c r="D10" s="222"/>
      <c r="E10" s="222"/>
      <c r="F10" s="222"/>
      <c r="G10" s="222"/>
      <c r="H10" s="189"/>
      <c r="I10" s="189"/>
      <c r="J10" s="18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CCB3"/>
    <pageSetUpPr fitToPage="false"/>
  </sheetPr>
  <dimension ref="B2:F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D4" activeCellId="0" sqref="D4"/>
    </sheetView>
  </sheetViews>
  <sheetFormatPr defaultColWidth="8.5390625" defaultRowHeight="18" zeroHeight="false" outlineLevelRow="0" outlineLevelCol="0"/>
  <cols>
    <col collapsed="false" customWidth="true" hidden="false" outlineLevel="0" max="2" min="2" style="20" width="35.13"/>
    <col collapsed="false" customWidth="true" hidden="false" outlineLevel="0" max="3" min="3" style="20" width="21.13"/>
    <col collapsed="false" customWidth="true" hidden="false" outlineLevel="0" max="5" min="4" style="20" width="18.63"/>
    <col collapsed="false" customWidth="true" hidden="false" outlineLevel="0" max="6" min="6" style="20" width="51.5"/>
  </cols>
  <sheetData>
    <row r="2" customFormat="false" ht="18.75" hidden="false" customHeight="true" outlineLevel="0" collapsed="false">
      <c r="E2" s="47" t="s">
        <v>49</v>
      </c>
    </row>
    <row r="3" customFormat="false" ht="21.75" hidden="false" customHeight="true" outlineLevel="0" collapsed="false">
      <c r="B3" s="61" t="s">
        <v>237</v>
      </c>
      <c r="C3" s="217" t="s">
        <v>238</v>
      </c>
      <c r="D3" s="179" t="s">
        <v>182</v>
      </c>
      <c r="E3" s="179" t="s">
        <v>239</v>
      </c>
      <c r="F3" s="180" t="s">
        <v>240</v>
      </c>
    </row>
    <row r="4" customFormat="false" ht="31.5" hidden="false" customHeight="true" outlineLevel="0" collapsed="false">
      <c r="B4" s="206" t="s">
        <v>241</v>
      </c>
      <c r="C4" s="266" t="s">
        <v>242</v>
      </c>
      <c r="D4" s="208" t="n">
        <v>-44000000</v>
      </c>
      <c r="E4" s="267" t="s">
        <v>17</v>
      </c>
      <c r="F4" s="268" t="s">
        <v>243</v>
      </c>
    </row>
    <row r="5" customFormat="false" ht="31.5" hidden="false" customHeight="true" outlineLevel="0" collapsed="false">
      <c r="B5" s="269" t="s">
        <v>45</v>
      </c>
      <c r="C5" s="270" t="s">
        <v>242</v>
      </c>
      <c r="D5" s="271" t="n">
        <v>-1500004</v>
      </c>
      <c r="E5" s="272" t="s">
        <v>17</v>
      </c>
      <c r="F5" s="209" t="s">
        <v>244</v>
      </c>
    </row>
    <row r="6" customFormat="false" ht="31.5" hidden="false" customHeight="true" outlineLevel="0" collapsed="false">
      <c r="B6" s="269" t="s">
        <v>29</v>
      </c>
      <c r="C6" s="270" t="s">
        <v>242</v>
      </c>
      <c r="D6" s="271" t="n">
        <v>-1650000</v>
      </c>
      <c r="E6" s="272" t="s">
        <v>17</v>
      </c>
      <c r="F6" s="209" t="s">
        <v>245</v>
      </c>
    </row>
    <row r="7" customFormat="false" ht="31.5" hidden="false" customHeight="true" outlineLevel="0" collapsed="false">
      <c r="B7" s="154"/>
      <c r="C7" s="273"/>
      <c r="D7" s="183"/>
      <c r="E7" s="274"/>
      <c r="F7" s="182"/>
    </row>
    <row r="8" customFormat="false" ht="31.5" hidden="false" customHeight="true" outlineLevel="0" collapsed="false">
      <c r="B8" s="154"/>
      <c r="C8" s="273"/>
      <c r="D8" s="183"/>
      <c r="E8" s="274"/>
      <c r="F8" s="182"/>
    </row>
    <row r="9" customFormat="false" ht="31.5" hidden="false" customHeight="true" outlineLevel="0" collapsed="false">
      <c r="B9" s="275" t="s">
        <v>246</v>
      </c>
      <c r="C9" s="273"/>
      <c r="D9" s="183"/>
      <c r="E9" s="183"/>
      <c r="F9" s="182"/>
    </row>
    <row r="10" customFormat="false" ht="31.5" hidden="false" customHeight="true" outlineLevel="0" collapsed="false">
      <c r="B10" s="154"/>
      <c r="C10" s="273"/>
      <c r="D10" s="183"/>
      <c r="E10" s="183"/>
      <c r="F10" s="182"/>
    </row>
    <row r="11" customFormat="false" ht="31.5" hidden="false" customHeight="true" outlineLevel="0" collapsed="false">
      <c r="B11" s="154"/>
      <c r="C11" s="273"/>
      <c r="D11" s="183"/>
      <c r="E11" s="183"/>
      <c r="F11" s="182"/>
    </row>
    <row r="12" customFormat="false" ht="31.5" hidden="false" customHeight="true" outlineLevel="0" collapsed="false">
      <c r="B12" s="154"/>
      <c r="C12" s="273"/>
      <c r="D12" s="183"/>
      <c r="E12" s="183"/>
      <c r="F12" s="182"/>
    </row>
    <row r="13" customFormat="false" ht="31.5" hidden="false" customHeight="true" outlineLevel="0" collapsed="false">
      <c r="B13" s="154"/>
      <c r="C13" s="273"/>
      <c r="D13" s="183"/>
      <c r="E13" s="183"/>
      <c r="F13" s="182"/>
    </row>
    <row r="14" customFormat="false" ht="31.5" hidden="false" customHeight="true" outlineLevel="0" collapsed="false">
      <c r="B14" s="154"/>
      <c r="C14" s="273"/>
      <c r="D14" s="183"/>
      <c r="E14" s="183"/>
      <c r="F14" s="182"/>
    </row>
    <row r="15" customFormat="false" ht="31.5" hidden="false" customHeight="true" outlineLevel="0" collapsed="false">
      <c r="B15" s="154"/>
      <c r="C15" s="273"/>
      <c r="D15" s="183"/>
      <c r="E15" s="183"/>
      <c r="F15" s="182"/>
    </row>
    <row r="16" customFormat="false" ht="31.5" hidden="false" customHeight="true" outlineLevel="0" collapsed="false">
      <c r="B16" s="154"/>
      <c r="C16" s="273"/>
      <c r="D16" s="183"/>
      <c r="E16" s="183"/>
      <c r="F16" s="182"/>
    </row>
    <row r="17" customFormat="false" ht="31.5" hidden="false" customHeight="true" outlineLevel="0" collapsed="false">
      <c r="B17" s="185"/>
      <c r="C17" s="276"/>
      <c r="D17" s="186"/>
      <c r="E17" s="35"/>
      <c r="F17" s="187"/>
    </row>
    <row r="18" customFormat="false" ht="31.5" hidden="false" customHeight="true" outlineLevel="0" collapsed="false">
      <c r="B18" s="188"/>
      <c r="C18" s="277"/>
      <c r="D18" s="189"/>
      <c r="E18" s="189"/>
      <c r="F18" s="19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CCB3"/>
    <pageSetUpPr fitToPage="false"/>
  </sheetPr>
  <dimension ref="B2:F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F15" activeCellId="0" sqref="F15"/>
    </sheetView>
  </sheetViews>
  <sheetFormatPr defaultColWidth="8.5390625" defaultRowHeight="18" zeroHeight="false" outlineLevelRow="0" outlineLevelCol="0"/>
  <cols>
    <col collapsed="false" customWidth="true" hidden="false" outlineLevel="0" max="3" min="2" style="20" width="27.38"/>
    <col collapsed="false" customWidth="true" hidden="false" outlineLevel="0" max="4" min="4" style="20" width="4.88"/>
    <col collapsed="false" customWidth="true" hidden="false" outlineLevel="0" max="6" min="5" style="20" width="27.38"/>
  </cols>
  <sheetData>
    <row r="2" customFormat="false" ht="18.75" hidden="false" customHeight="true" outlineLevel="0" collapsed="false">
      <c r="C2" s="47"/>
      <c r="F2" s="47" t="s">
        <v>49</v>
      </c>
    </row>
    <row r="3" customFormat="false" ht="21.75" hidden="false" customHeight="true" outlineLevel="0" collapsed="false">
      <c r="B3" s="61" t="s">
        <v>247</v>
      </c>
      <c r="C3" s="179" t="s">
        <v>248</v>
      </c>
      <c r="E3" s="61" t="s">
        <v>249</v>
      </c>
      <c r="F3" s="179" t="s">
        <v>248</v>
      </c>
    </row>
    <row r="4" customFormat="false" ht="31.5" hidden="false" customHeight="true" outlineLevel="0" collapsed="false">
      <c r="B4" s="278" t="s">
        <v>10</v>
      </c>
      <c r="C4" s="279" t="n">
        <f aca="false">'BS(借方)'!F6</f>
        <v>10140492</v>
      </c>
      <c r="E4" s="278" t="s">
        <v>53</v>
      </c>
      <c r="F4" s="255"/>
    </row>
    <row r="5" customFormat="false" ht="31.5" hidden="false" customHeight="true" outlineLevel="0" collapsed="false">
      <c r="B5" s="280" t="s">
        <v>250</v>
      </c>
      <c r="C5" s="281"/>
      <c r="E5" s="280" t="s">
        <v>61</v>
      </c>
      <c r="F5" s="282" t="n">
        <f aca="false">'BS (貸方)'!F19</f>
        <v>191858000</v>
      </c>
    </row>
    <row r="6" customFormat="false" ht="31.5" hidden="false" customHeight="true" outlineLevel="0" collapsed="false">
      <c r="B6" s="280" t="s">
        <v>251</v>
      </c>
      <c r="C6" s="281"/>
      <c r="E6" s="280" t="s">
        <v>252</v>
      </c>
      <c r="F6" s="281"/>
    </row>
    <row r="7" customFormat="false" ht="31.5" hidden="false" customHeight="true" outlineLevel="0" collapsed="false">
      <c r="B7" s="280" t="s">
        <v>30</v>
      </c>
      <c r="C7" s="281"/>
      <c r="E7" s="280" t="s">
        <v>62</v>
      </c>
      <c r="F7" s="282" t="n">
        <f aca="false">'BS (貸方)'!F20</f>
        <v>7565770</v>
      </c>
    </row>
    <row r="8" customFormat="false" ht="31.5" hidden="false" customHeight="true" outlineLevel="0" collapsed="false">
      <c r="B8" s="280" t="s">
        <v>253</v>
      </c>
      <c r="C8" s="281"/>
      <c r="E8" s="280" t="s">
        <v>254</v>
      </c>
      <c r="F8" s="282" t="n">
        <f aca="false">'BS (貸方)'!F10</f>
        <v>242500</v>
      </c>
    </row>
    <row r="9" customFormat="false" ht="31.5" hidden="false" customHeight="true" outlineLevel="0" collapsed="false">
      <c r="B9" s="280" t="s">
        <v>255</v>
      </c>
      <c r="C9" s="281"/>
      <c r="E9" s="280" t="s">
        <v>256</v>
      </c>
      <c r="F9" s="281"/>
    </row>
    <row r="10" customFormat="false" ht="31.5" hidden="false" customHeight="true" outlineLevel="0" collapsed="false">
      <c r="B10" s="283" t="s">
        <v>257</v>
      </c>
      <c r="C10" s="281"/>
      <c r="E10" s="280" t="s">
        <v>258</v>
      </c>
      <c r="F10" s="281"/>
    </row>
    <row r="11" customFormat="false" ht="31.5" hidden="false" customHeight="true" outlineLevel="0" collapsed="false">
      <c r="B11" s="280" t="s">
        <v>259</v>
      </c>
      <c r="C11" s="281"/>
      <c r="E11" s="280" t="s">
        <v>260</v>
      </c>
      <c r="F11" s="281"/>
    </row>
    <row r="12" customFormat="false" ht="31.5" hidden="false" customHeight="true" outlineLevel="0" collapsed="false">
      <c r="B12" s="283"/>
      <c r="C12" s="284"/>
      <c r="E12" s="283" t="s">
        <v>261</v>
      </c>
      <c r="F12" s="284"/>
    </row>
    <row r="13" customFormat="false" ht="31.5" hidden="false" customHeight="true" outlineLevel="0" collapsed="false">
      <c r="B13" s="285" t="s">
        <v>119</v>
      </c>
      <c r="C13" s="286" t="n">
        <f aca="false">SUM(C4:C12)</f>
        <v>10140492</v>
      </c>
      <c r="E13" s="285" t="s">
        <v>119</v>
      </c>
      <c r="F13" s="286" t="n">
        <f aca="false">SUM(F4:F12)</f>
        <v>199666270</v>
      </c>
    </row>
    <row r="14" customFormat="false" ht="18.75" hidden="false" customHeight="true" outlineLevel="0" collapsed="false"/>
    <row r="15" customFormat="false" ht="31.5" hidden="false" customHeight="true" outlineLevel="0" collapsed="false">
      <c r="B15" s="287" t="s">
        <v>262</v>
      </c>
      <c r="C15" s="288" t="n">
        <f aca="false">C13-F13</f>
        <v>-189525778</v>
      </c>
      <c r="E15" s="289" t="s">
        <v>263</v>
      </c>
      <c r="F15" s="288" t="n">
        <f aca="false">F13-I13</f>
        <v>199666270</v>
      </c>
    </row>
    <row r="17" customFormat="false" ht="18" hidden="false" customHeight="true" outlineLevel="0" collapsed="false">
      <c r="C17" s="2" t="s">
        <v>264</v>
      </c>
      <c r="F17" s="2" t="s">
        <v>264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89C9"/>
    <pageSetUpPr fitToPage="false"/>
  </sheetPr>
  <dimension ref="B1:S68"/>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0" ySplit="4" topLeftCell="A38" activePane="bottomLeft" state="frozen"/>
      <selection pane="topLeft" activeCell="A1" activeCellId="0" sqref="A1"/>
      <selection pane="bottomLeft" activeCell="A57" activeCellId="0" sqref="A57"/>
    </sheetView>
  </sheetViews>
  <sheetFormatPr defaultColWidth="8.5390625" defaultRowHeight="18" zeroHeight="false" outlineLevelRow="0" outlineLevelCol="0"/>
  <cols>
    <col collapsed="false" customWidth="true" hidden="false" outlineLevel="0" max="2" min="2" style="46" width="28"/>
    <col collapsed="false" customWidth="true" hidden="false" outlineLevel="0" max="17" min="3" style="19" width="15"/>
    <col collapsed="false" customWidth="true" hidden="false" outlineLevel="0" max="18" min="18" style="20" width="16.13"/>
    <col collapsed="false" customWidth="true" hidden="false" outlineLevel="0" max="19" min="19" style="20" width="58"/>
  </cols>
  <sheetData>
    <row r="1" customFormat="false" ht="18" hidden="false" customHeight="true" outlineLevel="0" collapsed="false">
      <c r="B1" s="19"/>
      <c r="C1" s="2"/>
      <c r="D1" s="2"/>
      <c r="E1" s="2"/>
      <c r="F1" s="2"/>
      <c r="G1" s="2"/>
      <c r="H1" s="2"/>
      <c r="I1" s="2"/>
      <c r="J1" s="2"/>
      <c r="K1" s="2"/>
      <c r="L1" s="2"/>
      <c r="M1" s="2"/>
      <c r="N1" s="2"/>
      <c r="O1" s="2"/>
      <c r="P1" s="2"/>
      <c r="Q1" s="2"/>
    </row>
    <row r="2" customFormat="false" ht="18.75" hidden="false" customHeight="true" outlineLevel="0" collapsed="false">
      <c r="B2" s="2"/>
      <c r="C2" s="46"/>
      <c r="D2" s="2"/>
      <c r="E2" s="2"/>
      <c r="F2" s="46"/>
      <c r="G2" s="2"/>
      <c r="H2" s="2"/>
      <c r="I2" s="46"/>
      <c r="J2" s="2"/>
      <c r="K2" s="47" t="s">
        <v>49</v>
      </c>
      <c r="L2" s="46"/>
      <c r="M2" s="2"/>
      <c r="N2" s="2"/>
      <c r="O2" s="46"/>
      <c r="P2" s="2"/>
      <c r="Q2" s="2"/>
    </row>
    <row r="3" customFormat="false" ht="20.25" hidden="false" customHeight="true" outlineLevel="0" collapsed="false">
      <c r="B3" s="8" t="s">
        <v>6</v>
      </c>
      <c r="C3" s="9" t="str">
        <f aca="false">'BS(借方)'!C4</f>
        <v>－</v>
      </c>
      <c r="D3" s="9"/>
      <c r="E3" s="9"/>
      <c r="F3" s="9" t="str">
        <f aca="false">'BS(借方)'!D4</f>
        <v>23年11月期</v>
      </c>
      <c r="G3" s="9"/>
      <c r="H3" s="9"/>
      <c r="I3" s="9" t="str">
        <f aca="false">'BS(借方)'!E4</f>
        <v>24年11月期</v>
      </c>
      <c r="J3" s="9"/>
      <c r="K3" s="9"/>
      <c r="L3" s="9" t="str">
        <f aca="false">'BS(借方)'!F4</f>
        <v>25年11月期</v>
      </c>
      <c r="M3" s="9"/>
      <c r="N3" s="9"/>
      <c r="O3" s="290" t="str">
        <f aca="false">'BS(借方)'!G4</f>
        <v>26年11月期
（7か月TB）</v>
      </c>
      <c r="P3" s="290"/>
      <c r="Q3" s="290"/>
      <c r="S3" s="144" t="s">
        <v>192</v>
      </c>
    </row>
    <row r="4" customFormat="false" ht="19.5" hidden="false" customHeight="true" outlineLevel="0" collapsed="false">
      <c r="B4" s="8"/>
      <c r="C4" s="112" t="s">
        <v>74</v>
      </c>
      <c r="D4" s="291" t="s">
        <v>182</v>
      </c>
      <c r="E4" s="292" t="s">
        <v>183</v>
      </c>
      <c r="F4" s="293" t="s">
        <v>74</v>
      </c>
      <c r="G4" s="291" t="s">
        <v>182</v>
      </c>
      <c r="H4" s="292" t="s">
        <v>183</v>
      </c>
      <c r="I4" s="112" t="s">
        <v>74</v>
      </c>
      <c r="J4" s="291" t="s">
        <v>182</v>
      </c>
      <c r="K4" s="292" t="s">
        <v>183</v>
      </c>
      <c r="L4" s="112" t="s">
        <v>74</v>
      </c>
      <c r="M4" s="291" t="s">
        <v>182</v>
      </c>
      <c r="N4" s="292" t="s">
        <v>183</v>
      </c>
      <c r="O4" s="115" t="s">
        <v>74</v>
      </c>
      <c r="P4" s="115" t="s">
        <v>182</v>
      </c>
      <c r="Q4" s="292" t="s">
        <v>183</v>
      </c>
    </row>
    <row r="5" customFormat="false" ht="22.5" hidden="false" customHeight="true" outlineLevel="0" collapsed="false">
      <c r="B5" s="87" t="str">
        <f aca="false">PL!B5</f>
        <v>生体売上高</v>
      </c>
      <c r="C5" s="35" t="n">
        <f aca="false">PL!C5</f>
        <v>0</v>
      </c>
      <c r="D5" s="52"/>
      <c r="E5" s="18" t="n">
        <f aca="false">C5+D5</f>
        <v>0</v>
      </c>
      <c r="F5" s="35" t="n">
        <f aca="false">PL!E5</f>
        <v>293213620</v>
      </c>
      <c r="G5" s="52"/>
      <c r="H5" s="18" t="n">
        <f aca="false">F5+G5</f>
        <v>293213620</v>
      </c>
      <c r="I5" s="35" t="n">
        <f aca="false">PL!G5</f>
        <v>333089628</v>
      </c>
      <c r="J5" s="52"/>
      <c r="K5" s="18" t="n">
        <f aca="false">I5+J5</f>
        <v>333089628</v>
      </c>
      <c r="L5" s="35" t="n">
        <f aca="false">PL!I5</f>
        <v>338295378</v>
      </c>
      <c r="M5" s="52"/>
      <c r="N5" s="18" t="n">
        <f aca="false">L5+M5</f>
        <v>338295378</v>
      </c>
      <c r="O5" s="35" t="n">
        <f aca="false">PL!K5</f>
        <v>165116994</v>
      </c>
      <c r="P5" s="52"/>
      <c r="Q5" s="18" t="n">
        <f aca="false">O5+P5</f>
        <v>165116994</v>
      </c>
    </row>
    <row r="6" customFormat="false" ht="22.5" hidden="false" customHeight="true" outlineLevel="0" collapsed="false">
      <c r="B6" s="90" t="str">
        <f aca="false">PL!B6</f>
        <v>サービス売上高</v>
      </c>
      <c r="C6" s="35" t="n">
        <f aca="false">PL!C6</f>
        <v>0</v>
      </c>
      <c r="D6" s="52"/>
      <c r="E6" s="18" t="n">
        <f aca="false">C6+D6</f>
        <v>0</v>
      </c>
      <c r="F6" s="35" t="n">
        <f aca="false">PL!E6</f>
        <v>65655525</v>
      </c>
      <c r="G6" s="52"/>
      <c r="H6" s="18" t="n">
        <f aca="false">F6+G6</f>
        <v>65655525</v>
      </c>
      <c r="I6" s="35" t="n">
        <f aca="false">PL!G6</f>
        <v>60897406</v>
      </c>
      <c r="J6" s="52"/>
      <c r="K6" s="18" t="n">
        <f aca="false">I6+J6</f>
        <v>60897406</v>
      </c>
      <c r="L6" s="35" t="n">
        <f aca="false">PL!I6</f>
        <v>52699187</v>
      </c>
      <c r="M6" s="52"/>
      <c r="N6" s="18" t="n">
        <f aca="false">L6+M6</f>
        <v>52699187</v>
      </c>
      <c r="O6" s="35" t="n">
        <f aca="false">PL!K6</f>
        <v>32791687</v>
      </c>
      <c r="P6" s="52"/>
      <c r="Q6" s="18" t="n">
        <f aca="false">O6+P6</f>
        <v>32791687</v>
      </c>
    </row>
    <row r="7" customFormat="false" ht="22.5" hidden="false" customHeight="true" outlineLevel="0" collapsed="false">
      <c r="B7" s="90" t="str">
        <f aca="false">PL!B7</f>
        <v>物販売上高</v>
      </c>
      <c r="C7" s="35" t="n">
        <f aca="false">PL!C7</f>
        <v>0</v>
      </c>
      <c r="D7" s="52"/>
      <c r="E7" s="18" t="n">
        <f aca="false">C7+D7</f>
        <v>0</v>
      </c>
      <c r="F7" s="35" t="n">
        <f aca="false">PL!E7</f>
        <v>115559176</v>
      </c>
      <c r="G7" s="52"/>
      <c r="H7" s="18" t="n">
        <f aca="false">F7+G7</f>
        <v>115559176</v>
      </c>
      <c r="I7" s="35" t="n">
        <f aca="false">PL!G7</f>
        <v>145047985</v>
      </c>
      <c r="J7" s="52"/>
      <c r="K7" s="18" t="n">
        <f aca="false">I7+J7</f>
        <v>145047985</v>
      </c>
      <c r="L7" s="35" t="n">
        <f aca="false">PL!I7</f>
        <v>167395169</v>
      </c>
      <c r="M7" s="52"/>
      <c r="N7" s="18" t="n">
        <f aca="false">L7+M7</f>
        <v>167395169</v>
      </c>
      <c r="O7" s="35" t="n">
        <f aca="false">PL!K7</f>
        <v>81244762</v>
      </c>
      <c r="P7" s="52"/>
      <c r="Q7" s="18" t="n">
        <f aca="false">O7+P7</f>
        <v>81244762</v>
      </c>
    </row>
    <row r="8" customFormat="false" ht="22.5" hidden="false" customHeight="true" outlineLevel="0" collapsed="false">
      <c r="B8" s="90" t="n">
        <f aca="false">PL!B8</f>
        <v>0</v>
      </c>
      <c r="C8" s="35" t="n">
        <f aca="false">PL!C8</f>
        <v>0</v>
      </c>
      <c r="D8" s="52"/>
      <c r="E8" s="18" t="n">
        <f aca="false">C8+D8</f>
        <v>0</v>
      </c>
      <c r="F8" s="35" t="n">
        <f aca="false">PL!E8</f>
        <v>0</v>
      </c>
      <c r="G8" s="52"/>
      <c r="H8" s="18" t="n">
        <f aca="false">F8+G8</f>
        <v>0</v>
      </c>
      <c r="I8" s="35" t="n">
        <f aca="false">PL!G8</f>
        <v>0</v>
      </c>
      <c r="J8" s="52"/>
      <c r="K8" s="18" t="n">
        <f aca="false">I8+J8</f>
        <v>0</v>
      </c>
      <c r="L8" s="35" t="n">
        <f aca="false">PL!I8</f>
        <v>0</v>
      </c>
      <c r="M8" s="52"/>
      <c r="N8" s="18" t="n">
        <f aca="false">L8+M8</f>
        <v>0</v>
      </c>
      <c r="O8" s="35" t="n">
        <f aca="false">PL!K8</f>
        <v>0</v>
      </c>
      <c r="P8" s="52"/>
      <c r="Q8" s="18" t="n">
        <f aca="false">O8+P8</f>
        <v>0</v>
      </c>
    </row>
    <row r="9" customFormat="false" ht="22.5" hidden="false" customHeight="true" outlineLevel="0" collapsed="false">
      <c r="B9" s="90" t="n">
        <f aca="false">PL!B9</f>
        <v>0</v>
      </c>
      <c r="C9" s="35" t="n">
        <f aca="false">PL!C9</f>
        <v>0</v>
      </c>
      <c r="D9" s="52"/>
      <c r="E9" s="18" t="n">
        <f aca="false">C9+D9</f>
        <v>0</v>
      </c>
      <c r="F9" s="35" t="n">
        <f aca="false">PL!E9</f>
        <v>0</v>
      </c>
      <c r="G9" s="52"/>
      <c r="H9" s="18" t="n">
        <f aca="false">F9+G9</f>
        <v>0</v>
      </c>
      <c r="I9" s="35" t="n">
        <f aca="false">PL!G9</f>
        <v>0</v>
      </c>
      <c r="J9" s="52"/>
      <c r="K9" s="18" t="n">
        <f aca="false">I9+J9</f>
        <v>0</v>
      </c>
      <c r="L9" s="35" t="n">
        <f aca="false">PL!I9</f>
        <v>0</v>
      </c>
      <c r="M9" s="52"/>
      <c r="N9" s="18" t="n">
        <f aca="false">L9+M9</f>
        <v>0</v>
      </c>
      <c r="O9" s="35" t="n">
        <f aca="false">PL!K9</f>
        <v>0</v>
      </c>
      <c r="P9" s="52"/>
      <c r="Q9" s="18" t="n">
        <f aca="false">O9+P9</f>
        <v>0</v>
      </c>
    </row>
    <row r="10" customFormat="false" ht="22.5" hidden="false" customHeight="true" outlineLevel="0" collapsed="false">
      <c r="B10" s="91"/>
      <c r="C10" s="37"/>
      <c r="D10" s="54"/>
      <c r="E10" s="170" t="n">
        <f aca="false">C10+D10</f>
        <v>0</v>
      </c>
      <c r="F10" s="37"/>
      <c r="G10" s="54"/>
      <c r="H10" s="170" t="n">
        <f aca="false">F10+G10</f>
        <v>0</v>
      </c>
      <c r="I10" s="37"/>
      <c r="J10" s="54"/>
      <c r="K10" s="170" t="n">
        <f aca="false">I10+J10</f>
        <v>0</v>
      </c>
      <c r="L10" s="37"/>
      <c r="M10" s="54"/>
      <c r="N10" s="170" t="n">
        <f aca="false">L10+M10</f>
        <v>0</v>
      </c>
      <c r="O10" s="37"/>
      <c r="P10" s="54"/>
      <c r="Q10" s="170" t="n">
        <f aca="false">O10+P10</f>
        <v>0</v>
      </c>
    </row>
    <row r="11" customFormat="false" ht="22.5" hidden="false" customHeight="true" outlineLevel="0" collapsed="false">
      <c r="B11" s="93" t="s">
        <v>79</v>
      </c>
      <c r="C11" s="94" t="n">
        <f aca="false">SUM(C5:C10)</f>
        <v>0</v>
      </c>
      <c r="D11" s="94" t="n">
        <f aca="false">SUM(D5:D10)</f>
        <v>0</v>
      </c>
      <c r="E11" s="15" t="n">
        <f aca="false">C11+D11</f>
        <v>0</v>
      </c>
      <c r="F11" s="94" t="n">
        <f aca="false">SUM(F5:F10)</f>
        <v>474428321</v>
      </c>
      <c r="G11" s="94" t="n">
        <f aca="false">SUM(G5:G10)</f>
        <v>0</v>
      </c>
      <c r="H11" s="15" t="n">
        <f aca="false">F11+G11</f>
        <v>474428321</v>
      </c>
      <c r="I11" s="94" t="n">
        <f aca="false">SUM(I5:I10)</f>
        <v>539035019</v>
      </c>
      <c r="J11" s="94" t="n">
        <f aca="false">SUM(J5:J10)</f>
        <v>0</v>
      </c>
      <c r="K11" s="15" t="n">
        <f aca="false">I11+J11</f>
        <v>539035019</v>
      </c>
      <c r="L11" s="94" t="n">
        <f aca="false">SUM(L5:L10)</f>
        <v>558389734</v>
      </c>
      <c r="M11" s="94" t="n">
        <f aca="false">SUM(M5:M10)</f>
        <v>0</v>
      </c>
      <c r="N11" s="15" t="n">
        <f aca="false">L11+M11</f>
        <v>558389734</v>
      </c>
      <c r="O11" s="94" t="n">
        <f aca="false">SUM(O5:O10)</f>
        <v>279153443</v>
      </c>
      <c r="P11" s="94" t="n">
        <f aca="false">SUM(P5:P10)</f>
        <v>0</v>
      </c>
      <c r="Q11" s="15" t="n">
        <f aca="false">O11+P11</f>
        <v>279153443</v>
      </c>
    </row>
    <row r="12" customFormat="false" ht="22.5" hidden="false" customHeight="true" outlineLevel="0" collapsed="false">
      <c r="B12" s="96" t="str">
        <f aca="false">PL!B12</f>
        <v>期首棚卸高</v>
      </c>
      <c r="C12" s="35" t="n">
        <f aca="false">PL!C12</f>
        <v>0</v>
      </c>
      <c r="D12" s="52"/>
      <c r="E12" s="18" t="n">
        <f aca="false">C12+D12</f>
        <v>0</v>
      </c>
      <c r="F12" s="35" t="n">
        <f aca="false">PL!E12</f>
        <v>39485899</v>
      </c>
      <c r="G12" s="52"/>
      <c r="H12" s="18" t="n">
        <f aca="false">F12+G12</f>
        <v>39485899</v>
      </c>
      <c r="I12" s="35" t="n">
        <f aca="false">PL!G12</f>
        <v>70917819</v>
      </c>
      <c r="J12" s="52"/>
      <c r="K12" s="18" t="n">
        <f aca="false">I12+J12</f>
        <v>70917819</v>
      </c>
      <c r="L12" s="35" t="n">
        <f aca="false">PL!I12</f>
        <v>127080914</v>
      </c>
      <c r="M12" s="52"/>
      <c r="N12" s="18" t="n">
        <f aca="false">L12+M12</f>
        <v>127080914</v>
      </c>
      <c r="O12" s="35" t="n">
        <f aca="false">PL!K12</f>
        <v>106017284</v>
      </c>
      <c r="P12" s="52"/>
      <c r="Q12" s="18" t="n">
        <f aca="false">O12+P12</f>
        <v>106017284</v>
      </c>
    </row>
    <row r="13" customFormat="false" ht="22.5" hidden="false" customHeight="true" outlineLevel="0" collapsed="false">
      <c r="B13" s="90" t="str">
        <f aca="false">PL!B13</f>
        <v>商品仕入高</v>
      </c>
      <c r="C13" s="35" t="n">
        <f aca="false">PL!C13</f>
        <v>0</v>
      </c>
      <c r="D13" s="52"/>
      <c r="E13" s="18" t="n">
        <f aca="false">C13+D13</f>
        <v>0</v>
      </c>
      <c r="F13" s="35" t="n">
        <f aca="false">PL!E13</f>
        <v>183853875</v>
      </c>
      <c r="G13" s="52"/>
      <c r="H13" s="18" t="n">
        <f aca="false">F13+G13</f>
        <v>183853875</v>
      </c>
      <c r="I13" s="35" t="n">
        <f aca="false">PL!G13</f>
        <v>220800993</v>
      </c>
      <c r="J13" s="52"/>
      <c r="K13" s="18" t="n">
        <f aca="false">I13+J13</f>
        <v>220800993</v>
      </c>
      <c r="L13" s="35" t="n">
        <f aca="false">PL!I13</f>
        <v>182243467</v>
      </c>
      <c r="M13" s="52"/>
      <c r="N13" s="18" t="n">
        <f aca="false">L13+M13</f>
        <v>182243467</v>
      </c>
      <c r="O13" s="35" t="n">
        <f aca="false">PL!K13</f>
        <v>92273907</v>
      </c>
      <c r="P13" s="52"/>
      <c r="Q13" s="18" t="n">
        <f aca="false">O13+P13</f>
        <v>92273907</v>
      </c>
    </row>
    <row r="14" customFormat="false" ht="22.5" hidden="false" customHeight="true" outlineLevel="0" collapsed="false">
      <c r="B14" s="90" t="str">
        <f aca="false">PL!B14</f>
        <v>外注費</v>
      </c>
      <c r="C14" s="35" t="n">
        <f aca="false">PL!C14</f>
        <v>0</v>
      </c>
      <c r="D14" s="52"/>
      <c r="E14" s="18" t="n">
        <f aca="false">C14+D14</f>
        <v>0</v>
      </c>
      <c r="F14" s="35" t="n">
        <f aca="false">PL!E14</f>
        <v>29627732</v>
      </c>
      <c r="G14" s="52"/>
      <c r="H14" s="18" t="n">
        <f aca="false">F14+G14</f>
        <v>29627732</v>
      </c>
      <c r="I14" s="35" t="n">
        <f aca="false">PL!G14</f>
        <v>31465971</v>
      </c>
      <c r="J14" s="52"/>
      <c r="K14" s="18" t="n">
        <f aca="false">I14+J14</f>
        <v>31465971</v>
      </c>
      <c r="L14" s="35" t="n">
        <f aca="false">PL!I14</f>
        <v>25058151</v>
      </c>
      <c r="M14" s="52"/>
      <c r="N14" s="18" t="n">
        <f aca="false">L14+M14</f>
        <v>25058151</v>
      </c>
      <c r="O14" s="35" t="n">
        <f aca="false">PL!K14</f>
        <v>8916840</v>
      </c>
      <c r="P14" s="52"/>
      <c r="Q14" s="18" t="n">
        <f aca="false">O14+P14</f>
        <v>8916840</v>
      </c>
    </row>
    <row r="15" customFormat="false" ht="22.5" hidden="false" customHeight="true" outlineLevel="0" collapsed="false">
      <c r="B15" s="90" t="str">
        <f aca="false">PL!B15</f>
        <v>他勘定振替高</v>
      </c>
      <c r="C15" s="35" t="n">
        <f aca="false">PL!C15</f>
        <v>0</v>
      </c>
      <c r="D15" s="52"/>
      <c r="E15" s="18" t="n">
        <f aca="false">C15+D15</f>
        <v>0</v>
      </c>
      <c r="F15" s="35" t="n">
        <f aca="false">PL!E15</f>
        <v>0</v>
      </c>
      <c r="G15" s="52"/>
      <c r="H15" s="18" t="n">
        <f aca="false">F15+G15</f>
        <v>0</v>
      </c>
      <c r="I15" s="35" t="n">
        <f aca="false">PL!G15</f>
        <v>0</v>
      </c>
      <c r="J15" s="52"/>
      <c r="K15" s="18" t="n">
        <f aca="false">I15+J15</f>
        <v>0</v>
      </c>
      <c r="L15" s="35" t="n">
        <f aca="false">PL!I15</f>
        <v>0</v>
      </c>
      <c r="M15" s="52"/>
      <c r="N15" s="18" t="n">
        <f aca="false">L15+M15</f>
        <v>0</v>
      </c>
      <c r="O15" s="35" t="n">
        <f aca="false">PL!K15</f>
        <v>-44000000</v>
      </c>
      <c r="P15" s="52"/>
      <c r="Q15" s="18" t="n">
        <f aca="false">O15+P15</f>
        <v>-44000000</v>
      </c>
    </row>
    <row r="16" customFormat="false" ht="22.5" hidden="false" customHeight="true" outlineLevel="0" collapsed="false">
      <c r="B16" s="90" t="str">
        <f aca="false">PL!B16</f>
        <v>期末棚卸高</v>
      </c>
      <c r="C16" s="35" t="n">
        <f aca="false">PL!C16</f>
        <v>0</v>
      </c>
      <c r="D16" s="52"/>
      <c r="E16" s="18" t="n">
        <f aca="false">C16+D16</f>
        <v>0</v>
      </c>
      <c r="F16" s="35" t="n">
        <f aca="false">PL!E16</f>
        <v>-70917819</v>
      </c>
      <c r="G16" s="52"/>
      <c r="H16" s="18" t="n">
        <f aca="false">F16+G16</f>
        <v>-70917819</v>
      </c>
      <c r="I16" s="35" t="n">
        <f aca="false">PL!G16</f>
        <v>-127080914</v>
      </c>
      <c r="J16" s="52"/>
      <c r="K16" s="18" t="n">
        <f aca="false">I16+J16</f>
        <v>-127080914</v>
      </c>
      <c r="L16" s="35" t="n">
        <f aca="false">PL!I16</f>
        <v>-106017284</v>
      </c>
      <c r="M16" s="52"/>
      <c r="N16" s="18" t="n">
        <f aca="false">L16+M16</f>
        <v>-106017284</v>
      </c>
      <c r="O16" s="35" t="n">
        <f aca="false">PL!K16</f>
        <v>-58445785</v>
      </c>
      <c r="P16" s="52"/>
      <c r="Q16" s="18" t="n">
        <f aca="false">O16+P16</f>
        <v>-58445785</v>
      </c>
    </row>
    <row r="17" customFormat="false" ht="22.5" hidden="false" customHeight="true" outlineLevel="0" collapsed="false">
      <c r="B17" s="97" t="s">
        <v>85</v>
      </c>
      <c r="C17" s="98" t="n">
        <f aca="false">SUM(C12:C16)</f>
        <v>0</v>
      </c>
      <c r="D17" s="98" t="n">
        <f aca="false">SUM(D12:D16)</f>
        <v>0</v>
      </c>
      <c r="E17" s="294" t="n">
        <f aca="false">C17+D17</f>
        <v>0</v>
      </c>
      <c r="F17" s="98" t="n">
        <f aca="false">SUM(F12:F16)</f>
        <v>182049687</v>
      </c>
      <c r="G17" s="98" t="n">
        <f aca="false">SUM(G12:G16)</f>
        <v>0</v>
      </c>
      <c r="H17" s="294" t="n">
        <f aca="false">F17+G17</f>
        <v>182049687</v>
      </c>
      <c r="I17" s="98" t="n">
        <f aca="false">SUM(I12:I16)</f>
        <v>196103869</v>
      </c>
      <c r="J17" s="98" t="n">
        <f aca="false">SUM(J12:J16)</f>
        <v>0</v>
      </c>
      <c r="K17" s="294" t="n">
        <f aca="false">I17+J17</f>
        <v>196103869</v>
      </c>
      <c r="L17" s="98" t="n">
        <f aca="false">SUM(L12:L16)</f>
        <v>228365248</v>
      </c>
      <c r="M17" s="98" t="n">
        <f aca="false">SUM(M12:M16)</f>
        <v>0</v>
      </c>
      <c r="N17" s="294" t="n">
        <f aca="false">L17+M17</f>
        <v>228365248</v>
      </c>
      <c r="O17" s="98" t="n">
        <f aca="false">SUM(O12:O16)</f>
        <v>104762246</v>
      </c>
      <c r="P17" s="98" t="n">
        <f aca="false">SUM(P12:P16)</f>
        <v>0</v>
      </c>
      <c r="Q17" s="294" t="n">
        <f aca="false">O17+P17</f>
        <v>104762246</v>
      </c>
    </row>
    <row r="18" customFormat="false" ht="22.5" hidden="false" customHeight="true" outlineLevel="0" collapsed="false">
      <c r="B18" s="93" t="s">
        <v>86</v>
      </c>
      <c r="C18" s="94" t="n">
        <f aca="false">C11-C17</f>
        <v>0</v>
      </c>
      <c r="D18" s="94" t="n">
        <f aca="false">D11-D17</f>
        <v>0</v>
      </c>
      <c r="E18" s="15" t="n">
        <f aca="false">C18+D18</f>
        <v>0</v>
      </c>
      <c r="F18" s="94" t="n">
        <f aca="false">F11-F17</f>
        <v>292378634</v>
      </c>
      <c r="G18" s="94" t="n">
        <f aca="false">G11-G17</f>
        <v>0</v>
      </c>
      <c r="H18" s="15" t="n">
        <f aca="false">F18+G18</f>
        <v>292378634</v>
      </c>
      <c r="I18" s="94" t="n">
        <f aca="false">I11-I17</f>
        <v>342931150</v>
      </c>
      <c r="J18" s="94" t="n">
        <f aca="false">J11-J17</f>
        <v>0</v>
      </c>
      <c r="K18" s="15" t="n">
        <f aca="false">I18+J18</f>
        <v>342931150</v>
      </c>
      <c r="L18" s="94" t="n">
        <f aca="false">L11-L17</f>
        <v>330024486</v>
      </c>
      <c r="M18" s="94" t="n">
        <f aca="false">M11-M17</f>
        <v>0</v>
      </c>
      <c r="N18" s="15" t="n">
        <f aca="false">L18+M18</f>
        <v>330024486</v>
      </c>
      <c r="O18" s="94" t="n">
        <f aca="false">O11-O17</f>
        <v>174391197</v>
      </c>
      <c r="P18" s="94" t="n">
        <f aca="false">P11-P17</f>
        <v>0</v>
      </c>
      <c r="Q18" s="15" t="n">
        <f aca="false">O18+P18</f>
        <v>174391197</v>
      </c>
    </row>
    <row r="19" customFormat="false" ht="22.5" hidden="false" customHeight="true" outlineLevel="0" collapsed="false">
      <c r="B19" s="97" t="s">
        <v>87</v>
      </c>
      <c r="C19" s="100" t="n">
        <f aca="false">修正SGA!C39</f>
        <v>0</v>
      </c>
      <c r="D19" s="295"/>
      <c r="E19" s="296" t="n">
        <f aca="false">C19+D19</f>
        <v>0</v>
      </c>
      <c r="F19" s="100" t="n">
        <f aca="false">修正SGA!F39</f>
        <v>290037494</v>
      </c>
      <c r="G19" s="297" t="n">
        <f aca="false">修正SGA!G39</f>
        <v>-7535000</v>
      </c>
      <c r="H19" s="296" t="n">
        <f aca="false">F19+G19</f>
        <v>282502494</v>
      </c>
      <c r="I19" s="100" t="n">
        <f aca="false">修正SGA!I39</f>
        <v>339909050</v>
      </c>
      <c r="J19" s="297" t="n">
        <f aca="false">修正SGA!J39</f>
        <v>-19814000</v>
      </c>
      <c r="K19" s="296" t="n">
        <f aca="false">I19+J19</f>
        <v>320095050</v>
      </c>
      <c r="L19" s="100" t="n">
        <f aca="false">修正SGA!L39</f>
        <v>349576223</v>
      </c>
      <c r="M19" s="297" t="n">
        <f aca="false">修正SGA!M39</f>
        <v>-19229000</v>
      </c>
      <c r="N19" s="296" t="n">
        <f aca="false">L19+M19</f>
        <v>330347223</v>
      </c>
      <c r="O19" s="100" t="n">
        <f aca="false">修正SGA!O39</f>
        <v>167754348</v>
      </c>
      <c r="P19" s="295"/>
      <c r="Q19" s="296" t="n">
        <f aca="false">O19+P19</f>
        <v>167754348</v>
      </c>
    </row>
    <row r="20" customFormat="false" ht="22.5" hidden="false" customHeight="true" outlineLevel="0" collapsed="false">
      <c r="B20" s="93" t="s">
        <v>88</v>
      </c>
      <c r="C20" s="94" t="n">
        <f aca="false">C18- C19</f>
        <v>0</v>
      </c>
      <c r="D20" s="94" t="n">
        <f aca="false">D18- D19</f>
        <v>0</v>
      </c>
      <c r="E20" s="15" t="n">
        <f aca="false">C20+D20</f>
        <v>0</v>
      </c>
      <c r="F20" s="94" t="n">
        <f aca="false">F18- F19</f>
        <v>2341140</v>
      </c>
      <c r="G20" s="94" t="n">
        <f aca="false">G18- G19</f>
        <v>7535000</v>
      </c>
      <c r="H20" s="15" t="n">
        <f aca="false">F20+G20</f>
        <v>9876140</v>
      </c>
      <c r="I20" s="94" t="n">
        <f aca="false">I18- I19</f>
        <v>3022100</v>
      </c>
      <c r="J20" s="94" t="n">
        <f aca="false">J18- J19</f>
        <v>19814000</v>
      </c>
      <c r="K20" s="15" t="n">
        <f aca="false">I20+J20</f>
        <v>22836100</v>
      </c>
      <c r="L20" s="94" t="n">
        <f aca="false">L18- L19</f>
        <v>-19551737</v>
      </c>
      <c r="M20" s="94" t="n">
        <f aca="false">M18- M19</f>
        <v>19229000</v>
      </c>
      <c r="N20" s="15" t="n">
        <f aca="false">L20+M20</f>
        <v>-322737</v>
      </c>
      <c r="O20" s="94" t="n">
        <f aca="false">O18- O19</f>
        <v>6636849</v>
      </c>
      <c r="P20" s="94" t="n">
        <f aca="false">P18- P19</f>
        <v>0</v>
      </c>
      <c r="Q20" s="15" t="n">
        <f aca="false">O20+P20</f>
        <v>6636849</v>
      </c>
    </row>
    <row r="21" customFormat="false" ht="22.5" hidden="false" customHeight="true" outlineLevel="0" collapsed="false">
      <c r="B21" s="97" t="s">
        <v>89</v>
      </c>
      <c r="C21" s="100" t="n">
        <f aca="false">SUM(C22:C28)</f>
        <v>0</v>
      </c>
      <c r="D21" s="100" t="n">
        <f aca="false">SUM(D22:D28)</f>
        <v>0</v>
      </c>
      <c r="E21" s="296" t="n">
        <f aca="false">C21+D21</f>
        <v>0</v>
      </c>
      <c r="F21" s="100" t="n">
        <f aca="false">SUM(F22:F28)</f>
        <v>1321452</v>
      </c>
      <c r="G21" s="100" t="n">
        <f aca="false">SUM(G22:G28)</f>
        <v>1321000</v>
      </c>
      <c r="H21" s="296" t="n">
        <f aca="false">F21+G21</f>
        <v>2642452</v>
      </c>
      <c r="I21" s="100" t="n">
        <f aca="false">SUM(I22:I28)</f>
        <v>2383452</v>
      </c>
      <c r="J21" s="100" t="n">
        <f aca="false">SUM(J22:J28)</f>
        <v>635000</v>
      </c>
      <c r="K21" s="296" t="n">
        <f aca="false">I21+J21</f>
        <v>3018452</v>
      </c>
      <c r="L21" s="100" t="n">
        <f aca="false">SUM(L22:L28)</f>
        <v>3631958</v>
      </c>
      <c r="M21" s="100" t="n">
        <f aca="false">SUM(M22:M28)</f>
        <v>654868</v>
      </c>
      <c r="N21" s="296" t="n">
        <f aca="false">L21+M21</f>
        <v>4286826</v>
      </c>
      <c r="O21" s="100" t="n">
        <f aca="false">SUM(O22:O28)</f>
        <v>1059276</v>
      </c>
      <c r="P21" s="100" t="n">
        <f aca="false">SUM(P22:P28)</f>
        <v>0</v>
      </c>
      <c r="Q21" s="296" t="n">
        <f aca="false">O21+P21</f>
        <v>1059276</v>
      </c>
    </row>
    <row r="22" customFormat="false" ht="22.5" hidden="false" customHeight="true" outlineLevel="0" collapsed="false">
      <c r="B22" s="102" t="str">
        <f aca="false">PL!B22</f>
        <v>受取利息</v>
      </c>
      <c r="C22" s="35" t="n">
        <f aca="false">PL!C22</f>
        <v>0</v>
      </c>
      <c r="D22" s="52"/>
      <c r="E22" s="18" t="n">
        <f aca="false">C22+D22</f>
        <v>0</v>
      </c>
      <c r="F22" s="35" t="n">
        <f aca="false">PL!E22</f>
        <v>193</v>
      </c>
      <c r="G22" s="52"/>
      <c r="H22" s="18" t="n">
        <f aca="false">F22+G22</f>
        <v>193</v>
      </c>
      <c r="I22" s="35" t="n">
        <f aca="false">PL!G22</f>
        <v>4702</v>
      </c>
      <c r="J22" s="52"/>
      <c r="K22" s="18" t="n">
        <f aca="false">I22+J22</f>
        <v>4702</v>
      </c>
      <c r="L22" s="35" t="n">
        <f aca="false">PL!I22</f>
        <v>24608</v>
      </c>
      <c r="M22" s="52"/>
      <c r="N22" s="18" t="n">
        <f aca="false">L22+M22</f>
        <v>24608</v>
      </c>
      <c r="O22" s="35" t="n">
        <f aca="false">PL!K22</f>
        <v>6446</v>
      </c>
      <c r="P22" s="52"/>
      <c r="Q22" s="18" t="n">
        <f aca="false">O22+P22</f>
        <v>6446</v>
      </c>
    </row>
    <row r="23" customFormat="false" ht="22.5" hidden="false" customHeight="true" outlineLevel="0" collapsed="false">
      <c r="B23" s="103" t="str">
        <f aca="false">PL!B23</f>
        <v>受取配当金</v>
      </c>
      <c r="C23" s="35" t="n">
        <f aca="false">PL!C23</f>
        <v>0</v>
      </c>
      <c r="D23" s="52"/>
      <c r="E23" s="18" t="n">
        <f aca="false">C23+D23</f>
        <v>0</v>
      </c>
      <c r="F23" s="35" t="n">
        <f aca="false">PL!E23</f>
        <v>188</v>
      </c>
      <c r="G23" s="52"/>
      <c r="H23" s="18" t="n">
        <f aca="false">F23+G23</f>
        <v>188</v>
      </c>
      <c r="I23" s="35" t="n">
        <f aca="false">PL!G23</f>
        <v>376</v>
      </c>
      <c r="J23" s="52"/>
      <c r="K23" s="18" t="n">
        <f aca="false">I23+J23</f>
        <v>376</v>
      </c>
      <c r="L23" s="35" t="n">
        <f aca="false">PL!I23</f>
        <v>282</v>
      </c>
      <c r="M23" s="52"/>
      <c r="N23" s="18" t="n">
        <f aca="false">L23+M23</f>
        <v>282</v>
      </c>
      <c r="O23" s="35" t="n">
        <f aca="false">PL!K23</f>
        <v>300</v>
      </c>
      <c r="P23" s="52"/>
      <c r="Q23" s="18" t="n">
        <f aca="false">O23+P23</f>
        <v>300</v>
      </c>
    </row>
    <row r="24" customFormat="false" ht="22.5" hidden="false" customHeight="true" outlineLevel="0" collapsed="false">
      <c r="B24" s="103" t="str">
        <f aca="false">PL!B24</f>
        <v>雑収入</v>
      </c>
      <c r="C24" s="35" t="n">
        <f aca="false">PL!C24</f>
        <v>0</v>
      </c>
      <c r="D24" s="52"/>
      <c r="E24" s="18" t="n">
        <f aca="false">C24+D24</f>
        <v>0</v>
      </c>
      <c r="F24" s="35" t="n">
        <f aca="false">PL!E24</f>
        <v>1321071</v>
      </c>
      <c r="G24" s="298" t="n">
        <v>1321000</v>
      </c>
      <c r="H24" s="18" t="n">
        <f aca="false">F24+G24</f>
        <v>2642071</v>
      </c>
      <c r="I24" s="35" t="n">
        <f aca="false">PL!G24</f>
        <v>2378374</v>
      </c>
      <c r="J24" s="298" t="n">
        <v>635000</v>
      </c>
      <c r="K24" s="18" t="n">
        <f aca="false">I24+J24</f>
        <v>3013374</v>
      </c>
      <c r="L24" s="35" t="n">
        <f aca="false">PL!I24</f>
        <v>3607068</v>
      </c>
      <c r="M24" s="298" t="n">
        <v>654868</v>
      </c>
      <c r="N24" s="18" t="n">
        <f aca="false">L24+M24</f>
        <v>4261936</v>
      </c>
      <c r="O24" s="35" t="n">
        <f aca="false">PL!K24</f>
        <v>1052530</v>
      </c>
      <c r="P24" s="52"/>
      <c r="Q24" s="18" t="n">
        <f aca="false">O24+P24</f>
        <v>1052530</v>
      </c>
      <c r="S24" s="141" t="s">
        <v>265</v>
      </c>
    </row>
    <row r="25" customFormat="false" ht="22.5" hidden="false" customHeight="true" outlineLevel="0" collapsed="false">
      <c r="B25" s="103" t="n">
        <f aca="false">PL!B25</f>
        <v>0</v>
      </c>
      <c r="C25" s="35" t="n">
        <f aca="false">PL!C25</f>
        <v>0</v>
      </c>
      <c r="D25" s="52"/>
      <c r="E25" s="18" t="n">
        <f aca="false">C25+D25</f>
        <v>0</v>
      </c>
      <c r="F25" s="35" t="n">
        <f aca="false">PL!E25</f>
        <v>0</v>
      </c>
      <c r="G25" s="52"/>
      <c r="H25" s="18" t="n">
        <f aca="false">F25+G25</f>
        <v>0</v>
      </c>
      <c r="I25" s="35" t="n">
        <f aca="false">PL!G25</f>
        <v>0</v>
      </c>
      <c r="J25" s="52"/>
      <c r="K25" s="18" t="n">
        <f aca="false">I25+J25</f>
        <v>0</v>
      </c>
      <c r="L25" s="35" t="n">
        <f aca="false">PL!I25</f>
        <v>0</v>
      </c>
      <c r="M25" s="52"/>
      <c r="N25" s="18" t="n">
        <f aca="false">L25+M25</f>
        <v>0</v>
      </c>
      <c r="O25" s="35" t="n">
        <f aca="false">PL!K25</f>
        <v>0</v>
      </c>
      <c r="P25" s="52"/>
      <c r="Q25" s="18" t="n">
        <f aca="false">O25+P25</f>
        <v>0</v>
      </c>
    </row>
    <row r="26" customFormat="false" ht="22.5" hidden="false" customHeight="true" outlineLevel="0" collapsed="false">
      <c r="B26" s="103" t="n">
        <f aca="false">PL!B26</f>
        <v>0</v>
      </c>
      <c r="C26" s="35" t="n">
        <f aca="false">PL!C26</f>
        <v>0</v>
      </c>
      <c r="D26" s="52"/>
      <c r="E26" s="18" t="n">
        <f aca="false">C26+D26</f>
        <v>0</v>
      </c>
      <c r="F26" s="35" t="n">
        <f aca="false">PL!E26</f>
        <v>0</v>
      </c>
      <c r="G26" s="52"/>
      <c r="H26" s="18" t="n">
        <f aca="false">F26+G26</f>
        <v>0</v>
      </c>
      <c r="I26" s="35" t="n">
        <f aca="false">PL!G26</f>
        <v>0</v>
      </c>
      <c r="J26" s="52"/>
      <c r="K26" s="18" t="n">
        <f aca="false">I26+J26</f>
        <v>0</v>
      </c>
      <c r="L26" s="35" t="n">
        <f aca="false">PL!I26</f>
        <v>0</v>
      </c>
      <c r="M26" s="52"/>
      <c r="N26" s="18" t="n">
        <f aca="false">L26+M26</f>
        <v>0</v>
      </c>
      <c r="O26" s="35" t="n">
        <f aca="false">PL!K26</f>
        <v>0</v>
      </c>
      <c r="P26" s="52"/>
      <c r="Q26" s="18" t="n">
        <f aca="false">O26+P26</f>
        <v>0</v>
      </c>
    </row>
    <row r="27" customFormat="false" ht="22.5" hidden="false" customHeight="true" outlineLevel="0" collapsed="false">
      <c r="B27" s="103" t="n">
        <f aca="false">PL!B27</f>
        <v>0</v>
      </c>
      <c r="C27" s="35" t="n">
        <f aca="false">PL!C27</f>
        <v>0</v>
      </c>
      <c r="D27" s="52"/>
      <c r="E27" s="18" t="n">
        <f aca="false">C27+D27</f>
        <v>0</v>
      </c>
      <c r="F27" s="35" t="n">
        <f aca="false">PL!E27</f>
        <v>0</v>
      </c>
      <c r="G27" s="52"/>
      <c r="H27" s="18" t="n">
        <f aca="false">F27+G27</f>
        <v>0</v>
      </c>
      <c r="I27" s="35" t="n">
        <f aca="false">PL!G27</f>
        <v>0</v>
      </c>
      <c r="J27" s="52"/>
      <c r="K27" s="18" t="n">
        <f aca="false">I27+J27</f>
        <v>0</v>
      </c>
      <c r="L27" s="35" t="n">
        <f aca="false">PL!I27</f>
        <v>0</v>
      </c>
      <c r="M27" s="52"/>
      <c r="N27" s="18" t="n">
        <f aca="false">L27+M27</f>
        <v>0</v>
      </c>
      <c r="O27" s="35" t="n">
        <f aca="false">PL!K27</f>
        <v>0</v>
      </c>
      <c r="P27" s="52"/>
      <c r="Q27" s="18" t="n">
        <f aca="false">O27+P27</f>
        <v>0</v>
      </c>
    </row>
    <row r="28" customFormat="false" ht="22.5" hidden="false" customHeight="true" outlineLevel="0" collapsed="false">
      <c r="B28" s="104"/>
      <c r="C28" s="37"/>
      <c r="D28" s="54"/>
      <c r="E28" s="170" t="n">
        <f aca="false">C28+D28</f>
        <v>0</v>
      </c>
      <c r="F28" s="37"/>
      <c r="G28" s="54"/>
      <c r="H28" s="170" t="n">
        <f aca="false">F28+G28</f>
        <v>0</v>
      </c>
      <c r="I28" s="37"/>
      <c r="J28" s="54"/>
      <c r="K28" s="170" t="n">
        <f aca="false">I28+J28</f>
        <v>0</v>
      </c>
      <c r="L28" s="37"/>
      <c r="M28" s="54"/>
      <c r="N28" s="170" t="n">
        <f aca="false">L28+M28</f>
        <v>0</v>
      </c>
      <c r="O28" s="37"/>
      <c r="P28" s="54"/>
      <c r="Q28" s="170" t="n">
        <f aca="false">O28+P28</f>
        <v>0</v>
      </c>
    </row>
    <row r="29" customFormat="false" ht="22.5" hidden="false" customHeight="true" outlineLevel="0" collapsed="false">
      <c r="B29" s="97" t="s">
        <v>93</v>
      </c>
      <c r="C29" s="100" t="n">
        <f aca="false">SUM(C30:C36)</f>
        <v>0</v>
      </c>
      <c r="D29" s="100" t="n">
        <f aca="false">SUM(D30:D36)</f>
        <v>0</v>
      </c>
      <c r="E29" s="296" t="n">
        <f aca="false">C29+D29</f>
        <v>0</v>
      </c>
      <c r="F29" s="100" t="n">
        <f aca="false">SUM(F30:F36)</f>
        <v>1134221</v>
      </c>
      <c r="G29" s="100" t="n">
        <f aca="false">SUM(G30:G36)</f>
        <v>0</v>
      </c>
      <c r="H29" s="296" t="n">
        <f aca="false">F29+G29</f>
        <v>1134221</v>
      </c>
      <c r="I29" s="100" t="n">
        <f aca="false">SUM(I30:I36)</f>
        <v>2295915</v>
      </c>
      <c r="J29" s="100" t="n">
        <f aca="false">SUM(J30:J36)</f>
        <v>0</v>
      </c>
      <c r="K29" s="296" t="n">
        <f aca="false">I29+J29</f>
        <v>2295915</v>
      </c>
      <c r="L29" s="100" t="n">
        <f aca="false">SUM(L30:L36)</f>
        <v>2655577</v>
      </c>
      <c r="M29" s="100" t="n">
        <f aca="false">SUM(M30:M36)</f>
        <v>0</v>
      </c>
      <c r="N29" s="296" t="n">
        <f aca="false">L29+M29</f>
        <v>2655577</v>
      </c>
      <c r="O29" s="100" t="n">
        <f aca="false">SUM(O30:O36)</f>
        <v>1881979</v>
      </c>
      <c r="P29" s="100" t="n">
        <f aca="false">SUM(P30:P36)</f>
        <v>0</v>
      </c>
      <c r="Q29" s="296" t="n">
        <f aca="false">O29+P29</f>
        <v>1881979</v>
      </c>
    </row>
    <row r="30" customFormat="false" ht="22.5" hidden="false" customHeight="true" outlineLevel="0" collapsed="false">
      <c r="B30" s="102" t="str">
        <f aca="false">PL!B30</f>
        <v>支払利息</v>
      </c>
      <c r="C30" s="35" t="n">
        <f aca="false">PL!C30</f>
        <v>0</v>
      </c>
      <c r="D30" s="52"/>
      <c r="E30" s="18" t="n">
        <f aca="false">C30+D30</f>
        <v>0</v>
      </c>
      <c r="F30" s="35" t="n">
        <f aca="false">PL!E30</f>
        <v>1134221</v>
      </c>
      <c r="G30" s="52"/>
      <c r="H30" s="18" t="n">
        <f aca="false">F30+G30</f>
        <v>1134221</v>
      </c>
      <c r="I30" s="35" t="n">
        <f aca="false">PL!G30</f>
        <v>1787923</v>
      </c>
      <c r="J30" s="52"/>
      <c r="K30" s="18" t="n">
        <f aca="false">I30+J30</f>
        <v>1787923</v>
      </c>
      <c r="L30" s="35" t="n">
        <f aca="false">PL!I30</f>
        <v>2590791</v>
      </c>
      <c r="M30" s="52"/>
      <c r="N30" s="18" t="n">
        <f aca="false">L30+M30</f>
        <v>2590791</v>
      </c>
      <c r="O30" s="35" t="n">
        <f aca="false">PL!K30</f>
        <v>1881899</v>
      </c>
      <c r="P30" s="52"/>
      <c r="Q30" s="18" t="n">
        <f aca="false">O30+P30</f>
        <v>1881899</v>
      </c>
    </row>
    <row r="31" customFormat="false" ht="22.5" hidden="false" customHeight="true" outlineLevel="0" collapsed="false">
      <c r="B31" s="103" t="str">
        <f aca="false">PL!B31</f>
        <v>雑損失</v>
      </c>
      <c r="C31" s="35" t="n">
        <f aca="false">PL!C31</f>
        <v>0</v>
      </c>
      <c r="D31" s="52"/>
      <c r="E31" s="18" t="n">
        <f aca="false">C31+D31</f>
        <v>0</v>
      </c>
      <c r="F31" s="35" t="n">
        <f aca="false">PL!E31</f>
        <v>0</v>
      </c>
      <c r="G31" s="52"/>
      <c r="H31" s="18" t="n">
        <f aca="false">F31+G31</f>
        <v>0</v>
      </c>
      <c r="I31" s="35" t="n">
        <f aca="false">PL!G31</f>
        <v>507992</v>
      </c>
      <c r="J31" s="52"/>
      <c r="K31" s="18" t="n">
        <f aca="false">I31+J31</f>
        <v>507992</v>
      </c>
      <c r="L31" s="35" t="n">
        <f aca="false">PL!I31</f>
        <v>64786</v>
      </c>
      <c r="M31" s="52"/>
      <c r="N31" s="18" t="n">
        <f aca="false">L31+M31</f>
        <v>64786</v>
      </c>
      <c r="O31" s="35" t="n">
        <f aca="false">PL!K31</f>
        <v>80</v>
      </c>
      <c r="P31" s="52"/>
      <c r="Q31" s="18" t="n">
        <f aca="false">O31+P31</f>
        <v>80</v>
      </c>
    </row>
    <row r="32" customFormat="false" ht="22.5" hidden="false" customHeight="true" outlineLevel="0" collapsed="false">
      <c r="B32" s="103" t="n">
        <f aca="false">PL!B32</f>
        <v>0</v>
      </c>
      <c r="C32" s="35" t="n">
        <f aca="false">PL!C32</f>
        <v>0</v>
      </c>
      <c r="D32" s="52"/>
      <c r="E32" s="18" t="n">
        <f aca="false">C32+D32</f>
        <v>0</v>
      </c>
      <c r="F32" s="35" t="n">
        <f aca="false">PL!E32</f>
        <v>0</v>
      </c>
      <c r="G32" s="52"/>
      <c r="H32" s="18" t="n">
        <f aca="false">F32+G32</f>
        <v>0</v>
      </c>
      <c r="I32" s="35" t="n">
        <f aca="false">PL!G32</f>
        <v>0</v>
      </c>
      <c r="J32" s="52"/>
      <c r="K32" s="18" t="n">
        <f aca="false">I32+J32</f>
        <v>0</v>
      </c>
      <c r="L32" s="35" t="n">
        <f aca="false">PL!I32</f>
        <v>0</v>
      </c>
      <c r="M32" s="52"/>
      <c r="N32" s="18" t="n">
        <f aca="false">L32+M32</f>
        <v>0</v>
      </c>
      <c r="O32" s="35" t="n">
        <f aca="false">PL!K32</f>
        <v>0</v>
      </c>
      <c r="P32" s="52"/>
      <c r="Q32" s="18" t="n">
        <f aca="false">O32+P32</f>
        <v>0</v>
      </c>
    </row>
    <row r="33" customFormat="false" ht="22.5" hidden="false" customHeight="true" outlineLevel="0" collapsed="false">
      <c r="B33" s="103" t="n">
        <f aca="false">PL!B33</f>
        <v>0</v>
      </c>
      <c r="C33" s="35" t="n">
        <f aca="false">PL!C33</f>
        <v>0</v>
      </c>
      <c r="D33" s="52"/>
      <c r="E33" s="18" t="n">
        <f aca="false">C33+D33</f>
        <v>0</v>
      </c>
      <c r="F33" s="35" t="n">
        <f aca="false">PL!E33</f>
        <v>0</v>
      </c>
      <c r="G33" s="52"/>
      <c r="H33" s="18" t="n">
        <f aca="false">F33+G33</f>
        <v>0</v>
      </c>
      <c r="I33" s="35" t="n">
        <f aca="false">PL!G33</f>
        <v>0</v>
      </c>
      <c r="J33" s="52"/>
      <c r="K33" s="18" t="n">
        <f aca="false">I33+J33</f>
        <v>0</v>
      </c>
      <c r="L33" s="35" t="n">
        <f aca="false">PL!I33</f>
        <v>0</v>
      </c>
      <c r="M33" s="52"/>
      <c r="N33" s="18" t="n">
        <f aca="false">L33+M33</f>
        <v>0</v>
      </c>
      <c r="O33" s="35" t="n">
        <f aca="false">PL!K33</f>
        <v>0</v>
      </c>
      <c r="P33" s="52"/>
      <c r="Q33" s="18" t="n">
        <f aca="false">O33+P33</f>
        <v>0</v>
      </c>
    </row>
    <row r="34" customFormat="false" ht="22.5" hidden="false" customHeight="true" outlineLevel="0" collapsed="false">
      <c r="B34" s="103" t="n">
        <f aca="false">PL!B34</f>
        <v>0</v>
      </c>
      <c r="C34" s="35" t="n">
        <f aca="false">PL!C34</f>
        <v>0</v>
      </c>
      <c r="D34" s="52"/>
      <c r="E34" s="18" t="n">
        <f aca="false">C34+D34</f>
        <v>0</v>
      </c>
      <c r="F34" s="35" t="n">
        <f aca="false">PL!E34</f>
        <v>0</v>
      </c>
      <c r="G34" s="52"/>
      <c r="H34" s="18" t="n">
        <f aca="false">F34+G34</f>
        <v>0</v>
      </c>
      <c r="I34" s="35" t="n">
        <f aca="false">PL!G34</f>
        <v>0</v>
      </c>
      <c r="J34" s="52"/>
      <c r="K34" s="18" t="n">
        <f aca="false">I34+J34</f>
        <v>0</v>
      </c>
      <c r="L34" s="35" t="n">
        <f aca="false">PL!I34</f>
        <v>0</v>
      </c>
      <c r="M34" s="52"/>
      <c r="N34" s="18" t="n">
        <f aca="false">L34+M34</f>
        <v>0</v>
      </c>
      <c r="O34" s="35" t="n">
        <f aca="false">PL!K34</f>
        <v>0</v>
      </c>
      <c r="P34" s="52"/>
      <c r="Q34" s="18" t="n">
        <f aca="false">O34+P34</f>
        <v>0</v>
      </c>
    </row>
    <row r="35" customFormat="false" ht="22.5" hidden="false" customHeight="true" outlineLevel="0" collapsed="false">
      <c r="B35" s="103" t="n">
        <f aca="false">PL!B35</f>
        <v>0</v>
      </c>
      <c r="C35" s="35" t="n">
        <f aca="false">PL!C35</f>
        <v>0</v>
      </c>
      <c r="D35" s="52"/>
      <c r="E35" s="18" t="n">
        <f aca="false">C35+D35</f>
        <v>0</v>
      </c>
      <c r="F35" s="35" t="n">
        <f aca="false">PL!E35</f>
        <v>0</v>
      </c>
      <c r="G35" s="52"/>
      <c r="H35" s="18" t="n">
        <f aca="false">F35+G35</f>
        <v>0</v>
      </c>
      <c r="I35" s="35" t="n">
        <f aca="false">PL!G35</f>
        <v>0</v>
      </c>
      <c r="J35" s="52"/>
      <c r="K35" s="18" t="n">
        <f aca="false">I35+J35</f>
        <v>0</v>
      </c>
      <c r="L35" s="35" t="n">
        <f aca="false">PL!I35</f>
        <v>0</v>
      </c>
      <c r="M35" s="52"/>
      <c r="N35" s="18" t="n">
        <f aca="false">L35+M35</f>
        <v>0</v>
      </c>
      <c r="O35" s="35" t="n">
        <f aca="false">PL!K35</f>
        <v>0</v>
      </c>
      <c r="P35" s="52"/>
      <c r="Q35" s="18" t="n">
        <f aca="false">O35+P35</f>
        <v>0</v>
      </c>
    </row>
    <row r="36" customFormat="false" ht="22.5" hidden="false" customHeight="true" outlineLevel="0" collapsed="false">
      <c r="B36" s="104"/>
      <c r="C36" s="37"/>
      <c r="D36" s="54"/>
      <c r="E36" s="170" t="n">
        <f aca="false">C36+D36</f>
        <v>0</v>
      </c>
      <c r="F36" s="37"/>
      <c r="G36" s="54"/>
      <c r="H36" s="170" t="n">
        <f aca="false">F36+G36</f>
        <v>0</v>
      </c>
      <c r="I36" s="37"/>
      <c r="J36" s="54"/>
      <c r="K36" s="170" t="n">
        <f aca="false">I36+J36</f>
        <v>0</v>
      </c>
      <c r="L36" s="37"/>
      <c r="M36" s="54"/>
      <c r="N36" s="170" t="n">
        <f aca="false">L36+M36</f>
        <v>0</v>
      </c>
      <c r="O36" s="37"/>
      <c r="P36" s="54"/>
      <c r="Q36" s="170" t="n">
        <f aca="false">O36+P36</f>
        <v>0</v>
      </c>
    </row>
    <row r="37" customFormat="false" ht="22.5" hidden="false" customHeight="true" outlineLevel="0" collapsed="false">
      <c r="B37" s="93" t="s">
        <v>96</v>
      </c>
      <c r="C37" s="94" t="n">
        <f aca="false">C20+C21-C29</f>
        <v>0</v>
      </c>
      <c r="D37" s="94" t="n">
        <f aca="false">D20+D21-D29</f>
        <v>0</v>
      </c>
      <c r="E37" s="15" t="n">
        <f aca="false">C37+D37</f>
        <v>0</v>
      </c>
      <c r="F37" s="94" t="n">
        <f aca="false">F20+F21-F29</f>
        <v>2528371</v>
      </c>
      <c r="G37" s="94" t="n">
        <f aca="false">G20+G21-G29</f>
        <v>8856000</v>
      </c>
      <c r="H37" s="15" t="n">
        <f aca="false">F37+G37</f>
        <v>11384371</v>
      </c>
      <c r="I37" s="94" t="n">
        <f aca="false">I20+I21-I29</f>
        <v>3109637</v>
      </c>
      <c r="J37" s="94" t="n">
        <f aca="false">J20+J21-J29</f>
        <v>20449000</v>
      </c>
      <c r="K37" s="15" t="n">
        <f aca="false">I37+J37</f>
        <v>23558637</v>
      </c>
      <c r="L37" s="94" t="n">
        <f aca="false">L20+L21-L29</f>
        <v>-18575356</v>
      </c>
      <c r="M37" s="94" t="n">
        <f aca="false">M20+M21-M29</f>
        <v>19883868</v>
      </c>
      <c r="N37" s="15" t="n">
        <f aca="false">L37+M37</f>
        <v>1308512</v>
      </c>
      <c r="O37" s="94" t="n">
        <f aca="false">O20+O21-O29</f>
        <v>5814146</v>
      </c>
      <c r="P37" s="94" t="n">
        <f aca="false">P20+P21-P29</f>
        <v>0</v>
      </c>
      <c r="Q37" s="15" t="n">
        <f aca="false">O37+P37</f>
        <v>5814146</v>
      </c>
    </row>
    <row r="38" customFormat="false" ht="22.5" hidden="false" customHeight="true" outlineLevel="0" collapsed="false">
      <c r="B38" s="97" t="s">
        <v>97</v>
      </c>
      <c r="C38" s="98" t="n">
        <f aca="false">SUM(C39:C44)</f>
        <v>0</v>
      </c>
      <c r="D38" s="98" t="n">
        <f aca="false">SUM(D39:D44)</f>
        <v>0</v>
      </c>
      <c r="E38" s="294" t="n">
        <f aca="false">C38+D38</f>
        <v>0</v>
      </c>
      <c r="F38" s="98" t="n">
        <f aca="false">SUM(F39:F44)</f>
        <v>0</v>
      </c>
      <c r="G38" s="98" t="n">
        <f aca="false">SUM(G39:G44)</f>
        <v>0</v>
      </c>
      <c r="H38" s="294" t="n">
        <f aca="false">F38+G38</f>
        <v>0</v>
      </c>
      <c r="I38" s="98" t="n">
        <f aca="false">SUM(I39:I44)</f>
        <v>0</v>
      </c>
      <c r="J38" s="98" t="n">
        <f aca="false">SUM(J39:J44)</f>
        <v>0</v>
      </c>
      <c r="K38" s="294" t="n">
        <f aca="false">I38+J38</f>
        <v>0</v>
      </c>
      <c r="L38" s="98" t="n">
        <f aca="false">SUM(L39:L44)</f>
        <v>0</v>
      </c>
      <c r="M38" s="98" t="n">
        <f aca="false">SUM(M39:M44)</f>
        <v>0</v>
      </c>
      <c r="N38" s="294" t="n">
        <f aca="false">L38+M38</f>
        <v>0</v>
      </c>
      <c r="O38" s="98" t="n">
        <f aca="false">SUM(O39:O44)</f>
        <v>0</v>
      </c>
      <c r="P38" s="98" t="n">
        <f aca="false">SUM(P39:P44)</f>
        <v>0</v>
      </c>
      <c r="Q38" s="294" t="n">
        <f aca="false">O38+P38</f>
        <v>0</v>
      </c>
    </row>
    <row r="39" customFormat="false" ht="22.5" hidden="false" customHeight="true" outlineLevel="0" collapsed="false">
      <c r="B39" s="103" t="n">
        <f aca="false">PL!B39</f>
        <v>0</v>
      </c>
      <c r="C39" s="35" t="n">
        <f aca="false">PL!C39</f>
        <v>0</v>
      </c>
      <c r="D39" s="52"/>
      <c r="E39" s="18" t="n">
        <f aca="false">C39+D39</f>
        <v>0</v>
      </c>
      <c r="F39" s="35" t="n">
        <f aca="false">PL!E39</f>
        <v>0</v>
      </c>
      <c r="G39" s="52"/>
      <c r="H39" s="18" t="n">
        <f aca="false">F39+G39</f>
        <v>0</v>
      </c>
      <c r="I39" s="35" t="n">
        <f aca="false">PL!G39</f>
        <v>0</v>
      </c>
      <c r="J39" s="52"/>
      <c r="K39" s="18" t="n">
        <f aca="false">I39+J39</f>
        <v>0</v>
      </c>
      <c r="L39" s="35" t="n">
        <f aca="false">PL!I39</f>
        <v>0</v>
      </c>
      <c r="M39" s="52"/>
      <c r="N39" s="18" t="n">
        <f aca="false">L39+M39</f>
        <v>0</v>
      </c>
      <c r="O39" s="35" t="n">
        <f aca="false">PL!K39</f>
        <v>0</v>
      </c>
      <c r="P39" s="52"/>
      <c r="Q39" s="18" t="n">
        <f aca="false">O39+P39</f>
        <v>0</v>
      </c>
    </row>
    <row r="40" customFormat="false" ht="22.5" hidden="false" customHeight="true" outlineLevel="0" collapsed="false">
      <c r="B40" s="103" t="n">
        <f aca="false">PL!B40</f>
        <v>0</v>
      </c>
      <c r="C40" s="35" t="n">
        <f aca="false">PL!C40</f>
        <v>0</v>
      </c>
      <c r="D40" s="52"/>
      <c r="E40" s="18" t="n">
        <f aca="false">C40+D40</f>
        <v>0</v>
      </c>
      <c r="F40" s="35" t="n">
        <f aca="false">PL!E40</f>
        <v>0</v>
      </c>
      <c r="G40" s="52"/>
      <c r="H40" s="18" t="n">
        <f aca="false">F40+G40</f>
        <v>0</v>
      </c>
      <c r="I40" s="35" t="n">
        <f aca="false">PL!G40</f>
        <v>0</v>
      </c>
      <c r="J40" s="52"/>
      <c r="K40" s="18" t="n">
        <f aca="false">I40+J40</f>
        <v>0</v>
      </c>
      <c r="L40" s="35" t="n">
        <f aca="false">PL!I40</f>
        <v>0</v>
      </c>
      <c r="M40" s="52"/>
      <c r="N40" s="18" t="n">
        <f aca="false">L40+M40</f>
        <v>0</v>
      </c>
      <c r="O40" s="35" t="n">
        <f aca="false">PL!K40</f>
        <v>0</v>
      </c>
      <c r="P40" s="52"/>
      <c r="Q40" s="18" t="n">
        <f aca="false">O40+P40</f>
        <v>0</v>
      </c>
    </row>
    <row r="41" customFormat="false" ht="22.5" hidden="false" customHeight="true" outlineLevel="0" collapsed="false">
      <c r="B41" s="103" t="n">
        <f aca="false">PL!B41</f>
        <v>0</v>
      </c>
      <c r="C41" s="35" t="n">
        <f aca="false">PL!C41</f>
        <v>0</v>
      </c>
      <c r="D41" s="52"/>
      <c r="E41" s="18" t="n">
        <f aca="false">C41+D41</f>
        <v>0</v>
      </c>
      <c r="F41" s="35" t="n">
        <f aca="false">PL!E41</f>
        <v>0</v>
      </c>
      <c r="G41" s="52"/>
      <c r="H41" s="18" t="n">
        <f aca="false">F41+G41</f>
        <v>0</v>
      </c>
      <c r="I41" s="35" t="n">
        <f aca="false">PL!G41</f>
        <v>0</v>
      </c>
      <c r="J41" s="52"/>
      <c r="K41" s="18" t="n">
        <f aca="false">I41+J41</f>
        <v>0</v>
      </c>
      <c r="L41" s="35" t="n">
        <f aca="false">PL!I41</f>
        <v>0</v>
      </c>
      <c r="M41" s="52"/>
      <c r="N41" s="18" t="n">
        <f aca="false">L41+M41</f>
        <v>0</v>
      </c>
      <c r="O41" s="35" t="n">
        <f aca="false">PL!K41</f>
        <v>0</v>
      </c>
      <c r="P41" s="52"/>
      <c r="Q41" s="18" t="n">
        <f aca="false">O41+P41</f>
        <v>0</v>
      </c>
    </row>
    <row r="42" customFormat="false" ht="22.5" hidden="false" customHeight="true" outlineLevel="0" collapsed="false">
      <c r="B42" s="103" t="n">
        <f aca="false">PL!B42</f>
        <v>0</v>
      </c>
      <c r="C42" s="35" t="n">
        <f aca="false">PL!C42</f>
        <v>0</v>
      </c>
      <c r="D42" s="52"/>
      <c r="E42" s="18" t="n">
        <f aca="false">C42+D42</f>
        <v>0</v>
      </c>
      <c r="F42" s="35" t="n">
        <f aca="false">PL!E42</f>
        <v>0</v>
      </c>
      <c r="G42" s="52"/>
      <c r="H42" s="18" t="n">
        <f aca="false">F42+G42</f>
        <v>0</v>
      </c>
      <c r="I42" s="35" t="n">
        <f aca="false">PL!G42</f>
        <v>0</v>
      </c>
      <c r="J42" s="52"/>
      <c r="K42" s="18" t="n">
        <f aca="false">I42+J42</f>
        <v>0</v>
      </c>
      <c r="L42" s="35" t="n">
        <f aca="false">PL!I42</f>
        <v>0</v>
      </c>
      <c r="M42" s="52"/>
      <c r="N42" s="18" t="n">
        <f aca="false">L42+M42</f>
        <v>0</v>
      </c>
      <c r="O42" s="35" t="n">
        <f aca="false">PL!K42</f>
        <v>0</v>
      </c>
      <c r="P42" s="52"/>
      <c r="Q42" s="18" t="n">
        <f aca="false">O42+P42</f>
        <v>0</v>
      </c>
    </row>
    <row r="43" customFormat="false" ht="22.5" hidden="false" customHeight="true" outlineLevel="0" collapsed="false">
      <c r="B43" s="103" t="n">
        <f aca="false">PL!B43</f>
        <v>0</v>
      </c>
      <c r="C43" s="35" t="n">
        <f aca="false">PL!C43</f>
        <v>0</v>
      </c>
      <c r="D43" s="52"/>
      <c r="E43" s="18" t="n">
        <f aca="false">C43+D43</f>
        <v>0</v>
      </c>
      <c r="F43" s="35" t="n">
        <f aca="false">PL!E43</f>
        <v>0</v>
      </c>
      <c r="G43" s="52"/>
      <c r="H43" s="18" t="n">
        <f aca="false">F43+G43</f>
        <v>0</v>
      </c>
      <c r="I43" s="35" t="n">
        <f aca="false">PL!G43</f>
        <v>0</v>
      </c>
      <c r="J43" s="52"/>
      <c r="K43" s="18" t="n">
        <f aca="false">I43+J43</f>
        <v>0</v>
      </c>
      <c r="L43" s="35" t="n">
        <f aca="false">PL!I43</f>
        <v>0</v>
      </c>
      <c r="M43" s="52"/>
      <c r="N43" s="18" t="n">
        <f aca="false">L43+M43</f>
        <v>0</v>
      </c>
      <c r="O43" s="35" t="n">
        <f aca="false">PL!K43</f>
        <v>0</v>
      </c>
      <c r="P43" s="52"/>
      <c r="Q43" s="18" t="n">
        <f aca="false">O43+P43</f>
        <v>0</v>
      </c>
    </row>
    <row r="44" customFormat="false" ht="22.5" hidden="false" customHeight="true" outlineLevel="0" collapsed="false">
      <c r="B44" s="104"/>
      <c r="C44" s="37"/>
      <c r="D44" s="54"/>
      <c r="E44" s="170" t="n">
        <f aca="false">C44+D44</f>
        <v>0</v>
      </c>
      <c r="F44" s="37"/>
      <c r="G44" s="54"/>
      <c r="H44" s="170" t="n">
        <f aca="false">F44+G44</f>
        <v>0</v>
      </c>
      <c r="I44" s="37"/>
      <c r="J44" s="54"/>
      <c r="K44" s="170" t="n">
        <f aca="false">I44+J44</f>
        <v>0</v>
      </c>
      <c r="L44" s="37"/>
      <c r="M44" s="54"/>
      <c r="N44" s="170" t="n">
        <f aca="false">L44+M44</f>
        <v>0</v>
      </c>
      <c r="O44" s="37"/>
      <c r="P44" s="54"/>
      <c r="Q44" s="170" t="n">
        <f aca="false">O44+P44</f>
        <v>0</v>
      </c>
    </row>
    <row r="45" customFormat="false" ht="22.5" hidden="false" customHeight="true" outlineLevel="0" collapsed="false">
      <c r="B45" s="97" t="s">
        <v>98</v>
      </c>
      <c r="C45" s="98" t="n">
        <f aca="false">SUM(C46:C51)</f>
        <v>0</v>
      </c>
      <c r="D45" s="98" t="n">
        <f aca="false">SUM(D46:D51)</f>
        <v>0</v>
      </c>
      <c r="E45" s="296" t="n">
        <f aca="false">C45+D45</f>
        <v>0</v>
      </c>
      <c r="F45" s="98" t="n">
        <f aca="false">SUM(F46:F51)</f>
        <v>0</v>
      </c>
      <c r="G45" s="98" t="n">
        <f aca="false">SUM(G46:G51)</f>
        <v>0</v>
      </c>
      <c r="H45" s="296" t="n">
        <f aca="false">F45+G45</f>
        <v>0</v>
      </c>
      <c r="I45" s="98" t="n">
        <f aca="false">SUM(I46:I51)</f>
        <v>0</v>
      </c>
      <c r="J45" s="98" t="n">
        <f aca="false">SUM(J46:J51)</f>
        <v>0</v>
      </c>
      <c r="K45" s="296" t="n">
        <f aca="false">I45+J45</f>
        <v>0</v>
      </c>
      <c r="L45" s="98" t="n">
        <f aca="false">SUM(L46:L51)</f>
        <v>1298191</v>
      </c>
      <c r="M45" s="98" t="n">
        <f aca="false">SUM(M46:M51)</f>
        <v>0</v>
      </c>
      <c r="N45" s="296" t="n">
        <f aca="false">L45+M45</f>
        <v>1298191</v>
      </c>
      <c r="O45" s="98" t="n">
        <f aca="false">SUM(O46:O51)</f>
        <v>44000000</v>
      </c>
      <c r="P45" s="98" t="n">
        <f aca="false">SUM(P46:P51)</f>
        <v>0</v>
      </c>
      <c r="Q45" s="296" t="n">
        <f aca="false">O45+P45</f>
        <v>44000000</v>
      </c>
    </row>
    <row r="46" customFormat="false" ht="22.5" hidden="false" customHeight="true" outlineLevel="0" collapsed="false">
      <c r="B46" s="102" t="str">
        <f aca="false">PL!B46</f>
        <v>固定資産売却損</v>
      </c>
      <c r="C46" s="35" t="n">
        <f aca="false">PL!C46</f>
        <v>0</v>
      </c>
      <c r="D46" s="52"/>
      <c r="E46" s="18" t="n">
        <f aca="false">C46+D46</f>
        <v>0</v>
      </c>
      <c r="F46" s="35" t="n">
        <f aca="false">PL!E46</f>
        <v>0</v>
      </c>
      <c r="G46" s="52"/>
      <c r="H46" s="18" t="n">
        <f aca="false">F46+G46</f>
        <v>0</v>
      </c>
      <c r="I46" s="35" t="n">
        <f aca="false">PL!G46</f>
        <v>0</v>
      </c>
      <c r="J46" s="52"/>
      <c r="K46" s="18" t="n">
        <f aca="false">I46+J46</f>
        <v>0</v>
      </c>
      <c r="L46" s="35" t="n">
        <f aca="false">PL!I46</f>
        <v>968026</v>
      </c>
      <c r="M46" s="52"/>
      <c r="N46" s="18" t="n">
        <f aca="false">L46+M46</f>
        <v>968026</v>
      </c>
      <c r="O46" s="35" t="n">
        <f aca="false">PL!K46</f>
        <v>0</v>
      </c>
      <c r="P46" s="52"/>
      <c r="Q46" s="18" t="n">
        <f aca="false">O46+P46</f>
        <v>0</v>
      </c>
    </row>
    <row r="47" customFormat="false" ht="19.5" hidden="false" customHeight="true" outlineLevel="0" collapsed="false">
      <c r="B47" s="103" t="str">
        <f aca="false">PL!B47</f>
        <v>固定資産除却損</v>
      </c>
      <c r="C47" s="35" t="n">
        <f aca="false">PL!C47</f>
        <v>0</v>
      </c>
      <c r="D47" s="52"/>
      <c r="E47" s="18" t="n">
        <f aca="false">C47+D47</f>
        <v>0</v>
      </c>
      <c r="F47" s="35" t="n">
        <f aca="false">PL!E47</f>
        <v>0</v>
      </c>
      <c r="G47" s="52"/>
      <c r="H47" s="18" t="n">
        <f aca="false">F47+G47</f>
        <v>0</v>
      </c>
      <c r="I47" s="35" t="n">
        <f aca="false">PL!G47</f>
        <v>0</v>
      </c>
      <c r="J47" s="52"/>
      <c r="K47" s="18" t="n">
        <f aca="false">I47+J47</f>
        <v>0</v>
      </c>
      <c r="L47" s="35" t="n">
        <f aca="false">PL!I47</f>
        <v>330165</v>
      </c>
      <c r="M47" s="52"/>
      <c r="N47" s="18" t="n">
        <f aca="false">L47+M47</f>
        <v>330165</v>
      </c>
      <c r="O47" s="35" t="n">
        <f aca="false">PL!K47</f>
        <v>0</v>
      </c>
      <c r="P47" s="52"/>
      <c r="Q47" s="18" t="n">
        <f aca="false">O47+P47</f>
        <v>0</v>
      </c>
    </row>
    <row r="48" customFormat="false" ht="19.5" hidden="false" customHeight="true" outlineLevel="0" collapsed="false">
      <c r="B48" s="103" t="str">
        <f aca="false">PL!B48</f>
        <v>棚卸資産廃棄損</v>
      </c>
      <c r="C48" s="35" t="n">
        <f aca="false">PL!C48</f>
        <v>0</v>
      </c>
      <c r="D48" s="52"/>
      <c r="E48" s="18" t="n">
        <f aca="false">C48+D48</f>
        <v>0</v>
      </c>
      <c r="F48" s="35" t="n">
        <f aca="false">PL!E48</f>
        <v>0</v>
      </c>
      <c r="G48" s="52"/>
      <c r="H48" s="18" t="n">
        <f aca="false">F48+G48</f>
        <v>0</v>
      </c>
      <c r="I48" s="35" t="n">
        <f aca="false">PL!G48</f>
        <v>0</v>
      </c>
      <c r="J48" s="52"/>
      <c r="K48" s="18" t="n">
        <f aca="false">I48+J48</f>
        <v>0</v>
      </c>
      <c r="L48" s="35" t="n">
        <f aca="false">PL!I48</f>
        <v>0</v>
      </c>
      <c r="M48" s="52"/>
      <c r="N48" s="18" t="n">
        <f aca="false">L48+M48</f>
        <v>0</v>
      </c>
      <c r="O48" s="35" t="n">
        <f aca="false">PL!K48</f>
        <v>44000000</v>
      </c>
      <c r="P48" s="52"/>
      <c r="Q48" s="18" t="n">
        <f aca="false">O48+P48</f>
        <v>44000000</v>
      </c>
    </row>
    <row r="49" customFormat="false" ht="19.5" hidden="false" customHeight="true" outlineLevel="0" collapsed="false">
      <c r="B49" s="103" t="n">
        <f aca="false">PL!B49</f>
        <v>0</v>
      </c>
      <c r="C49" s="35" t="n">
        <f aca="false">PL!C49</f>
        <v>0</v>
      </c>
      <c r="D49" s="52"/>
      <c r="E49" s="18" t="n">
        <f aca="false">C49+D49</f>
        <v>0</v>
      </c>
      <c r="F49" s="35" t="n">
        <f aca="false">PL!E49</f>
        <v>0</v>
      </c>
      <c r="G49" s="52"/>
      <c r="H49" s="18" t="n">
        <f aca="false">F49+G49</f>
        <v>0</v>
      </c>
      <c r="I49" s="35" t="n">
        <f aca="false">PL!G49</f>
        <v>0</v>
      </c>
      <c r="J49" s="52"/>
      <c r="K49" s="18" t="n">
        <f aca="false">I49+J49</f>
        <v>0</v>
      </c>
      <c r="L49" s="35" t="n">
        <f aca="false">PL!I49</f>
        <v>0</v>
      </c>
      <c r="M49" s="52"/>
      <c r="N49" s="18" t="n">
        <f aca="false">L49+M49</f>
        <v>0</v>
      </c>
      <c r="O49" s="35" t="n">
        <f aca="false">PL!K49</f>
        <v>0</v>
      </c>
      <c r="P49" s="52"/>
      <c r="Q49" s="18" t="n">
        <f aca="false">O49+P49</f>
        <v>0</v>
      </c>
    </row>
    <row r="50" customFormat="false" ht="19.5" hidden="false" customHeight="true" outlineLevel="0" collapsed="false">
      <c r="B50" s="103" t="n">
        <f aca="false">PL!B50</f>
        <v>0</v>
      </c>
      <c r="C50" s="35" t="n">
        <f aca="false">PL!C50</f>
        <v>0</v>
      </c>
      <c r="D50" s="52"/>
      <c r="E50" s="18" t="n">
        <f aca="false">C50+D50</f>
        <v>0</v>
      </c>
      <c r="F50" s="35" t="n">
        <f aca="false">PL!E50</f>
        <v>0</v>
      </c>
      <c r="G50" s="52"/>
      <c r="H50" s="18" t="n">
        <f aca="false">F50+G50</f>
        <v>0</v>
      </c>
      <c r="I50" s="35" t="n">
        <f aca="false">PL!G50</f>
        <v>0</v>
      </c>
      <c r="J50" s="52"/>
      <c r="K50" s="18" t="n">
        <f aca="false">I50+J50</f>
        <v>0</v>
      </c>
      <c r="L50" s="35" t="n">
        <f aca="false">PL!I50</f>
        <v>0</v>
      </c>
      <c r="M50" s="52"/>
      <c r="N50" s="18" t="n">
        <f aca="false">L50+M50</f>
        <v>0</v>
      </c>
      <c r="O50" s="35" t="n">
        <f aca="false">PL!K50</f>
        <v>0</v>
      </c>
      <c r="P50" s="52"/>
      <c r="Q50" s="18" t="n">
        <f aca="false">O50+P50</f>
        <v>0</v>
      </c>
    </row>
    <row r="51" customFormat="false" ht="19.5" hidden="false" customHeight="true" outlineLevel="0" collapsed="false">
      <c r="B51" s="104"/>
      <c r="C51" s="37"/>
      <c r="D51" s="54"/>
      <c r="E51" s="170" t="n">
        <f aca="false">C51+D51</f>
        <v>0</v>
      </c>
      <c r="F51" s="37"/>
      <c r="G51" s="54"/>
      <c r="H51" s="170" t="n">
        <f aca="false">F51+G51</f>
        <v>0</v>
      </c>
      <c r="I51" s="37"/>
      <c r="J51" s="54"/>
      <c r="K51" s="170" t="n">
        <f aca="false">I51+J51</f>
        <v>0</v>
      </c>
      <c r="L51" s="37"/>
      <c r="M51" s="54"/>
      <c r="N51" s="170" t="n">
        <f aca="false">L51+M51</f>
        <v>0</v>
      </c>
      <c r="O51" s="37"/>
      <c r="P51" s="54"/>
      <c r="Q51" s="170" t="n">
        <f aca="false">O51+P51</f>
        <v>0</v>
      </c>
    </row>
    <row r="52" customFormat="false" ht="19.5" hidden="false" customHeight="true" outlineLevel="0" collapsed="false">
      <c r="B52" s="93" t="s">
        <v>102</v>
      </c>
      <c r="C52" s="94" t="n">
        <f aca="false">C37+C38-C45</f>
        <v>0</v>
      </c>
      <c r="D52" s="94" t="n">
        <f aca="false">D37+D38-D45</f>
        <v>0</v>
      </c>
      <c r="E52" s="15" t="n">
        <f aca="false">C52+D52</f>
        <v>0</v>
      </c>
      <c r="F52" s="94" t="n">
        <f aca="false">F37+F38-F45</f>
        <v>2528371</v>
      </c>
      <c r="G52" s="94" t="n">
        <f aca="false">G37+G38-G45</f>
        <v>8856000</v>
      </c>
      <c r="H52" s="15" t="n">
        <f aca="false">F52+G52</f>
        <v>11384371</v>
      </c>
      <c r="I52" s="94" t="n">
        <f aca="false">I37+I38-I45</f>
        <v>3109637</v>
      </c>
      <c r="J52" s="94" t="n">
        <f aca="false">J37+J38-J45</f>
        <v>20449000</v>
      </c>
      <c r="K52" s="15" t="n">
        <f aca="false">I52+J52</f>
        <v>23558637</v>
      </c>
      <c r="L52" s="94" t="n">
        <f aca="false">L37+L38-L45</f>
        <v>-19873547</v>
      </c>
      <c r="M52" s="94" t="n">
        <f aca="false">M37+M38-M45</f>
        <v>19883868</v>
      </c>
      <c r="N52" s="15" t="n">
        <f aca="false">L52+M52</f>
        <v>10321</v>
      </c>
      <c r="O52" s="94" t="n">
        <f aca="false">O37+O38-O45</f>
        <v>-38185854</v>
      </c>
      <c r="P52" s="94" t="n">
        <f aca="false">P37+P38-P45</f>
        <v>0</v>
      </c>
      <c r="Q52" s="15" t="n">
        <f aca="false">O52+P52</f>
        <v>-38185854</v>
      </c>
    </row>
    <row r="53" customFormat="false" ht="19.5" hidden="false" customHeight="true" outlineLevel="0" collapsed="false">
      <c r="B53" s="97" t="s">
        <v>103</v>
      </c>
      <c r="C53" s="98" t="n">
        <f aca="false">SUM(C54:C56)</f>
        <v>0</v>
      </c>
      <c r="D53" s="98" t="n">
        <f aca="false">SUM(D54:D56)</f>
        <v>0</v>
      </c>
      <c r="E53" s="294" t="n">
        <f aca="false">C53+D53</f>
        <v>0</v>
      </c>
      <c r="F53" s="98" t="n">
        <f aca="false">SUM(F54:F56)</f>
        <v>894154</v>
      </c>
      <c r="G53" s="98" t="n">
        <f aca="false">SUM(G54:G56)</f>
        <v>0</v>
      </c>
      <c r="H53" s="294" t="n">
        <f aca="false">F53+G53</f>
        <v>894154</v>
      </c>
      <c r="I53" s="98" t="n">
        <f aca="false">SUM(I54:I56)</f>
        <v>2135275</v>
      </c>
      <c r="J53" s="98" t="n">
        <f aca="false">SUM(J54:J56)</f>
        <v>0</v>
      </c>
      <c r="K53" s="294" t="n">
        <f aca="false">I53+J53</f>
        <v>2135275</v>
      </c>
      <c r="L53" s="98" t="n">
        <f aca="false">SUM(L54:L56)</f>
        <v>485000</v>
      </c>
      <c r="M53" s="98" t="n">
        <f aca="false">SUM(M54:M56)</f>
        <v>0</v>
      </c>
      <c r="N53" s="294" t="n">
        <f aca="false">L53+M53</f>
        <v>485000</v>
      </c>
      <c r="O53" s="98" t="n">
        <f aca="false">SUM(O54:O56)</f>
        <v>986</v>
      </c>
      <c r="P53" s="98" t="n">
        <f aca="false">SUM(P54:P56)</f>
        <v>0</v>
      </c>
      <c r="Q53" s="294" t="n">
        <f aca="false">O53+P53</f>
        <v>986</v>
      </c>
    </row>
    <row r="54" customFormat="false" ht="19.5" hidden="false" customHeight="true" outlineLevel="0" collapsed="false">
      <c r="B54" s="103" t="str">
        <f aca="false">PL!B54</f>
        <v>法人税等</v>
      </c>
      <c r="C54" s="35" t="n">
        <f aca="false">PL!C54</f>
        <v>0</v>
      </c>
      <c r="D54" s="52"/>
      <c r="E54" s="18" t="n">
        <f aca="false">C54+D54</f>
        <v>0</v>
      </c>
      <c r="F54" s="35" t="n">
        <f aca="false">PL!E54</f>
        <v>894154</v>
      </c>
      <c r="G54" s="52"/>
      <c r="H54" s="18" t="n">
        <f aca="false">F54+G54</f>
        <v>894154</v>
      </c>
      <c r="I54" s="35" t="n">
        <f aca="false">PL!G54</f>
        <v>2135275</v>
      </c>
      <c r="J54" s="52"/>
      <c r="K54" s="18" t="n">
        <f aca="false">I54+J54</f>
        <v>2135275</v>
      </c>
      <c r="L54" s="35" t="n">
        <f aca="false">PL!I54</f>
        <v>485000</v>
      </c>
      <c r="M54" s="52"/>
      <c r="N54" s="18" t="n">
        <f aca="false">L54+M54</f>
        <v>485000</v>
      </c>
      <c r="O54" s="35" t="n">
        <f aca="false">PL!K54</f>
        <v>986</v>
      </c>
      <c r="P54" s="52"/>
      <c r="Q54" s="18" t="n">
        <f aca="false">O54+P54</f>
        <v>986</v>
      </c>
    </row>
    <row r="55" customFormat="false" ht="19.5" hidden="false" customHeight="true" outlineLevel="0" collapsed="false">
      <c r="B55" s="103" t="n">
        <f aca="false">PL!B55</f>
        <v>0</v>
      </c>
      <c r="C55" s="35" t="n">
        <f aca="false">PL!C55</f>
        <v>0</v>
      </c>
      <c r="D55" s="52"/>
      <c r="E55" s="18" t="n">
        <f aca="false">C55+D55</f>
        <v>0</v>
      </c>
      <c r="F55" s="35" t="n">
        <f aca="false">PL!E55</f>
        <v>0</v>
      </c>
      <c r="G55" s="52"/>
      <c r="H55" s="18" t="n">
        <f aca="false">F55+G55</f>
        <v>0</v>
      </c>
      <c r="I55" s="35" t="n">
        <f aca="false">PL!G55</f>
        <v>0</v>
      </c>
      <c r="J55" s="52"/>
      <c r="K55" s="18" t="n">
        <f aca="false">I55+J55</f>
        <v>0</v>
      </c>
      <c r="L55" s="35" t="n">
        <f aca="false">PL!I55</f>
        <v>0</v>
      </c>
      <c r="M55" s="52"/>
      <c r="N55" s="18" t="n">
        <f aca="false">L55+M55</f>
        <v>0</v>
      </c>
      <c r="O55" s="35" t="n">
        <f aca="false">PL!K55</f>
        <v>0</v>
      </c>
      <c r="P55" s="52"/>
      <c r="Q55" s="18" t="n">
        <f aca="false">O55+P55</f>
        <v>0</v>
      </c>
    </row>
    <row r="56" customFormat="false" ht="19.5" hidden="false" customHeight="true" outlineLevel="0" collapsed="false">
      <c r="B56" s="105"/>
      <c r="C56" s="37"/>
      <c r="D56" s="54"/>
      <c r="E56" s="170" t="n">
        <f aca="false">C56+D56</f>
        <v>0</v>
      </c>
      <c r="F56" s="37"/>
      <c r="G56" s="54"/>
      <c r="H56" s="170" t="n">
        <f aca="false">F56+G56</f>
        <v>0</v>
      </c>
      <c r="I56" s="37"/>
      <c r="J56" s="54"/>
      <c r="K56" s="170" t="n">
        <f aca="false">I56+J56</f>
        <v>0</v>
      </c>
      <c r="L56" s="37"/>
      <c r="M56" s="54"/>
      <c r="N56" s="170" t="n">
        <f aca="false">L56+M56</f>
        <v>0</v>
      </c>
      <c r="O56" s="37"/>
      <c r="P56" s="54"/>
      <c r="Q56" s="170" t="n">
        <f aca="false">O56+P56</f>
        <v>0</v>
      </c>
    </row>
    <row r="57" customFormat="false" ht="20.25" hidden="false" customHeight="true" outlineLevel="0" collapsed="false">
      <c r="B57" s="93" t="s">
        <v>104</v>
      </c>
      <c r="C57" s="94" t="n">
        <f aca="false">C52-C53</f>
        <v>0</v>
      </c>
      <c r="D57" s="94" t="n">
        <f aca="false">D52-D53</f>
        <v>0</v>
      </c>
      <c r="E57" s="299" t="n">
        <f aca="false">C57+D57</f>
        <v>0</v>
      </c>
      <c r="F57" s="94" t="n">
        <f aca="false">F52-F53</f>
        <v>1634217</v>
      </c>
      <c r="G57" s="94" t="n">
        <f aca="false">G52-G53</f>
        <v>8856000</v>
      </c>
      <c r="H57" s="299" t="n">
        <f aca="false">F57+G57</f>
        <v>10490217</v>
      </c>
      <c r="I57" s="94" t="n">
        <f aca="false">I52-I53</f>
        <v>974362</v>
      </c>
      <c r="J57" s="94" t="n">
        <f aca="false">J52-J53</f>
        <v>20449000</v>
      </c>
      <c r="K57" s="299" t="n">
        <f aca="false">I57+J57</f>
        <v>21423362</v>
      </c>
      <c r="L57" s="94" t="n">
        <f aca="false">L52-L53</f>
        <v>-20358547</v>
      </c>
      <c r="M57" s="94" t="n">
        <f aca="false">M52-M53</f>
        <v>19883868</v>
      </c>
      <c r="N57" s="299" t="n">
        <f aca="false">L57+M57</f>
        <v>-474679</v>
      </c>
      <c r="O57" s="94" t="n">
        <f aca="false">O52-O53</f>
        <v>-38186840</v>
      </c>
      <c r="P57" s="94" t="n">
        <f aca="false">P52-P53</f>
        <v>0</v>
      </c>
      <c r="Q57" s="299" t="n">
        <f aca="false">O57+P57</f>
        <v>-38186840</v>
      </c>
    </row>
    <row r="58" customFormat="false" ht="18" hidden="false" customHeight="true" outlineLevel="0" collapsed="false">
      <c r="C58" s="133"/>
      <c r="D58" s="133"/>
      <c r="E58" s="133"/>
      <c r="F58" s="133"/>
      <c r="G58" s="133"/>
      <c r="H58" s="133"/>
      <c r="I58" s="133"/>
      <c r="J58" s="133"/>
      <c r="K58" s="133"/>
      <c r="L58" s="133"/>
      <c r="M58" s="133"/>
      <c r="N58" s="133"/>
      <c r="O58" s="133"/>
      <c r="P58" s="133"/>
      <c r="Q58" s="133"/>
    </row>
    <row r="59" customFormat="false" ht="18" hidden="false" customHeight="true" outlineLevel="0" collapsed="false">
      <c r="C59" s="133"/>
      <c r="D59" s="133"/>
      <c r="E59" s="133"/>
      <c r="F59" s="133" t="n">
        <v>1634217</v>
      </c>
      <c r="G59" s="133"/>
      <c r="H59" s="133"/>
      <c r="I59" s="133" t="n">
        <v>974362</v>
      </c>
      <c r="J59" s="133"/>
      <c r="K59" s="133"/>
      <c r="L59" s="133" t="n">
        <v>-20358547</v>
      </c>
      <c r="M59" s="133"/>
      <c r="N59" s="133"/>
      <c r="O59" s="133" t="n">
        <v>-27305086</v>
      </c>
      <c r="P59" s="133"/>
      <c r="Q59" s="133"/>
    </row>
    <row r="60" customFormat="false" ht="18" hidden="false" customHeight="true" outlineLevel="0" collapsed="false">
      <c r="B60" s="141" t="s">
        <v>266</v>
      </c>
      <c r="C60" s="133" t="n">
        <f aca="false">C59=C57</f>
        <v>1</v>
      </c>
      <c r="D60" s="133"/>
      <c r="E60" s="133"/>
      <c r="F60" s="133" t="n">
        <f aca="false">F59=F57</f>
        <v>1</v>
      </c>
      <c r="G60" s="133"/>
      <c r="H60" s="133"/>
      <c r="I60" s="133" t="n">
        <f aca="false">I59=I57</f>
        <v>1</v>
      </c>
      <c r="J60" s="133"/>
      <c r="K60" s="133"/>
      <c r="L60" s="133" t="n">
        <f aca="false">L59=L57</f>
        <v>1</v>
      </c>
      <c r="M60" s="133"/>
      <c r="N60" s="133"/>
      <c r="O60" s="133" t="n">
        <f aca="false">O59=O57</f>
        <v>0</v>
      </c>
      <c r="P60" s="133"/>
      <c r="Q60" s="133"/>
    </row>
    <row r="61" customFormat="false" ht="18" hidden="false" customHeight="true" outlineLevel="0" collapsed="false">
      <c r="B61" s="144" t="s">
        <v>267</v>
      </c>
      <c r="C61" s="133"/>
      <c r="D61" s="133"/>
      <c r="E61" s="133"/>
      <c r="F61" s="133"/>
      <c r="G61" s="133"/>
      <c r="H61" s="133"/>
      <c r="I61" s="133"/>
      <c r="J61" s="133"/>
      <c r="K61" s="133"/>
      <c r="L61" s="133"/>
      <c r="M61" s="133"/>
      <c r="N61" s="133"/>
      <c r="O61" s="133"/>
      <c r="P61" s="133"/>
      <c r="Q61" s="133"/>
    </row>
    <row r="62" customFormat="false" ht="18" hidden="false" customHeight="true" outlineLevel="0" collapsed="false">
      <c r="B62" s="141" t="s">
        <v>268</v>
      </c>
      <c r="C62" s="133"/>
      <c r="D62" s="133"/>
      <c r="E62" s="133"/>
      <c r="F62" s="133"/>
      <c r="G62" s="133"/>
      <c r="H62" s="300" t="n">
        <f aca="false">H20</f>
        <v>9876140</v>
      </c>
      <c r="I62" s="133"/>
      <c r="J62" s="133"/>
      <c r="K62" s="300" t="n">
        <f aca="false">K20</f>
        <v>22836100</v>
      </c>
      <c r="L62" s="133"/>
      <c r="M62" s="133"/>
      <c r="N62" s="300" t="n">
        <f aca="false">N20</f>
        <v>-322737</v>
      </c>
      <c r="O62" s="133"/>
      <c r="P62" s="133"/>
      <c r="Q62" s="133"/>
      <c r="S62" s="141" t="s">
        <v>269</v>
      </c>
    </row>
    <row r="63" customFormat="false" ht="18" hidden="false" customHeight="true" outlineLevel="0" collapsed="false">
      <c r="B63" s="141" t="s">
        <v>270</v>
      </c>
      <c r="C63" s="133"/>
      <c r="D63" s="133"/>
      <c r="E63" s="133"/>
      <c r="F63" s="133"/>
      <c r="G63" s="133"/>
      <c r="H63" s="300" t="n">
        <f aca="false">G24</f>
        <v>1321000</v>
      </c>
      <c r="I63" s="133"/>
      <c r="J63" s="133"/>
      <c r="K63" s="300" t="n">
        <f aca="false">J24</f>
        <v>635000</v>
      </c>
      <c r="L63" s="133"/>
      <c r="M63" s="133"/>
      <c r="N63" s="300" t="n">
        <f aca="false">M24</f>
        <v>654868</v>
      </c>
      <c r="O63" s="133"/>
      <c r="P63" s="133"/>
      <c r="Q63" s="133"/>
    </row>
    <row r="64" customFormat="false" ht="18" hidden="false" customHeight="true" outlineLevel="0" collapsed="false">
      <c r="B64" s="144" t="s">
        <v>271</v>
      </c>
      <c r="C64" s="133"/>
      <c r="D64" s="133"/>
      <c r="E64" s="133"/>
      <c r="F64" s="133"/>
      <c r="G64" s="133"/>
      <c r="H64" s="301" t="n">
        <f aca="false">H62+H63</f>
        <v>11197140</v>
      </c>
      <c r="I64" s="133"/>
      <c r="J64" s="133"/>
      <c r="K64" s="301" t="n">
        <f aca="false">K62+K63</f>
        <v>23471100</v>
      </c>
      <c r="L64" s="133"/>
      <c r="M64" s="133"/>
      <c r="N64" s="301" t="n">
        <f aca="false">N62+N63</f>
        <v>332131</v>
      </c>
      <c r="O64" s="133"/>
      <c r="P64" s="133"/>
      <c r="Q64" s="133"/>
    </row>
    <row r="65" customFormat="false" ht="18" hidden="false" customHeight="true" outlineLevel="0" collapsed="false">
      <c r="C65" s="133"/>
      <c r="D65" s="133"/>
      <c r="E65" s="133"/>
      <c r="F65" s="133"/>
      <c r="G65" s="133"/>
      <c r="H65" s="133"/>
      <c r="I65" s="133"/>
      <c r="J65" s="133"/>
      <c r="K65" s="133"/>
      <c r="L65" s="133"/>
      <c r="M65" s="133"/>
      <c r="N65" s="133"/>
      <c r="O65" s="133"/>
      <c r="P65" s="133"/>
      <c r="Q65" s="133"/>
    </row>
    <row r="66" customFormat="false" ht="18" hidden="false" customHeight="true" outlineLevel="0" collapsed="false">
      <c r="C66" s="133"/>
      <c r="D66" s="133"/>
      <c r="E66" s="133"/>
      <c r="F66" s="133"/>
      <c r="G66" s="133"/>
      <c r="H66" s="133"/>
      <c r="I66" s="133"/>
      <c r="J66" s="133"/>
      <c r="K66" s="133"/>
      <c r="L66" s="133"/>
      <c r="M66" s="133"/>
      <c r="N66" s="133"/>
      <c r="O66" s="133"/>
      <c r="P66" s="133"/>
      <c r="Q66" s="133"/>
    </row>
    <row r="67" customFormat="false" ht="18" hidden="false" customHeight="true" outlineLevel="0" collapsed="false">
      <c r="E67" s="133"/>
      <c r="H67" s="133"/>
      <c r="K67" s="133"/>
      <c r="N67" s="133"/>
      <c r="Q67" s="133"/>
    </row>
    <row r="68" customFormat="false" ht="18" hidden="false" customHeight="true" outlineLevel="0" collapsed="false">
      <c r="E68" s="133"/>
      <c r="H68" s="133"/>
      <c r="K68" s="133"/>
      <c r="N68" s="133"/>
      <c r="Q68" s="133"/>
    </row>
  </sheetData>
  <mergeCells count="6">
    <mergeCell ref="B3:B4"/>
    <mergeCell ref="C3:E3"/>
    <mergeCell ref="F3:H3"/>
    <mergeCell ref="I3:K3"/>
    <mergeCell ref="L3:N3"/>
    <mergeCell ref="O3:Q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S39"/>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0" ySplit="4" topLeftCell="A23" activePane="bottomLeft" state="frozen"/>
      <selection pane="topLeft" activeCell="A1" activeCellId="0" sqref="A1"/>
      <selection pane="bottomLeft" activeCell="A39" activeCellId="0" sqref="A39"/>
    </sheetView>
  </sheetViews>
  <sheetFormatPr defaultColWidth="8.5390625" defaultRowHeight="18" zeroHeight="false" outlineLevelRow="0" outlineLevelCol="0"/>
  <cols>
    <col collapsed="false" customWidth="true" hidden="false" outlineLevel="0" max="2" min="2" style="19" width="28"/>
    <col collapsed="false" customWidth="true" hidden="false" outlineLevel="0" max="17" min="3" style="20" width="15"/>
    <col collapsed="false" customWidth="true" hidden="false" outlineLevel="0" max="19" min="19" style="20" width="58"/>
  </cols>
  <sheetData>
    <row r="2" customFormat="false" ht="18.75" hidden="false" customHeight="true" outlineLevel="0" collapsed="false">
      <c r="B2" s="2"/>
      <c r="C2" s="46"/>
      <c r="F2" s="46"/>
      <c r="I2" s="46"/>
      <c r="K2" s="47" t="s">
        <v>49</v>
      </c>
      <c r="L2" s="46"/>
      <c r="O2" s="46"/>
    </row>
    <row r="3" customFormat="false" ht="20.25" hidden="false" customHeight="true" outlineLevel="0" collapsed="false">
      <c r="B3" s="134" t="s">
        <v>6</v>
      </c>
      <c r="C3" s="134" t="str">
        <f aca="false">'BS(借方)'!C4</f>
        <v>－</v>
      </c>
      <c r="D3" s="134"/>
      <c r="E3" s="134"/>
      <c r="F3" s="134" t="str">
        <f aca="false">'BS(借方)'!D4</f>
        <v>23年11月期</v>
      </c>
      <c r="G3" s="134"/>
      <c r="H3" s="134"/>
      <c r="I3" s="134" t="str">
        <f aca="false">'BS(借方)'!E4</f>
        <v>24年11月期</v>
      </c>
      <c r="J3" s="134"/>
      <c r="K3" s="134"/>
      <c r="L3" s="134" t="str">
        <f aca="false">'BS(借方)'!F4</f>
        <v>25年11月期</v>
      </c>
      <c r="M3" s="134"/>
      <c r="N3" s="134"/>
      <c r="O3" s="302" t="str">
        <f aca="false">'BS(借方)'!G4</f>
        <v>26年11月期
（7か月TB）</v>
      </c>
      <c r="P3" s="302"/>
      <c r="Q3" s="302"/>
      <c r="S3" s="144" t="s">
        <v>192</v>
      </c>
    </row>
    <row r="4" customFormat="false" ht="19.5" hidden="false" customHeight="true" outlineLevel="0" collapsed="false">
      <c r="B4" s="134"/>
      <c r="C4" s="112" t="s">
        <v>74</v>
      </c>
      <c r="D4" s="291" t="s">
        <v>182</v>
      </c>
      <c r="E4" s="292" t="s">
        <v>183</v>
      </c>
      <c r="F4" s="112" t="s">
        <v>74</v>
      </c>
      <c r="G4" s="291" t="s">
        <v>182</v>
      </c>
      <c r="H4" s="292" t="s">
        <v>183</v>
      </c>
      <c r="I4" s="112" t="s">
        <v>74</v>
      </c>
      <c r="J4" s="291" t="s">
        <v>182</v>
      </c>
      <c r="K4" s="292" t="s">
        <v>183</v>
      </c>
      <c r="L4" s="112" t="s">
        <v>74</v>
      </c>
      <c r="M4" s="291" t="s">
        <v>182</v>
      </c>
      <c r="N4" s="292" t="s">
        <v>183</v>
      </c>
      <c r="O4" s="115" t="s">
        <v>74</v>
      </c>
      <c r="P4" s="303" t="s">
        <v>182</v>
      </c>
      <c r="Q4" s="292" t="s">
        <v>183</v>
      </c>
    </row>
    <row r="5" customFormat="false" ht="22.5" hidden="false" customHeight="true" outlineLevel="0" collapsed="false">
      <c r="B5" s="304" t="str">
        <f aca="false">SGA!B6</f>
        <v>従業員給与</v>
      </c>
      <c r="C5" s="35" t="n">
        <f aca="false">SGA!C6</f>
        <v>0</v>
      </c>
      <c r="D5" s="17"/>
      <c r="E5" s="18" t="n">
        <f aca="false">C5+D5</f>
        <v>0</v>
      </c>
      <c r="F5" s="35" t="n">
        <f aca="false">SGA!E6</f>
        <v>112323477</v>
      </c>
      <c r="G5" s="155" t="n">
        <v>0</v>
      </c>
      <c r="H5" s="18" t="n">
        <f aca="false">F5+G5</f>
        <v>112323477</v>
      </c>
      <c r="I5" s="35" t="n">
        <f aca="false">SGA!G6</f>
        <v>115961553</v>
      </c>
      <c r="J5" s="155" t="n">
        <v>-8831000</v>
      </c>
      <c r="K5" s="18" t="n">
        <f aca="false">I5+J5</f>
        <v>107130553</v>
      </c>
      <c r="L5" s="35" t="n">
        <f aca="false">SGA!I6</f>
        <v>127016990</v>
      </c>
      <c r="M5" s="155" t="n">
        <v>-8183000</v>
      </c>
      <c r="N5" s="18" t="n">
        <f aca="false">L5+M5</f>
        <v>118833990</v>
      </c>
      <c r="O5" s="35" t="n">
        <f aca="false">SGA!K6</f>
        <v>64179726</v>
      </c>
      <c r="P5" s="17"/>
      <c r="Q5" s="18" t="n">
        <f aca="false">O5+P5</f>
        <v>64179726</v>
      </c>
      <c r="S5" s="141" t="s">
        <v>272</v>
      </c>
    </row>
    <row r="6" customFormat="false" ht="22.5" hidden="false" customHeight="true" outlineLevel="0" collapsed="false">
      <c r="B6" s="90" t="str">
        <f aca="false">SGA!B7</f>
        <v>旅費交通費</v>
      </c>
      <c r="C6" s="52" t="n">
        <f aca="false">SGA!C7</f>
        <v>0</v>
      </c>
      <c r="D6" s="17"/>
      <c r="E6" s="18" t="n">
        <f aca="false">C6+D6</f>
        <v>0</v>
      </c>
      <c r="F6" s="35" t="n">
        <f aca="false">SGA!E7</f>
        <v>3152359</v>
      </c>
      <c r="G6" s="17"/>
      <c r="H6" s="18" t="n">
        <f aca="false">F6+G6</f>
        <v>3152359</v>
      </c>
      <c r="I6" s="35" t="n">
        <f aca="false">SGA!G7</f>
        <v>4978151</v>
      </c>
      <c r="J6" s="17"/>
      <c r="K6" s="18" t="n">
        <f aca="false">I6+J6</f>
        <v>4978151</v>
      </c>
      <c r="L6" s="35" t="n">
        <f aca="false">SGA!I7</f>
        <v>5724652</v>
      </c>
      <c r="M6" s="17"/>
      <c r="N6" s="18" t="n">
        <f aca="false">L6+M6</f>
        <v>5724652</v>
      </c>
      <c r="O6" s="35" t="n">
        <f aca="false">SGA!K7</f>
        <v>3504938</v>
      </c>
      <c r="P6" s="17"/>
      <c r="Q6" s="18" t="n">
        <f aca="false">O6+P6</f>
        <v>3504938</v>
      </c>
    </row>
    <row r="7" customFormat="false" ht="22.5" hidden="false" customHeight="true" outlineLevel="0" collapsed="false">
      <c r="B7" s="90" t="str">
        <f aca="false">SGA!B8</f>
        <v>広告宣伝費</v>
      </c>
      <c r="C7" s="52" t="n">
        <f aca="false">SGA!C8</f>
        <v>0</v>
      </c>
      <c r="D7" s="17"/>
      <c r="E7" s="18" t="n">
        <f aca="false">C7+D7</f>
        <v>0</v>
      </c>
      <c r="F7" s="35" t="n">
        <f aca="false">SGA!E8</f>
        <v>24335030</v>
      </c>
      <c r="G7" s="17"/>
      <c r="H7" s="18" t="n">
        <f aca="false">F7+G7</f>
        <v>24335030</v>
      </c>
      <c r="I7" s="35" t="n">
        <f aca="false">SGA!G8</f>
        <v>34052424</v>
      </c>
      <c r="J7" s="17"/>
      <c r="K7" s="18" t="n">
        <f aca="false">I7+J7</f>
        <v>34052424</v>
      </c>
      <c r="L7" s="35" t="n">
        <f aca="false">SGA!I8</f>
        <v>26650854</v>
      </c>
      <c r="M7" s="17"/>
      <c r="N7" s="18" t="n">
        <f aca="false">L7+M7</f>
        <v>26650854</v>
      </c>
      <c r="O7" s="35" t="n">
        <f aca="false">SGA!K8</f>
        <v>15163208</v>
      </c>
      <c r="P7" s="17"/>
      <c r="Q7" s="18" t="n">
        <f aca="false">O7+P7</f>
        <v>15163208</v>
      </c>
    </row>
    <row r="8" customFormat="false" ht="22.5" hidden="false" customHeight="true" outlineLevel="0" collapsed="false">
      <c r="B8" s="90" t="str">
        <f aca="false">SGA!B9</f>
        <v>発送配達費</v>
      </c>
      <c r="C8" s="52" t="n">
        <f aca="false">SGA!C9</f>
        <v>0</v>
      </c>
      <c r="D8" s="17"/>
      <c r="E8" s="18" t="n">
        <f aca="false">C8+D8</f>
        <v>0</v>
      </c>
      <c r="F8" s="35" t="n">
        <f aca="false">SGA!E9</f>
        <v>352787</v>
      </c>
      <c r="G8" s="17"/>
      <c r="H8" s="18" t="n">
        <f aca="false">F8+G8</f>
        <v>352787</v>
      </c>
      <c r="I8" s="35" t="n">
        <f aca="false">SGA!G9</f>
        <v>280605</v>
      </c>
      <c r="J8" s="17"/>
      <c r="K8" s="18" t="n">
        <f aca="false">I8+J8</f>
        <v>280605</v>
      </c>
      <c r="L8" s="35" t="n">
        <f aca="false">SGA!I9</f>
        <v>436931</v>
      </c>
      <c r="M8" s="17"/>
      <c r="N8" s="18" t="n">
        <f aca="false">L8+M8</f>
        <v>436931</v>
      </c>
      <c r="O8" s="35" t="n">
        <f aca="false">SGA!K9</f>
        <v>129150</v>
      </c>
      <c r="P8" s="17"/>
      <c r="Q8" s="18" t="n">
        <f aca="false">O8+P8</f>
        <v>129150</v>
      </c>
    </row>
    <row r="9" customFormat="false" ht="22.5" hidden="false" customHeight="true" outlineLevel="0" collapsed="false">
      <c r="B9" s="90" t="str">
        <f aca="false">SGA!B10</f>
        <v>ロイヤリティ</v>
      </c>
      <c r="C9" s="52" t="n">
        <f aca="false">SGA!C10</f>
        <v>0</v>
      </c>
      <c r="D9" s="17"/>
      <c r="E9" s="18" t="n">
        <f aca="false">C9+D9</f>
        <v>0</v>
      </c>
      <c r="F9" s="35" t="n">
        <f aca="false">SGA!E10</f>
        <v>45990311</v>
      </c>
      <c r="G9" s="17"/>
      <c r="H9" s="18" t="n">
        <f aca="false">F9+G9</f>
        <v>45990311</v>
      </c>
      <c r="I9" s="35" t="n">
        <f aca="false">SGA!G10</f>
        <v>39848148</v>
      </c>
      <c r="J9" s="17"/>
      <c r="K9" s="18" t="n">
        <f aca="false">I9+J9</f>
        <v>39848148</v>
      </c>
      <c r="L9" s="35" t="n">
        <f aca="false">SGA!I10</f>
        <v>29981679</v>
      </c>
      <c r="M9" s="17"/>
      <c r="N9" s="18" t="n">
        <f aca="false">L9+M9</f>
        <v>29981679</v>
      </c>
      <c r="O9" s="35" t="n">
        <f aca="false">SGA!K10</f>
        <v>14193011</v>
      </c>
      <c r="P9" s="17"/>
      <c r="Q9" s="18" t="n">
        <f aca="false">O9+P9</f>
        <v>14193011</v>
      </c>
    </row>
    <row r="10" customFormat="false" ht="22.5" hidden="false" customHeight="true" outlineLevel="0" collapsed="false">
      <c r="B10" s="90" t="str">
        <f aca="false">SGA!B11</f>
        <v>会議費</v>
      </c>
      <c r="C10" s="52" t="n">
        <f aca="false">SGA!C11</f>
        <v>0</v>
      </c>
      <c r="D10" s="17"/>
      <c r="E10" s="18" t="n">
        <f aca="false">C10+D10</f>
        <v>0</v>
      </c>
      <c r="F10" s="35" t="n">
        <f aca="false">SGA!E11</f>
        <v>189625</v>
      </c>
      <c r="G10" s="17"/>
      <c r="H10" s="18" t="n">
        <f aca="false">F10+G10</f>
        <v>189625</v>
      </c>
      <c r="I10" s="35" t="n">
        <f aca="false">SGA!G11</f>
        <v>484171</v>
      </c>
      <c r="J10" s="17"/>
      <c r="K10" s="18" t="n">
        <f aca="false">I10+J10</f>
        <v>484171</v>
      </c>
      <c r="L10" s="35" t="n">
        <f aca="false">SGA!I11</f>
        <v>1489497</v>
      </c>
      <c r="M10" s="17"/>
      <c r="N10" s="18" t="n">
        <f aca="false">L10+M10</f>
        <v>1489497</v>
      </c>
      <c r="O10" s="35" t="n">
        <f aca="false">SGA!K11</f>
        <v>887177</v>
      </c>
      <c r="P10" s="17"/>
      <c r="Q10" s="18" t="n">
        <f aca="false">O10+P10</f>
        <v>887177</v>
      </c>
    </row>
    <row r="11" customFormat="false" ht="22.5" hidden="false" customHeight="true" outlineLevel="0" collapsed="false">
      <c r="B11" s="90" t="str">
        <f aca="false">SGA!B12</f>
        <v>役員報酬</v>
      </c>
      <c r="C11" s="52" t="n">
        <f aca="false">SGA!C12</f>
        <v>0</v>
      </c>
      <c r="D11" s="17"/>
      <c r="E11" s="18" t="n">
        <f aca="false">C11+D11</f>
        <v>0</v>
      </c>
      <c r="F11" s="35" t="n">
        <f aca="false">SGA!E12</f>
        <v>9600000</v>
      </c>
      <c r="G11" s="155" t="n">
        <v>0</v>
      </c>
      <c r="H11" s="18" t="n">
        <f aca="false">F11+G11</f>
        <v>9600000</v>
      </c>
      <c r="I11" s="35" t="n">
        <f aca="false">SGA!G12</f>
        <v>9600000</v>
      </c>
      <c r="J11" s="155" t="n">
        <v>0</v>
      </c>
      <c r="K11" s="18" t="n">
        <f aca="false">I11+J11</f>
        <v>9600000</v>
      </c>
      <c r="L11" s="35" t="n">
        <f aca="false">SGA!I12</f>
        <v>14400000</v>
      </c>
      <c r="M11" s="155" t="n">
        <v>0</v>
      </c>
      <c r="N11" s="18" t="n">
        <f aca="false">L11+M11</f>
        <v>14400000</v>
      </c>
      <c r="O11" s="35" t="n">
        <f aca="false">SGA!K12</f>
        <v>6300000</v>
      </c>
      <c r="P11" s="17"/>
      <c r="Q11" s="18" t="n">
        <f aca="false">O11+P11</f>
        <v>6300000</v>
      </c>
      <c r="S11" s="141" t="s">
        <v>273</v>
      </c>
    </row>
    <row r="12" customFormat="false" ht="22.5" hidden="false" customHeight="true" outlineLevel="0" collapsed="false">
      <c r="B12" s="90" t="str">
        <f aca="false">SGA!B13</f>
        <v>法定福利費</v>
      </c>
      <c r="C12" s="52" t="n">
        <f aca="false">SGA!C13</f>
        <v>0</v>
      </c>
      <c r="D12" s="17"/>
      <c r="E12" s="18" t="n">
        <f aca="false">C12+D12</f>
        <v>0</v>
      </c>
      <c r="F12" s="35" t="n">
        <f aca="false">SGA!E13</f>
        <v>10104201</v>
      </c>
      <c r="G12" s="17"/>
      <c r="H12" s="18" t="n">
        <f aca="false">F12+G12</f>
        <v>10104201</v>
      </c>
      <c r="I12" s="35" t="n">
        <f aca="false">SGA!G13</f>
        <v>22242217</v>
      </c>
      <c r="J12" s="17"/>
      <c r="K12" s="18" t="n">
        <f aca="false">I12+J12</f>
        <v>22242217</v>
      </c>
      <c r="L12" s="35" t="n">
        <f aca="false">SGA!I13</f>
        <v>15295210</v>
      </c>
      <c r="M12" s="17"/>
      <c r="N12" s="18" t="n">
        <f aca="false">L12+M12</f>
        <v>15295210</v>
      </c>
      <c r="O12" s="35" t="n">
        <f aca="false">SGA!K13</f>
        <v>2778916</v>
      </c>
      <c r="P12" s="17"/>
      <c r="Q12" s="18" t="n">
        <f aca="false">O12+P12</f>
        <v>2778916</v>
      </c>
    </row>
    <row r="13" customFormat="false" ht="22.5" hidden="false" customHeight="true" outlineLevel="0" collapsed="false">
      <c r="B13" s="90" t="str">
        <f aca="false">SGA!B14</f>
        <v>厚生費</v>
      </c>
      <c r="C13" s="52" t="n">
        <f aca="false">SGA!C14</f>
        <v>0</v>
      </c>
      <c r="D13" s="17"/>
      <c r="E13" s="18" t="n">
        <f aca="false">C13+D13</f>
        <v>0</v>
      </c>
      <c r="F13" s="35" t="n">
        <f aca="false">SGA!E14</f>
        <v>2936211</v>
      </c>
      <c r="G13" s="17"/>
      <c r="H13" s="18" t="n">
        <f aca="false">F13+G13</f>
        <v>2936211</v>
      </c>
      <c r="I13" s="35" t="n">
        <f aca="false">SGA!G14</f>
        <v>3945609</v>
      </c>
      <c r="J13" s="17"/>
      <c r="K13" s="18" t="n">
        <f aca="false">I13+J13</f>
        <v>3945609</v>
      </c>
      <c r="L13" s="35" t="n">
        <f aca="false">SGA!I14</f>
        <v>3862961</v>
      </c>
      <c r="M13" s="17"/>
      <c r="N13" s="18" t="n">
        <f aca="false">L13+M13</f>
        <v>3862961</v>
      </c>
      <c r="O13" s="35" t="n">
        <f aca="false">SGA!K14</f>
        <v>1748144</v>
      </c>
      <c r="P13" s="17"/>
      <c r="Q13" s="18" t="n">
        <f aca="false">O13+P13</f>
        <v>1748144</v>
      </c>
    </row>
    <row r="14" customFormat="false" ht="22.5" hidden="false" customHeight="true" outlineLevel="0" collapsed="false">
      <c r="B14" s="90" t="str">
        <f aca="false">SGA!B15</f>
        <v>減価償却費</v>
      </c>
      <c r="C14" s="52" t="n">
        <f aca="false">SGA!C15</f>
        <v>0</v>
      </c>
      <c r="D14" s="17"/>
      <c r="E14" s="18" t="n">
        <f aca="false">C14+D14</f>
        <v>0</v>
      </c>
      <c r="F14" s="35" t="n">
        <f aca="false">SGA!E15</f>
        <v>3911003</v>
      </c>
      <c r="G14" s="17"/>
      <c r="H14" s="18" t="n">
        <f aca="false">F14+G14</f>
        <v>3911003</v>
      </c>
      <c r="I14" s="35" t="n">
        <f aca="false">SGA!G15</f>
        <v>9294598</v>
      </c>
      <c r="J14" s="17"/>
      <c r="K14" s="18" t="n">
        <f aca="false">I14+J14</f>
        <v>9294598</v>
      </c>
      <c r="L14" s="35" t="n">
        <f aca="false">SGA!I15</f>
        <v>6349173</v>
      </c>
      <c r="M14" s="17"/>
      <c r="N14" s="18" t="n">
        <f aca="false">L14+M14</f>
        <v>6349173</v>
      </c>
      <c r="O14" s="35" t="n">
        <f aca="false">SGA!K15</f>
        <v>0</v>
      </c>
      <c r="P14" s="17"/>
      <c r="Q14" s="18" t="n">
        <f aca="false">O14+P14</f>
        <v>0</v>
      </c>
    </row>
    <row r="15" customFormat="false" ht="22.5" hidden="false" customHeight="true" outlineLevel="0" collapsed="false">
      <c r="B15" s="90" t="str">
        <f aca="false">SGA!B16</f>
        <v>リース料</v>
      </c>
      <c r="C15" s="52" t="n">
        <f aca="false">SGA!C16</f>
        <v>0</v>
      </c>
      <c r="D15" s="17"/>
      <c r="E15" s="18" t="n">
        <f aca="false">C15+D15</f>
        <v>0</v>
      </c>
      <c r="F15" s="35" t="n">
        <f aca="false">SGA!E16</f>
        <v>4294932</v>
      </c>
      <c r="G15" s="155" t="n">
        <v>-2386000</v>
      </c>
      <c r="H15" s="18" t="n">
        <f aca="false">F15+G15</f>
        <v>1908932</v>
      </c>
      <c r="I15" s="35" t="n">
        <f aca="false">SGA!G16</f>
        <v>4554982</v>
      </c>
      <c r="J15" s="155" t="n">
        <v>-3154000</v>
      </c>
      <c r="K15" s="18" t="n">
        <f aca="false">I15+J15</f>
        <v>1400982</v>
      </c>
      <c r="L15" s="35" t="n">
        <f aca="false">SGA!I16</f>
        <v>7249573</v>
      </c>
      <c r="M15" s="155" t="n">
        <v>-5604000</v>
      </c>
      <c r="N15" s="18" t="n">
        <f aca="false">L15+M15</f>
        <v>1645573</v>
      </c>
      <c r="O15" s="35" t="n">
        <f aca="false">SGA!K16</f>
        <v>4352502</v>
      </c>
      <c r="P15" s="17"/>
      <c r="Q15" s="18" t="n">
        <f aca="false">O15+P15</f>
        <v>4352502</v>
      </c>
      <c r="S15" s="141" t="s">
        <v>274</v>
      </c>
    </row>
    <row r="16" customFormat="false" ht="22.5" hidden="false" customHeight="true" outlineLevel="0" collapsed="false">
      <c r="B16" s="90" t="str">
        <f aca="false">SGA!B17</f>
        <v>地代家賃</v>
      </c>
      <c r="C16" s="52" t="n">
        <f aca="false">SGA!C17</f>
        <v>0</v>
      </c>
      <c r="D16" s="17"/>
      <c r="E16" s="18" t="n">
        <f aca="false">C16+D16</f>
        <v>0</v>
      </c>
      <c r="F16" s="35" t="n">
        <f aca="false">SGA!E17</f>
        <v>8230492</v>
      </c>
      <c r="G16" s="17"/>
      <c r="H16" s="18" t="n">
        <f aca="false">F16+G16</f>
        <v>8230492</v>
      </c>
      <c r="I16" s="35" t="n">
        <f aca="false">SGA!G17</f>
        <v>19460488</v>
      </c>
      <c r="J16" s="17"/>
      <c r="K16" s="18" t="n">
        <f aca="false">I16+J16</f>
        <v>19460488</v>
      </c>
      <c r="L16" s="35" t="n">
        <f aca="false">SGA!I17</f>
        <v>33248832</v>
      </c>
      <c r="M16" s="17"/>
      <c r="N16" s="18" t="n">
        <f aca="false">L16+M16</f>
        <v>33248832</v>
      </c>
      <c r="O16" s="35" t="n">
        <f aca="false">SGA!K17</f>
        <v>19879129</v>
      </c>
      <c r="P16" s="17"/>
      <c r="Q16" s="18" t="n">
        <f aca="false">O16+P16</f>
        <v>19879129</v>
      </c>
    </row>
    <row r="17" customFormat="false" ht="22.5" hidden="false" customHeight="true" outlineLevel="0" collapsed="false">
      <c r="B17" s="90" t="str">
        <f aca="false">SGA!B18</f>
        <v>修繕費</v>
      </c>
      <c r="C17" s="52" t="n">
        <f aca="false">SGA!C18</f>
        <v>0</v>
      </c>
      <c r="D17" s="17"/>
      <c r="E17" s="18" t="n">
        <f aca="false">C17+D17</f>
        <v>0</v>
      </c>
      <c r="F17" s="35" t="n">
        <f aca="false">SGA!E18</f>
        <v>468295</v>
      </c>
      <c r="G17" s="17"/>
      <c r="H17" s="18" t="n">
        <f aca="false">F17+G17</f>
        <v>468295</v>
      </c>
      <c r="I17" s="35" t="n">
        <f aca="false">SGA!G18</f>
        <v>1088033</v>
      </c>
      <c r="J17" s="17"/>
      <c r="K17" s="18" t="n">
        <f aca="false">I17+J17</f>
        <v>1088033</v>
      </c>
      <c r="L17" s="35" t="n">
        <f aca="false">SGA!I18</f>
        <v>275210</v>
      </c>
      <c r="M17" s="17"/>
      <c r="N17" s="18" t="n">
        <f aca="false">L17+M17</f>
        <v>275210</v>
      </c>
      <c r="O17" s="35" t="n">
        <f aca="false">SGA!K18</f>
        <v>243111</v>
      </c>
      <c r="P17" s="17"/>
      <c r="Q17" s="18" t="n">
        <f aca="false">O17+P17</f>
        <v>243111</v>
      </c>
    </row>
    <row r="18" customFormat="false" ht="22.5" hidden="false" customHeight="true" outlineLevel="0" collapsed="false">
      <c r="B18" s="90" t="str">
        <f aca="false">SGA!B19</f>
        <v>事務用消耗品費</v>
      </c>
      <c r="C18" s="52" t="n">
        <f aca="false">SGA!C19</f>
        <v>0</v>
      </c>
      <c r="D18" s="17"/>
      <c r="E18" s="18" t="n">
        <f aca="false">C18+D18</f>
        <v>0</v>
      </c>
      <c r="F18" s="35" t="n">
        <f aca="false">SGA!E19</f>
        <v>9801863</v>
      </c>
      <c r="G18" s="17"/>
      <c r="H18" s="18" t="n">
        <f aca="false">F18+G18</f>
        <v>9801863</v>
      </c>
      <c r="I18" s="35" t="n">
        <f aca="false">SGA!G19</f>
        <v>6407354</v>
      </c>
      <c r="J18" s="17"/>
      <c r="K18" s="18" t="n">
        <f aca="false">I18+J18</f>
        <v>6407354</v>
      </c>
      <c r="L18" s="35" t="n">
        <f aca="false">SGA!I19</f>
        <v>4371794</v>
      </c>
      <c r="M18" s="17"/>
      <c r="N18" s="18" t="n">
        <f aca="false">L18+M18</f>
        <v>4371794</v>
      </c>
      <c r="O18" s="35" t="n">
        <f aca="false">SGA!K19</f>
        <v>1558723</v>
      </c>
      <c r="P18" s="17"/>
      <c r="Q18" s="18" t="n">
        <f aca="false">O18+P18</f>
        <v>1558723</v>
      </c>
    </row>
    <row r="19" customFormat="false" ht="22.5" hidden="false" customHeight="true" outlineLevel="0" collapsed="false">
      <c r="B19" s="90" t="str">
        <f aca="false">SGA!B20</f>
        <v>通信費</v>
      </c>
      <c r="C19" s="52" t="n">
        <f aca="false">SGA!C20</f>
        <v>0</v>
      </c>
      <c r="D19" s="17"/>
      <c r="E19" s="18" t="n">
        <f aca="false">C19+D19</f>
        <v>0</v>
      </c>
      <c r="F19" s="35" t="n">
        <f aca="false">SGA!E20</f>
        <v>2455532</v>
      </c>
      <c r="G19" s="17"/>
      <c r="H19" s="18" t="n">
        <f aca="false">F19+G19</f>
        <v>2455532</v>
      </c>
      <c r="I19" s="35" t="n">
        <f aca="false">SGA!G20</f>
        <v>2672628</v>
      </c>
      <c r="J19" s="17"/>
      <c r="K19" s="18" t="n">
        <f aca="false">I19+J19</f>
        <v>2672628</v>
      </c>
      <c r="L19" s="35" t="n">
        <f aca="false">SGA!I20</f>
        <v>3045340</v>
      </c>
      <c r="M19" s="17"/>
      <c r="N19" s="18" t="n">
        <f aca="false">L19+M19</f>
        <v>3045340</v>
      </c>
      <c r="O19" s="35" t="n">
        <f aca="false">SGA!K20</f>
        <v>2149718</v>
      </c>
      <c r="P19" s="17"/>
      <c r="Q19" s="18" t="n">
        <f aca="false">O19+P19</f>
        <v>2149718</v>
      </c>
    </row>
    <row r="20" customFormat="false" ht="22.5" hidden="false" customHeight="true" outlineLevel="0" collapsed="false">
      <c r="B20" s="90" t="str">
        <f aca="false">SGA!B21</f>
        <v>水道光熱費</v>
      </c>
      <c r="C20" s="52" t="n">
        <f aca="false">SGA!C21</f>
        <v>0</v>
      </c>
      <c r="D20" s="17"/>
      <c r="E20" s="18" t="n">
        <f aca="false">C20+D20</f>
        <v>0</v>
      </c>
      <c r="F20" s="35" t="n">
        <f aca="false">SGA!E21</f>
        <v>2958090</v>
      </c>
      <c r="G20" s="17"/>
      <c r="H20" s="18" t="n">
        <f aca="false">F20+G20</f>
        <v>2958090</v>
      </c>
      <c r="I20" s="35" t="n">
        <f aca="false">SGA!G21</f>
        <v>3148822</v>
      </c>
      <c r="J20" s="17"/>
      <c r="K20" s="18" t="n">
        <f aca="false">I20+J20</f>
        <v>3148822</v>
      </c>
      <c r="L20" s="35" t="n">
        <f aca="false">SGA!I21</f>
        <v>3940893</v>
      </c>
      <c r="M20" s="17"/>
      <c r="N20" s="18" t="n">
        <f aca="false">L20+M20</f>
        <v>3940893</v>
      </c>
      <c r="O20" s="35" t="n">
        <f aca="false">SGA!K21</f>
        <v>1714053</v>
      </c>
      <c r="P20" s="17"/>
      <c r="Q20" s="18" t="n">
        <f aca="false">O20+P20</f>
        <v>1714053</v>
      </c>
    </row>
    <row r="21" customFormat="false" ht="22.5" hidden="false" customHeight="true" outlineLevel="0" collapsed="false">
      <c r="B21" s="90" t="str">
        <f aca="false">SGA!B22</f>
        <v>租税公課</v>
      </c>
      <c r="C21" s="52" t="n">
        <f aca="false">SGA!C22</f>
        <v>0</v>
      </c>
      <c r="D21" s="17"/>
      <c r="E21" s="18" t="n">
        <f aca="false">C21+D21</f>
        <v>0</v>
      </c>
      <c r="F21" s="35" t="n">
        <f aca="false">SGA!E22</f>
        <v>8881475</v>
      </c>
      <c r="G21" s="17"/>
      <c r="H21" s="18" t="n">
        <f aca="false">F21+G21</f>
        <v>8881475</v>
      </c>
      <c r="I21" s="35" t="n">
        <f aca="false">SGA!G22</f>
        <v>10506364</v>
      </c>
      <c r="J21" s="17"/>
      <c r="K21" s="18" t="n">
        <f aca="false">I21+J21</f>
        <v>10506364</v>
      </c>
      <c r="L21" s="35" t="n">
        <f aca="false">SGA!I22</f>
        <v>20061210</v>
      </c>
      <c r="M21" s="17"/>
      <c r="N21" s="18" t="n">
        <f aca="false">L21+M21</f>
        <v>20061210</v>
      </c>
      <c r="O21" s="35" t="n">
        <f aca="false">SGA!K22</f>
        <v>5281078</v>
      </c>
      <c r="P21" s="17"/>
      <c r="Q21" s="18" t="n">
        <f aca="false">O21+P21</f>
        <v>5281078</v>
      </c>
    </row>
    <row r="22" customFormat="false" ht="22.5" hidden="false" customHeight="true" outlineLevel="0" collapsed="false">
      <c r="B22" s="90" t="str">
        <f aca="false">SGA!B23</f>
        <v>接待交際費</v>
      </c>
      <c r="C22" s="52" t="n">
        <f aca="false">SGA!C23</f>
        <v>0</v>
      </c>
      <c r="D22" s="17"/>
      <c r="E22" s="18" t="n">
        <f aca="false">C22+D22</f>
        <v>0</v>
      </c>
      <c r="F22" s="35" t="n">
        <f aca="false">SGA!E23</f>
        <v>8453145</v>
      </c>
      <c r="G22" s="155" t="n">
        <v>-4453000</v>
      </c>
      <c r="H22" s="18" t="n">
        <f aca="false">F22+G22</f>
        <v>4000145</v>
      </c>
      <c r="I22" s="35" t="n">
        <f aca="false">SGA!G23</f>
        <v>10229520</v>
      </c>
      <c r="J22" s="155" t="n">
        <v>-6230000</v>
      </c>
      <c r="K22" s="18" t="n">
        <f aca="false">I22+J22</f>
        <v>3999520</v>
      </c>
      <c r="L22" s="35" t="n">
        <f aca="false">SGA!I23</f>
        <v>8217611</v>
      </c>
      <c r="M22" s="155" t="n">
        <v>-4218000</v>
      </c>
      <c r="N22" s="18" t="n">
        <f aca="false">L22+M22</f>
        <v>3999611</v>
      </c>
      <c r="O22" s="35" t="n">
        <f aca="false">SGA!K23</f>
        <v>4409532</v>
      </c>
      <c r="P22" s="17"/>
      <c r="Q22" s="18" t="n">
        <f aca="false">O22+P22</f>
        <v>4409532</v>
      </c>
      <c r="S22" s="141" t="s">
        <v>275</v>
      </c>
    </row>
    <row r="23" customFormat="false" ht="22.5" hidden="false" customHeight="true" outlineLevel="0" collapsed="false">
      <c r="B23" s="90" t="str">
        <f aca="false">SGA!B24</f>
        <v>保険料</v>
      </c>
      <c r="C23" s="52" t="n">
        <f aca="false">SGA!C24</f>
        <v>0</v>
      </c>
      <c r="D23" s="17"/>
      <c r="E23" s="18" t="n">
        <f aca="false">C23+D23</f>
        <v>0</v>
      </c>
      <c r="F23" s="35" t="n">
        <f aca="false">SGA!E24</f>
        <v>2411203</v>
      </c>
      <c r="G23" s="155" t="n">
        <v>-696000</v>
      </c>
      <c r="H23" s="18" t="n">
        <f aca="false">F23+G23</f>
        <v>1715203</v>
      </c>
      <c r="I23" s="35" t="n">
        <f aca="false">SGA!G24</f>
        <v>4218242</v>
      </c>
      <c r="J23" s="155" t="n">
        <v>-1599000</v>
      </c>
      <c r="K23" s="18" t="n">
        <f aca="false">I23+J23</f>
        <v>2619242</v>
      </c>
      <c r="L23" s="35" t="n">
        <f aca="false">SGA!I24</f>
        <v>3876512</v>
      </c>
      <c r="M23" s="155" t="n">
        <v>-1224000</v>
      </c>
      <c r="N23" s="18" t="n">
        <f aca="false">L23+M23</f>
        <v>2652512</v>
      </c>
      <c r="O23" s="35" t="n">
        <f aca="false">SGA!K24</f>
        <v>1726252</v>
      </c>
      <c r="P23" s="17"/>
      <c r="Q23" s="18" t="n">
        <f aca="false">O23+P23</f>
        <v>1726252</v>
      </c>
      <c r="S23" s="141" t="s">
        <v>276</v>
      </c>
    </row>
    <row r="24" customFormat="false" ht="22.5" hidden="false" customHeight="true" outlineLevel="0" collapsed="false">
      <c r="B24" s="90" t="str">
        <f aca="false">SGA!B25</f>
        <v>備品消耗品費</v>
      </c>
      <c r="C24" s="52" t="n">
        <f aca="false">SGA!C25</f>
        <v>0</v>
      </c>
      <c r="D24" s="17"/>
      <c r="E24" s="18" t="n">
        <f aca="false">C24+D24</f>
        <v>0</v>
      </c>
      <c r="F24" s="35" t="n">
        <f aca="false">SGA!E25</f>
        <v>12485436</v>
      </c>
      <c r="G24" s="17"/>
      <c r="H24" s="18" t="n">
        <f aca="false">F24+G24</f>
        <v>12485436</v>
      </c>
      <c r="I24" s="35" t="n">
        <f aca="false">SGA!G25</f>
        <v>14036551</v>
      </c>
      <c r="J24" s="17"/>
      <c r="K24" s="18" t="n">
        <f aca="false">I24+J24</f>
        <v>14036551</v>
      </c>
      <c r="L24" s="35" t="n">
        <f aca="false">SGA!I25</f>
        <v>8462064</v>
      </c>
      <c r="M24" s="17"/>
      <c r="N24" s="18" t="n">
        <f aca="false">L24+M24</f>
        <v>8462064</v>
      </c>
      <c r="O24" s="35" t="n">
        <f aca="false">SGA!K25</f>
        <v>4361180</v>
      </c>
      <c r="P24" s="17"/>
      <c r="Q24" s="18" t="n">
        <f aca="false">O24+P24</f>
        <v>4361180</v>
      </c>
    </row>
    <row r="25" customFormat="false" ht="22.5" hidden="false" customHeight="true" outlineLevel="0" collapsed="false">
      <c r="B25" s="90" t="str">
        <f aca="false">SGA!B26</f>
        <v>管理諸費</v>
      </c>
      <c r="C25" s="52" t="n">
        <f aca="false">SGA!C26</f>
        <v>0</v>
      </c>
      <c r="D25" s="17"/>
      <c r="E25" s="18" t="n">
        <f aca="false">C25+D25</f>
        <v>0</v>
      </c>
      <c r="F25" s="35" t="n">
        <f aca="false">SGA!E26</f>
        <v>5563800</v>
      </c>
      <c r="G25" s="17"/>
      <c r="H25" s="18" t="n">
        <f aca="false">F25+G25</f>
        <v>5563800</v>
      </c>
      <c r="I25" s="35" t="n">
        <f aca="false">SGA!G26</f>
        <v>5027000</v>
      </c>
      <c r="J25" s="17"/>
      <c r="K25" s="18" t="n">
        <f aca="false">I25+J25</f>
        <v>5027000</v>
      </c>
      <c r="L25" s="35" t="n">
        <f aca="false">SGA!I26</f>
        <v>5797000</v>
      </c>
      <c r="M25" s="17"/>
      <c r="N25" s="18" t="n">
        <f aca="false">L25+M25</f>
        <v>5797000</v>
      </c>
      <c r="O25" s="35" t="n">
        <f aca="false">SGA!K26</f>
        <v>3197700</v>
      </c>
      <c r="P25" s="17"/>
      <c r="Q25" s="18" t="n">
        <f aca="false">O25+P25</f>
        <v>3197700</v>
      </c>
    </row>
    <row r="26" customFormat="false" ht="22.5" hidden="false" customHeight="true" outlineLevel="0" collapsed="false">
      <c r="B26" s="90" t="str">
        <f aca="false">SGA!B27</f>
        <v>支払手数料</v>
      </c>
      <c r="C26" s="52" t="n">
        <f aca="false">SGA!C27</f>
        <v>0</v>
      </c>
      <c r="D26" s="17"/>
      <c r="E26" s="18" t="n">
        <f aca="false">C26+D26</f>
        <v>0</v>
      </c>
      <c r="F26" s="35" t="n">
        <f aca="false">SGA!E27</f>
        <v>7152851</v>
      </c>
      <c r="G26" s="17"/>
      <c r="H26" s="18" t="n">
        <f aca="false">F26+G26</f>
        <v>7152851</v>
      </c>
      <c r="I26" s="35" t="n">
        <f aca="false">SGA!G27</f>
        <v>11861229</v>
      </c>
      <c r="J26" s="17"/>
      <c r="K26" s="18" t="n">
        <f aca="false">I26+J26</f>
        <v>11861229</v>
      </c>
      <c r="L26" s="35" t="n">
        <f aca="false">SGA!I27</f>
        <v>14452516</v>
      </c>
      <c r="M26" s="17"/>
      <c r="N26" s="18" t="n">
        <f aca="false">L26+M26</f>
        <v>14452516</v>
      </c>
      <c r="O26" s="35" t="n">
        <f aca="false">SGA!K27</f>
        <v>6927603</v>
      </c>
      <c r="P26" s="17"/>
      <c r="Q26" s="18" t="n">
        <f aca="false">O26+P26</f>
        <v>6927603</v>
      </c>
    </row>
    <row r="27" customFormat="false" ht="22.5" hidden="false" customHeight="true" outlineLevel="0" collapsed="false">
      <c r="B27" s="90" t="str">
        <f aca="false">SGA!B28</f>
        <v>諸会費</v>
      </c>
      <c r="C27" s="52" t="n">
        <f aca="false">SGA!C28</f>
        <v>0</v>
      </c>
      <c r="D27" s="17"/>
      <c r="E27" s="18" t="n">
        <f aca="false">C27+D27</f>
        <v>0</v>
      </c>
      <c r="F27" s="35" t="n">
        <f aca="false">SGA!E28</f>
        <v>24000</v>
      </c>
      <c r="G27" s="17"/>
      <c r="H27" s="18" t="n">
        <f aca="false">F27+G27</f>
        <v>24000</v>
      </c>
      <c r="I27" s="35" t="n">
        <f aca="false">SGA!G28</f>
        <v>24000</v>
      </c>
      <c r="J27" s="17"/>
      <c r="K27" s="18" t="n">
        <f aca="false">I27+J27</f>
        <v>24000</v>
      </c>
      <c r="L27" s="35" t="n">
        <f aca="false">SGA!I28</f>
        <v>16500</v>
      </c>
      <c r="M27" s="17"/>
      <c r="N27" s="18" t="n">
        <f aca="false">L27+M27</f>
        <v>16500</v>
      </c>
      <c r="O27" s="35" t="n">
        <f aca="false">SGA!K28</f>
        <v>4000</v>
      </c>
      <c r="P27" s="17"/>
      <c r="Q27" s="18" t="n">
        <f aca="false">O27+P27</f>
        <v>4000</v>
      </c>
    </row>
    <row r="28" customFormat="false" ht="22.5" hidden="false" customHeight="true" outlineLevel="0" collapsed="false">
      <c r="B28" s="90" t="str">
        <f aca="false">SGA!B29</f>
        <v>車両費</v>
      </c>
      <c r="C28" s="52" t="n">
        <f aca="false">SGA!C29</f>
        <v>0</v>
      </c>
      <c r="D28" s="17"/>
      <c r="E28" s="18" t="n">
        <f aca="false">C28+D28</f>
        <v>0</v>
      </c>
      <c r="F28" s="35" t="n">
        <f aca="false">SGA!E29</f>
        <v>626896</v>
      </c>
      <c r="G28" s="17"/>
      <c r="H28" s="18" t="n">
        <f aca="false">F28+G28</f>
        <v>626896</v>
      </c>
      <c r="I28" s="35" t="n">
        <f aca="false">SGA!G29</f>
        <v>446867</v>
      </c>
      <c r="J28" s="17"/>
      <c r="K28" s="18" t="n">
        <f aca="false">I28+J28</f>
        <v>446867</v>
      </c>
      <c r="L28" s="35" t="n">
        <f aca="false">SGA!I29</f>
        <v>512955</v>
      </c>
      <c r="M28" s="17"/>
      <c r="N28" s="18" t="n">
        <f aca="false">L28+M28</f>
        <v>512955</v>
      </c>
      <c r="O28" s="35" t="n">
        <f aca="false">SGA!K29</f>
        <v>258439</v>
      </c>
      <c r="P28" s="17"/>
      <c r="Q28" s="18" t="n">
        <f aca="false">O28+P28</f>
        <v>258439</v>
      </c>
    </row>
    <row r="29" customFormat="false" ht="22.5" hidden="false" customHeight="true" outlineLevel="0" collapsed="false">
      <c r="B29" s="90" t="str">
        <f aca="false">SGA!B30</f>
        <v>研修費</v>
      </c>
      <c r="C29" s="52" t="n">
        <f aca="false">SGA!C30</f>
        <v>0</v>
      </c>
      <c r="D29" s="17"/>
      <c r="E29" s="18" t="n">
        <f aca="false">C29+D29</f>
        <v>0</v>
      </c>
      <c r="F29" s="35" t="n">
        <f aca="false">SGA!E30</f>
        <v>0</v>
      </c>
      <c r="G29" s="17"/>
      <c r="H29" s="18" t="n">
        <f aca="false">F29+G29</f>
        <v>0</v>
      </c>
      <c r="I29" s="35" t="n">
        <f aca="false">SGA!G30</f>
        <v>103345</v>
      </c>
      <c r="J29" s="17"/>
      <c r="K29" s="18" t="n">
        <f aca="false">I29+J29</f>
        <v>103345</v>
      </c>
      <c r="L29" s="35" t="n">
        <f aca="false">SGA!I30</f>
        <v>173500</v>
      </c>
      <c r="M29" s="17"/>
      <c r="N29" s="18" t="n">
        <f aca="false">L29+M29</f>
        <v>173500</v>
      </c>
      <c r="O29" s="35" t="n">
        <f aca="false">SGA!K30</f>
        <v>88900</v>
      </c>
      <c r="P29" s="17"/>
      <c r="Q29" s="18" t="n">
        <f aca="false">O29+P29</f>
        <v>88900</v>
      </c>
    </row>
    <row r="30" customFormat="false" ht="22.5" hidden="false" customHeight="true" outlineLevel="0" collapsed="false">
      <c r="B30" s="90" t="str">
        <f aca="false">SGA!B31</f>
        <v>雑費</v>
      </c>
      <c r="C30" s="52" t="n">
        <f aca="false">SGA!C31</f>
        <v>0</v>
      </c>
      <c r="D30" s="17"/>
      <c r="E30" s="18" t="n">
        <f aca="false">C30+D30</f>
        <v>0</v>
      </c>
      <c r="F30" s="35" t="n">
        <f aca="false">SGA!E31</f>
        <v>3334480</v>
      </c>
      <c r="G30" s="17"/>
      <c r="H30" s="18" t="n">
        <f aca="false">F30+G30</f>
        <v>3334480</v>
      </c>
      <c r="I30" s="35" t="n">
        <f aca="false">SGA!G31</f>
        <v>5436149</v>
      </c>
      <c r="J30" s="17"/>
      <c r="K30" s="18" t="n">
        <f aca="false">I30+J30</f>
        <v>5436149</v>
      </c>
      <c r="L30" s="35" t="n">
        <f aca="false">SGA!I31</f>
        <v>4666766</v>
      </c>
      <c r="M30" s="17"/>
      <c r="N30" s="18" t="n">
        <f aca="false">L30+M30</f>
        <v>4666766</v>
      </c>
      <c r="O30" s="35" t="n">
        <f aca="false">SGA!K31</f>
        <v>2718158</v>
      </c>
      <c r="P30" s="17"/>
      <c r="Q30" s="18" t="n">
        <f aca="false">O30+P30</f>
        <v>2718158</v>
      </c>
    </row>
    <row r="31" customFormat="false" ht="22.5" hidden="false" customHeight="true" outlineLevel="0" collapsed="false">
      <c r="B31" s="90" t="n">
        <f aca="false">SGA!B32</f>
        <v>0</v>
      </c>
      <c r="C31" s="52" t="n">
        <f aca="false">SGA!C32</f>
        <v>0</v>
      </c>
      <c r="D31" s="17"/>
      <c r="E31" s="18" t="n">
        <f aca="false">C31+D31</f>
        <v>0</v>
      </c>
      <c r="F31" s="35" t="n">
        <f aca="false">SGA!E32</f>
        <v>0</v>
      </c>
      <c r="G31" s="17"/>
      <c r="H31" s="18" t="n">
        <f aca="false">F31+G31</f>
        <v>0</v>
      </c>
      <c r="I31" s="35" t="n">
        <f aca="false">SGA!G32</f>
        <v>0</v>
      </c>
      <c r="J31" s="17"/>
      <c r="K31" s="18" t="n">
        <f aca="false">I31+J31</f>
        <v>0</v>
      </c>
      <c r="L31" s="35" t="n">
        <f aca="false">SGA!I32</f>
        <v>0</v>
      </c>
      <c r="M31" s="17"/>
      <c r="N31" s="18" t="n">
        <f aca="false">L31+M31</f>
        <v>0</v>
      </c>
      <c r="O31" s="35" t="n">
        <f aca="false">SGA!K32</f>
        <v>0</v>
      </c>
      <c r="P31" s="17"/>
      <c r="Q31" s="18" t="n">
        <f aca="false">O31+P31</f>
        <v>0</v>
      </c>
    </row>
    <row r="32" customFormat="false" ht="22.5" hidden="false" customHeight="true" outlineLevel="0" collapsed="false">
      <c r="B32" s="90" t="n">
        <f aca="false">SGA!B33</f>
        <v>0</v>
      </c>
      <c r="C32" s="52" t="n">
        <f aca="false">SGA!C33</f>
        <v>0</v>
      </c>
      <c r="D32" s="17"/>
      <c r="E32" s="18" t="n">
        <f aca="false">C32+D32</f>
        <v>0</v>
      </c>
      <c r="F32" s="35" t="n">
        <f aca="false">SGA!E33</f>
        <v>0</v>
      </c>
      <c r="G32" s="17"/>
      <c r="H32" s="18" t="n">
        <f aca="false">F32+G32</f>
        <v>0</v>
      </c>
      <c r="I32" s="35" t="n">
        <f aca="false">SGA!G33</f>
        <v>0</v>
      </c>
      <c r="J32" s="17"/>
      <c r="K32" s="18" t="n">
        <f aca="false">I32+J32</f>
        <v>0</v>
      </c>
      <c r="L32" s="35" t="n">
        <f aca="false">SGA!I33</f>
        <v>0</v>
      </c>
      <c r="M32" s="17"/>
      <c r="N32" s="18" t="n">
        <f aca="false">L32+M32</f>
        <v>0</v>
      </c>
      <c r="O32" s="35" t="n">
        <f aca="false">SGA!K33</f>
        <v>0</v>
      </c>
      <c r="P32" s="17"/>
      <c r="Q32" s="18" t="n">
        <f aca="false">O32+P32</f>
        <v>0</v>
      </c>
    </row>
    <row r="33" customFormat="false" ht="22.5" hidden="false" customHeight="true" outlineLevel="0" collapsed="false">
      <c r="B33" s="90" t="n">
        <f aca="false">SGA!B34</f>
        <v>0</v>
      </c>
      <c r="C33" s="52" t="n">
        <f aca="false">SGA!C34</f>
        <v>0</v>
      </c>
      <c r="D33" s="17"/>
      <c r="E33" s="18" t="n">
        <f aca="false">C33+D33</f>
        <v>0</v>
      </c>
      <c r="F33" s="35" t="n">
        <f aca="false">SGA!E34</f>
        <v>0</v>
      </c>
      <c r="G33" s="17"/>
      <c r="H33" s="18" t="n">
        <f aca="false">F33+G33</f>
        <v>0</v>
      </c>
      <c r="I33" s="35" t="n">
        <f aca="false">SGA!G34</f>
        <v>0</v>
      </c>
      <c r="J33" s="17"/>
      <c r="K33" s="18" t="n">
        <f aca="false">I33+J33</f>
        <v>0</v>
      </c>
      <c r="L33" s="35" t="n">
        <f aca="false">SGA!I34</f>
        <v>0</v>
      </c>
      <c r="M33" s="17"/>
      <c r="N33" s="18" t="n">
        <f aca="false">L33+M33</f>
        <v>0</v>
      </c>
      <c r="O33" s="35" t="n">
        <f aca="false">SGA!K34</f>
        <v>0</v>
      </c>
      <c r="P33" s="17"/>
      <c r="Q33" s="18" t="n">
        <f aca="false">O33+P33</f>
        <v>0</v>
      </c>
    </row>
    <row r="34" customFormat="false" ht="22.5" hidden="false" customHeight="true" outlineLevel="0" collapsed="false">
      <c r="B34" s="90" t="n">
        <f aca="false">SGA!B35</f>
        <v>0</v>
      </c>
      <c r="C34" s="52" t="n">
        <f aca="false">SGA!C35</f>
        <v>0</v>
      </c>
      <c r="D34" s="17"/>
      <c r="E34" s="18" t="n">
        <f aca="false">C34+D34</f>
        <v>0</v>
      </c>
      <c r="F34" s="35" t="n">
        <f aca="false">SGA!E35</f>
        <v>0</v>
      </c>
      <c r="G34" s="17"/>
      <c r="H34" s="18" t="n">
        <f aca="false">F34+G34</f>
        <v>0</v>
      </c>
      <c r="I34" s="35" t="n">
        <f aca="false">SGA!G35</f>
        <v>0</v>
      </c>
      <c r="J34" s="17"/>
      <c r="K34" s="18" t="n">
        <f aca="false">I34+J34</f>
        <v>0</v>
      </c>
      <c r="L34" s="35" t="n">
        <f aca="false">SGA!I35</f>
        <v>0</v>
      </c>
      <c r="M34" s="17"/>
      <c r="N34" s="18" t="n">
        <f aca="false">L34+M34</f>
        <v>0</v>
      </c>
      <c r="O34" s="35" t="n">
        <f aca="false">SGA!K35</f>
        <v>0</v>
      </c>
      <c r="P34" s="17"/>
      <c r="Q34" s="18" t="n">
        <f aca="false">O34+P34</f>
        <v>0</v>
      </c>
    </row>
    <row r="35" customFormat="false" ht="22.5" hidden="false" customHeight="true" outlineLevel="0" collapsed="false">
      <c r="B35" s="90"/>
      <c r="C35" s="52"/>
      <c r="D35" s="17"/>
      <c r="E35" s="18" t="n">
        <f aca="false">C35+D35</f>
        <v>0</v>
      </c>
      <c r="F35" s="52"/>
      <c r="G35" s="17"/>
      <c r="H35" s="18" t="n">
        <f aca="false">F35+G35</f>
        <v>0</v>
      </c>
      <c r="I35" s="52"/>
      <c r="J35" s="17"/>
      <c r="K35" s="18" t="n">
        <f aca="false">I35+J35</f>
        <v>0</v>
      </c>
      <c r="L35" s="52"/>
      <c r="M35" s="17"/>
      <c r="N35" s="18" t="n">
        <f aca="false">L35+M35</f>
        <v>0</v>
      </c>
      <c r="O35" s="52"/>
      <c r="P35" s="17"/>
      <c r="Q35" s="18" t="n">
        <f aca="false">O35+P35</f>
        <v>0</v>
      </c>
    </row>
    <row r="36" customFormat="false" ht="22.5" hidden="false" customHeight="true" outlineLevel="0" collapsed="false">
      <c r="B36" s="90"/>
      <c r="C36" s="52"/>
      <c r="D36" s="17"/>
      <c r="E36" s="18" t="n">
        <f aca="false">C36+D36</f>
        <v>0</v>
      </c>
      <c r="F36" s="52"/>
      <c r="G36" s="17"/>
      <c r="H36" s="18" t="n">
        <f aca="false">F36+G36</f>
        <v>0</v>
      </c>
      <c r="I36" s="52"/>
      <c r="J36" s="17"/>
      <c r="K36" s="18" t="n">
        <f aca="false">I36+J36</f>
        <v>0</v>
      </c>
      <c r="L36" s="52"/>
      <c r="M36" s="17"/>
      <c r="N36" s="18" t="n">
        <f aca="false">L36+M36</f>
        <v>0</v>
      </c>
      <c r="O36" s="52"/>
      <c r="P36" s="17"/>
      <c r="Q36" s="18" t="n">
        <f aca="false">O36+P36</f>
        <v>0</v>
      </c>
    </row>
    <row r="37" customFormat="false" ht="22.5" hidden="false" customHeight="true" outlineLevel="0" collapsed="false">
      <c r="B37" s="90"/>
      <c r="C37" s="52"/>
      <c r="D37" s="17"/>
      <c r="E37" s="18" t="n">
        <f aca="false">C37+D37</f>
        <v>0</v>
      </c>
      <c r="F37" s="52"/>
      <c r="G37" s="17"/>
      <c r="H37" s="18" t="n">
        <f aca="false">F37+G37</f>
        <v>0</v>
      </c>
      <c r="I37" s="52"/>
      <c r="J37" s="17"/>
      <c r="K37" s="18" t="n">
        <f aca="false">I37+J37</f>
        <v>0</v>
      </c>
      <c r="L37" s="52"/>
      <c r="M37" s="17"/>
      <c r="N37" s="18" t="n">
        <f aca="false">L37+M37</f>
        <v>0</v>
      </c>
      <c r="O37" s="52"/>
      <c r="P37" s="17"/>
      <c r="Q37" s="18" t="n">
        <f aca="false">O37+P37</f>
        <v>0</v>
      </c>
    </row>
    <row r="38" customFormat="false" ht="22.5" hidden="false" customHeight="true" outlineLevel="0" collapsed="false">
      <c r="B38" s="90"/>
      <c r="C38" s="37"/>
      <c r="D38" s="55"/>
      <c r="E38" s="18" t="n">
        <f aca="false">C38+D38</f>
        <v>0</v>
      </c>
      <c r="F38" s="37"/>
      <c r="G38" s="55"/>
      <c r="H38" s="18" t="n">
        <f aca="false">F38+G38</f>
        <v>0</v>
      </c>
      <c r="I38" s="37"/>
      <c r="J38" s="55"/>
      <c r="K38" s="18" t="n">
        <f aca="false">I38+J38</f>
        <v>0</v>
      </c>
      <c r="L38" s="37"/>
      <c r="M38" s="55"/>
      <c r="N38" s="18" t="n">
        <f aca="false">L38+M38</f>
        <v>0</v>
      </c>
      <c r="O38" s="37"/>
      <c r="P38" s="55"/>
      <c r="Q38" s="18" t="n">
        <f aca="false">O38+P38</f>
        <v>0</v>
      </c>
    </row>
    <row r="39" customFormat="false" ht="22.5" hidden="false" customHeight="true" outlineLevel="0" collapsed="false">
      <c r="B39" s="136" t="s">
        <v>149</v>
      </c>
      <c r="C39" s="94" t="n">
        <f aca="false">SUM(C5:C38)</f>
        <v>0</v>
      </c>
      <c r="D39" s="94" t="n">
        <f aca="false">SUM(D5:D38)</f>
        <v>0</v>
      </c>
      <c r="E39" s="305" t="n">
        <f aca="false">C39+D39</f>
        <v>0</v>
      </c>
      <c r="F39" s="94" t="n">
        <f aca="false">SUM(F5:F38)</f>
        <v>290037494</v>
      </c>
      <c r="G39" s="306" t="n">
        <f aca="false">SUM(G5:G38)</f>
        <v>-7535000</v>
      </c>
      <c r="H39" s="305" t="n">
        <f aca="false">F39+G39</f>
        <v>282502494</v>
      </c>
      <c r="I39" s="94" t="n">
        <f aca="false">SUM(I5:I38)</f>
        <v>339909050</v>
      </c>
      <c r="J39" s="306" t="n">
        <f aca="false">SUM(J5:J38)</f>
        <v>-19814000</v>
      </c>
      <c r="K39" s="305" t="n">
        <f aca="false">I39+J39</f>
        <v>320095050</v>
      </c>
      <c r="L39" s="94" t="n">
        <f aca="false">SUM(L5:L38)</f>
        <v>349576223</v>
      </c>
      <c r="M39" s="306" t="n">
        <f aca="false">SUM(M5:M38)</f>
        <v>-19229000</v>
      </c>
      <c r="N39" s="305" t="n">
        <f aca="false">L39+M39</f>
        <v>330347223</v>
      </c>
      <c r="O39" s="94" t="n">
        <f aca="false">SUM(O5:O38)</f>
        <v>167754348</v>
      </c>
      <c r="P39" s="94" t="n">
        <f aca="false">SUM(P5:P38)</f>
        <v>0</v>
      </c>
      <c r="Q39" s="305" t="n">
        <f aca="false">O39+P39</f>
        <v>167754348</v>
      </c>
    </row>
  </sheetData>
  <mergeCells count="6">
    <mergeCell ref="B3:B4"/>
    <mergeCell ref="C3:E3"/>
    <mergeCell ref="F3:H3"/>
    <mergeCell ref="I3:K3"/>
    <mergeCell ref="L3:N3"/>
    <mergeCell ref="O3:Q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Q44"/>
  <sheetViews>
    <sheetView showFormulas="false" showGridLines="false" showRowColHeaders="true" showZeros="true" rightToLeft="false" tabSelected="false" showOutlineSymbols="true" defaultGridColor="true" view="normal" topLeftCell="A2" colorId="64" zoomScale="63" zoomScaleNormal="63" zoomScalePageLayoutView="100" workbookViewId="0">
      <pane xSplit="0" ySplit="3" topLeftCell="A5" activePane="bottomLeft" state="frozen"/>
      <selection pane="topLeft" activeCell="A2" activeCellId="0" sqref="A2"/>
      <selection pane="bottomLeft" activeCell="A5" activeCellId="0" sqref="A5"/>
    </sheetView>
  </sheetViews>
  <sheetFormatPr defaultColWidth="8.5390625" defaultRowHeight="18" zeroHeight="false" outlineLevelRow="0" outlineLevelCol="0"/>
  <cols>
    <col collapsed="false" customWidth="true" hidden="false" outlineLevel="0" max="2" min="2" style="19" width="28"/>
    <col collapsed="false" customWidth="true" hidden="false" outlineLevel="0" max="17" min="3" style="20" width="15"/>
  </cols>
  <sheetData>
    <row r="2" customFormat="false" ht="18.75" hidden="false" customHeight="true" outlineLevel="0" collapsed="false">
      <c r="B2" s="307" t="s">
        <v>105</v>
      </c>
      <c r="C2" s="46"/>
      <c r="F2" s="46"/>
      <c r="I2" s="46"/>
      <c r="K2" s="47" t="s">
        <v>49</v>
      </c>
      <c r="L2" s="46"/>
      <c r="O2" s="46"/>
    </row>
    <row r="3" customFormat="false" ht="20.25" hidden="false" customHeight="true" outlineLevel="0" collapsed="false">
      <c r="B3" s="110" t="s">
        <v>6</v>
      </c>
      <c r="C3" s="134" t="str">
        <f aca="false">'BS(借方)'!C4</f>
        <v>－</v>
      </c>
      <c r="D3" s="134"/>
      <c r="E3" s="134"/>
      <c r="F3" s="134" t="str">
        <f aca="false">'BS(借方)'!D4</f>
        <v>23年11月期</v>
      </c>
      <c r="G3" s="134"/>
      <c r="H3" s="134"/>
      <c r="I3" s="134" t="str">
        <f aca="false">'BS(借方)'!E4</f>
        <v>24年11月期</v>
      </c>
      <c r="J3" s="134"/>
      <c r="K3" s="134"/>
      <c r="L3" s="134" t="str">
        <f aca="false">'BS(借方)'!F4</f>
        <v>25年11月期</v>
      </c>
      <c r="M3" s="134"/>
      <c r="N3" s="134"/>
      <c r="O3" s="302" t="str">
        <f aca="false">'BS(借方)'!G4</f>
        <v>26年11月期
（7か月TB）</v>
      </c>
      <c r="P3" s="302"/>
      <c r="Q3" s="302"/>
    </row>
    <row r="4" customFormat="false" ht="19.5" hidden="false" customHeight="true" outlineLevel="0" collapsed="false">
      <c r="B4" s="110"/>
      <c r="C4" s="112" t="s">
        <v>74</v>
      </c>
      <c r="D4" s="291" t="s">
        <v>182</v>
      </c>
      <c r="E4" s="292" t="s">
        <v>183</v>
      </c>
      <c r="F4" s="112" t="s">
        <v>74</v>
      </c>
      <c r="G4" s="291" t="s">
        <v>182</v>
      </c>
      <c r="H4" s="292" t="s">
        <v>183</v>
      </c>
      <c r="I4" s="112" t="s">
        <v>74</v>
      </c>
      <c r="J4" s="291" t="s">
        <v>182</v>
      </c>
      <c r="K4" s="292" t="s">
        <v>183</v>
      </c>
      <c r="L4" s="112" t="s">
        <v>74</v>
      </c>
      <c r="M4" s="291" t="s">
        <v>182</v>
      </c>
      <c r="N4" s="292" t="s">
        <v>183</v>
      </c>
      <c r="O4" s="115" t="s">
        <v>74</v>
      </c>
      <c r="P4" s="303" t="s">
        <v>182</v>
      </c>
      <c r="Q4" s="292" t="s">
        <v>183</v>
      </c>
    </row>
    <row r="5" customFormat="false" ht="22.5" hidden="false" customHeight="true" outlineLevel="0" collapsed="false">
      <c r="B5" s="122" t="s">
        <v>109</v>
      </c>
      <c r="C5" s="35" t="n">
        <v>500000</v>
      </c>
      <c r="D5" s="17" t="n">
        <v>-500000</v>
      </c>
      <c r="E5" s="18" t="n">
        <f aca="false">C5+D5</f>
        <v>0</v>
      </c>
      <c r="F5" s="35" t="n">
        <v>500000</v>
      </c>
      <c r="G5" s="17" t="n">
        <v>-500000</v>
      </c>
      <c r="H5" s="18" t="n">
        <f aca="false">F5+G5</f>
        <v>0</v>
      </c>
      <c r="I5" s="35" t="n">
        <v>500000</v>
      </c>
      <c r="J5" s="17" t="n">
        <v>-500000</v>
      </c>
      <c r="K5" s="18" t="n">
        <f aca="false">I5+J5</f>
        <v>0</v>
      </c>
      <c r="L5" s="35" t="n">
        <v>500000</v>
      </c>
      <c r="M5" s="17" t="n">
        <v>-500000</v>
      </c>
      <c r="N5" s="18" t="n">
        <f aca="false">L5+M5</f>
        <v>0</v>
      </c>
      <c r="O5" s="35" t="n">
        <v>500000</v>
      </c>
      <c r="P5" s="17" t="n">
        <v>-500000</v>
      </c>
      <c r="Q5" s="18" t="n">
        <f aca="false">O5+P5</f>
        <v>0</v>
      </c>
    </row>
    <row r="6" customFormat="false" ht="22.5" hidden="false" customHeight="true" outlineLevel="0" collapsed="false">
      <c r="B6" s="90" t="s">
        <v>110</v>
      </c>
      <c r="C6" s="52"/>
      <c r="D6" s="17"/>
      <c r="E6" s="18" t="n">
        <f aca="false">C6+D6</f>
        <v>0</v>
      </c>
      <c r="F6" s="52"/>
      <c r="G6" s="17"/>
      <c r="H6" s="18" t="n">
        <f aca="false">F6+G6</f>
        <v>0</v>
      </c>
      <c r="I6" s="52"/>
      <c r="J6" s="17"/>
      <c r="K6" s="18" t="n">
        <f aca="false">I6+J6</f>
        <v>0</v>
      </c>
      <c r="L6" s="52"/>
      <c r="M6" s="17"/>
      <c r="N6" s="18" t="n">
        <f aca="false">L6+M6</f>
        <v>0</v>
      </c>
      <c r="O6" s="52"/>
      <c r="P6" s="17"/>
      <c r="Q6" s="18" t="n">
        <f aca="false">O6+P6</f>
        <v>0</v>
      </c>
    </row>
    <row r="7" customFormat="false" ht="22.5" hidden="false" customHeight="true" outlineLevel="0" collapsed="false">
      <c r="B7" s="90" t="s">
        <v>111</v>
      </c>
      <c r="C7" s="52"/>
      <c r="D7" s="17"/>
      <c r="E7" s="18" t="n">
        <f aca="false">C7+D7</f>
        <v>0</v>
      </c>
      <c r="F7" s="52"/>
      <c r="G7" s="17"/>
      <c r="H7" s="18" t="n">
        <f aca="false">F7+G7</f>
        <v>0</v>
      </c>
      <c r="I7" s="52"/>
      <c r="J7" s="17"/>
      <c r="K7" s="18" t="n">
        <f aca="false">I7+J7</f>
        <v>0</v>
      </c>
      <c r="L7" s="52"/>
      <c r="M7" s="17"/>
      <c r="N7" s="18" t="n">
        <f aca="false">L7+M7</f>
        <v>0</v>
      </c>
      <c r="O7" s="52"/>
      <c r="P7" s="17"/>
      <c r="Q7" s="18" t="n">
        <f aca="false">O7+P7</f>
        <v>0</v>
      </c>
    </row>
    <row r="8" customFormat="false" ht="22.5" hidden="false" customHeight="true" outlineLevel="0" collapsed="false">
      <c r="B8" s="90" t="s">
        <v>112</v>
      </c>
      <c r="C8" s="52"/>
      <c r="D8" s="17"/>
      <c r="E8" s="18" t="n">
        <f aca="false">C8+D8</f>
        <v>0</v>
      </c>
      <c r="F8" s="52"/>
      <c r="G8" s="17"/>
      <c r="H8" s="18" t="n">
        <f aca="false">F8+G8</f>
        <v>0</v>
      </c>
      <c r="I8" s="52"/>
      <c r="J8" s="17"/>
      <c r="K8" s="18" t="n">
        <f aca="false">I8+J8</f>
        <v>0</v>
      </c>
      <c r="L8" s="52"/>
      <c r="M8" s="17"/>
      <c r="N8" s="18" t="n">
        <f aca="false">L8+M8</f>
        <v>0</v>
      </c>
      <c r="O8" s="52"/>
      <c r="P8" s="17"/>
      <c r="Q8" s="18" t="n">
        <f aca="false">O8+P8</f>
        <v>0</v>
      </c>
    </row>
    <row r="9" customFormat="false" ht="22.5" hidden="false" customHeight="true" outlineLevel="0" collapsed="false">
      <c r="B9" s="90"/>
      <c r="C9" s="52"/>
      <c r="D9" s="17"/>
      <c r="E9" s="18" t="n">
        <f aca="false">C9+D9</f>
        <v>0</v>
      </c>
      <c r="F9" s="52"/>
      <c r="G9" s="17"/>
      <c r="H9" s="18" t="n">
        <f aca="false">F9+G9</f>
        <v>0</v>
      </c>
      <c r="I9" s="52"/>
      <c r="J9" s="17"/>
      <c r="K9" s="18" t="n">
        <f aca="false">I9+J9</f>
        <v>0</v>
      </c>
      <c r="L9" s="52"/>
      <c r="M9" s="17"/>
      <c r="N9" s="18" t="n">
        <f aca="false">L9+M9</f>
        <v>0</v>
      </c>
      <c r="O9" s="52"/>
      <c r="P9" s="17"/>
      <c r="Q9" s="18" t="n">
        <f aca="false">O9+P9</f>
        <v>0</v>
      </c>
    </row>
    <row r="10" customFormat="false" ht="22.5" hidden="false" customHeight="true" outlineLevel="0" collapsed="false">
      <c r="B10" s="91"/>
      <c r="C10" s="37"/>
      <c r="D10" s="55"/>
      <c r="E10" s="18" t="n">
        <f aca="false">C10+D10</f>
        <v>0</v>
      </c>
      <c r="F10" s="37"/>
      <c r="G10" s="55"/>
      <c r="H10" s="18" t="n">
        <f aca="false">F10+G10</f>
        <v>0</v>
      </c>
      <c r="I10" s="37"/>
      <c r="J10" s="55"/>
      <c r="K10" s="18" t="n">
        <f aca="false">I10+J10</f>
        <v>0</v>
      </c>
      <c r="L10" s="37"/>
      <c r="M10" s="55"/>
      <c r="N10" s="18" t="n">
        <f aca="false">L10+M10</f>
        <v>0</v>
      </c>
      <c r="O10" s="37"/>
      <c r="P10" s="55"/>
      <c r="Q10" s="18" t="n">
        <f aca="false">O10+P10</f>
        <v>0</v>
      </c>
    </row>
    <row r="11" customFormat="false" ht="22.5" hidden="false" customHeight="true" outlineLevel="0" collapsed="false">
      <c r="B11" s="123" t="s">
        <v>113</v>
      </c>
      <c r="C11" s="94" t="n">
        <f aca="false">SUM(C5:C10)</f>
        <v>500000</v>
      </c>
      <c r="D11" s="94" t="n">
        <f aca="false">SUM(D5:D10)</f>
        <v>-500000</v>
      </c>
      <c r="E11" s="156" t="n">
        <f aca="false">C11+D11</f>
        <v>0</v>
      </c>
      <c r="F11" s="94" t="n">
        <f aca="false">SUM(F5:F10)</f>
        <v>500000</v>
      </c>
      <c r="G11" s="94" t="n">
        <f aca="false">SUM(G5:G10)</f>
        <v>-500000</v>
      </c>
      <c r="H11" s="156" t="n">
        <f aca="false">F11+G11</f>
        <v>0</v>
      </c>
      <c r="I11" s="94" t="n">
        <f aca="false">SUM(I5:I10)</f>
        <v>500000</v>
      </c>
      <c r="J11" s="94" t="n">
        <f aca="false">SUM(J5:J10)</f>
        <v>-500000</v>
      </c>
      <c r="K11" s="156" t="n">
        <f aca="false">I11+J11</f>
        <v>0</v>
      </c>
      <c r="L11" s="94" t="n">
        <f aca="false">SUM(L5:L10)</f>
        <v>500000</v>
      </c>
      <c r="M11" s="94" t="n">
        <f aca="false">SUM(M5:M10)</f>
        <v>-500000</v>
      </c>
      <c r="N11" s="156" t="n">
        <f aca="false">L11+M11</f>
        <v>0</v>
      </c>
      <c r="O11" s="94" t="n">
        <f aca="false">SUM(O5:O10)</f>
        <v>500000</v>
      </c>
      <c r="P11" s="94" t="n">
        <f aca="false">SUM(P5:P10)</f>
        <v>-500000</v>
      </c>
      <c r="Q11" s="156" t="n">
        <f aca="false">O11+P11</f>
        <v>0</v>
      </c>
    </row>
    <row r="12" customFormat="false" ht="22.5" hidden="false" customHeight="true" outlineLevel="0" collapsed="false">
      <c r="B12" s="122"/>
      <c r="C12" s="35"/>
      <c r="D12" s="17"/>
      <c r="E12" s="18" t="n">
        <f aca="false">C12+D12</f>
        <v>0</v>
      </c>
      <c r="F12" s="35"/>
      <c r="G12" s="17"/>
      <c r="H12" s="18" t="n">
        <f aca="false">F12+G12</f>
        <v>0</v>
      </c>
      <c r="I12" s="35"/>
      <c r="J12" s="17"/>
      <c r="K12" s="18" t="n">
        <f aca="false">I12+J12</f>
        <v>0</v>
      </c>
      <c r="L12" s="35"/>
      <c r="M12" s="17"/>
      <c r="N12" s="18" t="n">
        <f aca="false">L12+M12</f>
        <v>0</v>
      </c>
      <c r="O12" s="35"/>
      <c r="P12" s="17"/>
      <c r="Q12" s="18" t="n">
        <f aca="false">O12+P12</f>
        <v>0</v>
      </c>
    </row>
    <row r="13" customFormat="false" ht="22.5" hidden="false" customHeight="true" outlineLevel="0" collapsed="false">
      <c r="B13" s="90"/>
      <c r="C13" s="52"/>
      <c r="D13" s="17"/>
      <c r="E13" s="18" t="n">
        <f aca="false">C13+D13</f>
        <v>0</v>
      </c>
      <c r="F13" s="52"/>
      <c r="G13" s="17"/>
      <c r="H13" s="18" t="n">
        <f aca="false">F13+G13</f>
        <v>0</v>
      </c>
      <c r="I13" s="52"/>
      <c r="J13" s="17"/>
      <c r="K13" s="18" t="n">
        <f aca="false">I13+J13</f>
        <v>0</v>
      </c>
      <c r="L13" s="52"/>
      <c r="M13" s="17"/>
      <c r="N13" s="18" t="n">
        <f aca="false">L13+M13</f>
        <v>0</v>
      </c>
      <c r="O13" s="52"/>
      <c r="P13" s="17"/>
      <c r="Q13" s="18" t="n">
        <f aca="false">O13+P13</f>
        <v>0</v>
      </c>
    </row>
    <row r="14" customFormat="false" ht="22.5" hidden="false" customHeight="true" outlineLevel="0" collapsed="false">
      <c r="B14" s="90"/>
      <c r="C14" s="52"/>
      <c r="D14" s="17"/>
      <c r="E14" s="18" t="n">
        <f aca="false">C14+D14</f>
        <v>0</v>
      </c>
      <c r="F14" s="52"/>
      <c r="G14" s="17"/>
      <c r="H14" s="18" t="n">
        <f aca="false">F14+G14</f>
        <v>0</v>
      </c>
      <c r="I14" s="52"/>
      <c r="J14" s="17"/>
      <c r="K14" s="18" t="n">
        <f aca="false">I14+J14</f>
        <v>0</v>
      </c>
      <c r="L14" s="52"/>
      <c r="M14" s="17"/>
      <c r="N14" s="18" t="n">
        <f aca="false">L14+M14</f>
        <v>0</v>
      </c>
      <c r="O14" s="52"/>
      <c r="P14" s="17"/>
      <c r="Q14" s="18" t="n">
        <f aca="false">O14+P14</f>
        <v>0</v>
      </c>
    </row>
    <row r="15" customFormat="false" ht="22.5" hidden="false" customHeight="true" outlineLevel="0" collapsed="false">
      <c r="B15" s="90"/>
      <c r="C15" s="52"/>
      <c r="D15" s="17"/>
      <c r="E15" s="18" t="n">
        <f aca="false">C15+D15</f>
        <v>0</v>
      </c>
      <c r="F15" s="52"/>
      <c r="G15" s="17"/>
      <c r="H15" s="18" t="n">
        <f aca="false">F15+G15</f>
        <v>0</v>
      </c>
      <c r="I15" s="52"/>
      <c r="J15" s="17"/>
      <c r="K15" s="18" t="n">
        <f aca="false">I15+J15</f>
        <v>0</v>
      </c>
      <c r="L15" s="52"/>
      <c r="M15" s="17"/>
      <c r="N15" s="18" t="n">
        <f aca="false">L15+M15</f>
        <v>0</v>
      </c>
      <c r="O15" s="52"/>
      <c r="P15" s="17"/>
      <c r="Q15" s="18" t="n">
        <f aca="false">O15+P15</f>
        <v>0</v>
      </c>
    </row>
    <row r="16" customFormat="false" ht="22.5" hidden="false" customHeight="true" outlineLevel="0" collapsed="false">
      <c r="B16" s="90"/>
      <c r="C16" s="52"/>
      <c r="D16" s="17"/>
      <c r="E16" s="18" t="n">
        <f aca="false">C16+D16</f>
        <v>0</v>
      </c>
      <c r="F16" s="52"/>
      <c r="G16" s="17"/>
      <c r="H16" s="18" t="n">
        <f aca="false">F16+G16</f>
        <v>0</v>
      </c>
      <c r="I16" s="52"/>
      <c r="J16" s="17"/>
      <c r="K16" s="18" t="n">
        <f aca="false">I16+J16</f>
        <v>0</v>
      </c>
      <c r="L16" s="52"/>
      <c r="M16" s="17"/>
      <c r="N16" s="18" t="n">
        <f aca="false">L16+M16</f>
        <v>0</v>
      </c>
      <c r="O16" s="52"/>
      <c r="P16" s="17"/>
      <c r="Q16" s="18" t="n">
        <f aca="false">O16+P16</f>
        <v>0</v>
      </c>
    </row>
    <row r="17" customFormat="false" ht="22.5" hidden="false" customHeight="true" outlineLevel="0" collapsed="false">
      <c r="B17" s="91"/>
      <c r="C17" s="37"/>
      <c r="D17" s="55"/>
      <c r="E17" s="18" t="n">
        <f aca="false">C17+D17</f>
        <v>0</v>
      </c>
      <c r="F17" s="37"/>
      <c r="G17" s="55"/>
      <c r="H17" s="18" t="n">
        <f aca="false">F17+G17</f>
        <v>0</v>
      </c>
      <c r="I17" s="37"/>
      <c r="J17" s="55"/>
      <c r="K17" s="18" t="n">
        <f aca="false">I17+J17</f>
        <v>0</v>
      </c>
      <c r="L17" s="37"/>
      <c r="M17" s="55"/>
      <c r="N17" s="18" t="n">
        <f aca="false">L17+M17</f>
        <v>0</v>
      </c>
      <c r="O17" s="37"/>
      <c r="P17" s="55"/>
      <c r="Q17" s="18" t="n">
        <f aca="false">O17+P17</f>
        <v>0</v>
      </c>
    </row>
    <row r="18" customFormat="false" ht="22.5" hidden="false" customHeight="true" outlineLevel="0" collapsed="false">
      <c r="B18" s="123" t="s">
        <v>114</v>
      </c>
      <c r="C18" s="94" t="n">
        <f aca="false">SUM(C12:C17)</f>
        <v>0</v>
      </c>
      <c r="D18" s="94" t="n">
        <f aca="false">SUM(D12:D17)</f>
        <v>0</v>
      </c>
      <c r="E18" s="156" t="n">
        <f aca="false">C18+D18</f>
        <v>0</v>
      </c>
      <c r="F18" s="94" t="n">
        <f aca="false">SUM(F12:F17)</f>
        <v>0</v>
      </c>
      <c r="G18" s="94" t="n">
        <f aca="false">SUM(G12:G17)</f>
        <v>0</v>
      </c>
      <c r="H18" s="156" t="n">
        <f aca="false">F18+G18</f>
        <v>0</v>
      </c>
      <c r="I18" s="94" t="n">
        <f aca="false">SUM(I12:I17)</f>
        <v>0</v>
      </c>
      <c r="J18" s="94" t="n">
        <f aca="false">SUM(J12:J17)</f>
        <v>0</v>
      </c>
      <c r="K18" s="156" t="n">
        <f aca="false">I18+J18</f>
        <v>0</v>
      </c>
      <c r="L18" s="94" t="n">
        <f aca="false">SUM(L12:L17)</f>
        <v>0</v>
      </c>
      <c r="M18" s="94" t="n">
        <f aca="false">SUM(M12:M17)</f>
        <v>0</v>
      </c>
      <c r="N18" s="156" t="n">
        <f aca="false">L18+M18</f>
        <v>0</v>
      </c>
      <c r="O18" s="94" t="n">
        <f aca="false">SUM(O12:O17)</f>
        <v>0</v>
      </c>
      <c r="P18" s="94" t="n">
        <f aca="false">SUM(P12:P17)</f>
        <v>0</v>
      </c>
      <c r="Q18" s="156" t="n">
        <f aca="false">O18+P18</f>
        <v>0</v>
      </c>
    </row>
    <row r="19" customFormat="false" ht="22.5" hidden="false" customHeight="true" outlineLevel="0" collapsed="false">
      <c r="B19" s="122"/>
      <c r="C19" s="35"/>
      <c r="D19" s="17"/>
      <c r="E19" s="18" t="n">
        <f aca="false">C19+D19</f>
        <v>0</v>
      </c>
      <c r="F19" s="35"/>
      <c r="G19" s="17"/>
      <c r="H19" s="18" t="n">
        <f aca="false">F19+G19</f>
        <v>0</v>
      </c>
      <c r="I19" s="35"/>
      <c r="J19" s="17"/>
      <c r="K19" s="18" t="n">
        <f aca="false">I19+J19</f>
        <v>0</v>
      </c>
      <c r="L19" s="35"/>
      <c r="M19" s="17"/>
      <c r="N19" s="18" t="n">
        <f aca="false">L19+M19</f>
        <v>0</v>
      </c>
      <c r="O19" s="35"/>
      <c r="P19" s="17"/>
      <c r="Q19" s="18" t="n">
        <f aca="false">O19+P19</f>
        <v>0</v>
      </c>
    </row>
    <row r="20" customFormat="false" ht="22.5" hidden="false" customHeight="true" outlineLevel="0" collapsed="false">
      <c r="B20" s="90"/>
      <c r="C20" s="52"/>
      <c r="D20" s="17"/>
      <c r="E20" s="18" t="n">
        <f aca="false">C20+D20</f>
        <v>0</v>
      </c>
      <c r="F20" s="52"/>
      <c r="G20" s="17"/>
      <c r="H20" s="18" t="n">
        <f aca="false">F20+G20</f>
        <v>0</v>
      </c>
      <c r="I20" s="52"/>
      <c r="J20" s="17"/>
      <c r="K20" s="18" t="n">
        <f aca="false">I20+J20</f>
        <v>0</v>
      </c>
      <c r="L20" s="52"/>
      <c r="M20" s="17"/>
      <c r="N20" s="18" t="n">
        <f aca="false">L20+M20</f>
        <v>0</v>
      </c>
      <c r="O20" s="52"/>
      <c r="P20" s="17"/>
      <c r="Q20" s="18" t="n">
        <f aca="false">O20+P20</f>
        <v>0</v>
      </c>
    </row>
    <row r="21" customFormat="false" ht="22.5" hidden="false" customHeight="true" outlineLevel="0" collapsed="false">
      <c r="B21" s="90"/>
      <c r="C21" s="52"/>
      <c r="D21" s="17"/>
      <c r="E21" s="18" t="n">
        <f aca="false">C21+D21</f>
        <v>0</v>
      </c>
      <c r="F21" s="52"/>
      <c r="G21" s="17"/>
      <c r="H21" s="18" t="n">
        <f aca="false">F21+G21</f>
        <v>0</v>
      </c>
      <c r="I21" s="52"/>
      <c r="J21" s="17"/>
      <c r="K21" s="18" t="n">
        <f aca="false">I21+J21</f>
        <v>0</v>
      </c>
      <c r="L21" s="52"/>
      <c r="M21" s="17"/>
      <c r="N21" s="18" t="n">
        <f aca="false">L21+M21</f>
        <v>0</v>
      </c>
      <c r="O21" s="52"/>
      <c r="P21" s="17"/>
      <c r="Q21" s="18" t="n">
        <f aca="false">O21+P21</f>
        <v>0</v>
      </c>
    </row>
    <row r="22" customFormat="false" ht="22.5" hidden="false" customHeight="true" outlineLevel="0" collapsed="false">
      <c r="B22" s="90"/>
      <c r="C22" s="52"/>
      <c r="D22" s="17"/>
      <c r="E22" s="18" t="n">
        <f aca="false">C22+D22</f>
        <v>0</v>
      </c>
      <c r="F22" s="52"/>
      <c r="G22" s="17"/>
      <c r="H22" s="18" t="n">
        <f aca="false">F22+G22</f>
        <v>0</v>
      </c>
      <c r="I22" s="52"/>
      <c r="J22" s="17"/>
      <c r="K22" s="18" t="n">
        <f aca="false">I22+J22</f>
        <v>0</v>
      </c>
      <c r="L22" s="52"/>
      <c r="M22" s="17"/>
      <c r="N22" s="18" t="n">
        <f aca="false">L22+M22</f>
        <v>0</v>
      </c>
      <c r="O22" s="52"/>
      <c r="P22" s="17"/>
      <c r="Q22" s="18" t="n">
        <f aca="false">O22+P22</f>
        <v>0</v>
      </c>
    </row>
    <row r="23" customFormat="false" ht="22.5" hidden="false" customHeight="true" outlineLevel="0" collapsed="false">
      <c r="B23" s="90"/>
      <c r="C23" s="52"/>
      <c r="D23" s="17"/>
      <c r="E23" s="18" t="n">
        <f aca="false">C23+D23</f>
        <v>0</v>
      </c>
      <c r="F23" s="52"/>
      <c r="G23" s="17"/>
      <c r="H23" s="18" t="n">
        <f aca="false">F23+G23</f>
        <v>0</v>
      </c>
      <c r="I23" s="52"/>
      <c r="J23" s="17"/>
      <c r="K23" s="18" t="n">
        <f aca="false">I23+J23</f>
        <v>0</v>
      </c>
      <c r="L23" s="52"/>
      <c r="M23" s="17"/>
      <c r="N23" s="18" t="n">
        <f aca="false">L23+M23</f>
        <v>0</v>
      </c>
      <c r="O23" s="52"/>
      <c r="P23" s="17"/>
      <c r="Q23" s="18" t="n">
        <f aca="false">O23+P23</f>
        <v>0</v>
      </c>
    </row>
    <row r="24" customFormat="false" ht="22.5" hidden="false" customHeight="true" outlineLevel="0" collapsed="false">
      <c r="B24" s="91"/>
      <c r="C24" s="37"/>
      <c r="D24" s="55"/>
      <c r="E24" s="18" t="n">
        <f aca="false">C24+D24</f>
        <v>0</v>
      </c>
      <c r="F24" s="37"/>
      <c r="G24" s="55"/>
      <c r="H24" s="18" t="n">
        <f aca="false">F24+G24</f>
        <v>0</v>
      </c>
      <c r="I24" s="37"/>
      <c r="J24" s="55"/>
      <c r="K24" s="18" t="n">
        <f aca="false">I24+J24</f>
        <v>0</v>
      </c>
      <c r="L24" s="37"/>
      <c r="M24" s="55"/>
      <c r="N24" s="18" t="n">
        <f aca="false">L24+M24</f>
        <v>0</v>
      </c>
      <c r="O24" s="37"/>
      <c r="P24" s="55"/>
      <c r="Q24" s="18" t="n">
        <f aca="false">O24+P24</f>
        <v>0</v>
      </c>
    </row>
    <row r="25" customFormat="false" ht="22.5" hidden="false" customHeight="true" outlineLevel="0" collapsed="false">
      <c r="B25" s="123" t="s">
        <v>115</v>
      </c>
      <c r="C25" s="94" t="n">
        <f aca="false">SUM(C19:C24)</f>
        <v>0</v>
      </c>
      <c r="D25" s="94" t="n">
        <f aca="false">SUM(D19:D24)</f>
        <v>0</v>
      </c>
      <c r="E25" s="156" t="n">
        <f aca="false">C25+D25</f>
        <v>0</v>
      </c>
      <c r="F25" s="94" t="n">
        <f aca="false">SUM(F19:F24)</f>
        <v>0</v>
      </c>
      <c r="G25" s="94" t="n">
        <f aca="false">SUM(G19:G24)</f>
        <v>0</v>
      </c>
      <c r="H25" s="156" t="n">
        <f aca="false">F25+G25</f>
        <v>0</v>
      </c>
      <c r="I25" s="94" t="n">
        <f aca="false">SUM(I19:I24)</f>
        <v>0</v>
      </c>
      <c r="J25" s="94" t="n">
        <f aca="false">SUM(J19:J24)</f>
        <v>0</v>
      </c>
      <c r="K25" s="156" t="n">
        <f aca="false">I25+J25</f>
        <v>0</v>
      </c>
      <c r="L25" s="94" t="n">
        <f aca="false">SUM(L19:L24)</f>
        <v>0</v>
      </c>
      <c r="M25" s="94" t="n">
        <f aca="false">SUM(M19:M24)</f>
        <v>0</v>
      </c>
      <c r="N25" s="156" t="n">
        <f aca="false">L25+M25</f>
        <v>0</v>
      </c>
      <c r="O25" s="94" t="n">
        <f aca="false">SUM(O19:O24)</f>
        <v>0</v>
      </c>
      <c r="P25" s="94" t="n">
        <f aca="false">SUM(P19:P24)</f>
        <v>0</v>
      </c>
      <c r="Q25" s="156" t="n">
        <f aca="false">O25+P25</f>
        <v>0</v>
      </c>
    </row>
    <row r="26" customFormat="false" ht="22.5" hidden="false" customHeight="true" outlineLevel="0" collapsed="false">
      <c r="B26" s="122"/>
      <c r="C26" s="35"/>
      <c r="D26" s="17"/>
      <c r="E26" s="18" t="n">
        <f aca="false">C26+D26</f>
        <v>0</v>
      </c>
      <c r="F26" s="35"/>
      <c r="G26" s="17"/>
      <c r="H26" s="18" t="n">
        <f aca="false">F26+G26</f>
        <v>0</v>
      </c>
      <c r="I26" s="35"/>
      <c r="J26" s="17"/>
      <c r="K26" s="18" t="n">
        <f aca="false">I26+J26</f>
        <v>0</v>
      </c>
      <c r="L26" s="35"/>
      <c r="M26" s="17"/>
      <c r="N26" s="18" t="n">
        <f aca="false">L26+M26</f>
        <v>0</v>
      </c>
      <c r="O26" s="35"/>
      <c r="P26" s="17"/>
      <c r="Q26" s="18" t="n">
        <f aca="false">O26+P26</f>
        <v>0</v>
      </c>
    </row>
    <row r="27" customFormat="false" ht="22.5" hidden="false" customHeight="true" outlineLevel="0" collapsed="false">
      <c r="B27" s="90"/>
      <c r="C27" s="52"/>
      <c r="D27" s="17"/>
      <c r="E27" s="18" t="n">
        <f aca="false">C27+D27</f>
        <v>0</v>
      </c>
      <c r="F27" s="52"/>
      <c r="G27" s="17"/>
      <c r="H27" s="18" t="n">
        <f aca="false">F27+G27</f>
        <v>0</v>
      </c>
      <c r="I27" s="52"/>
      <c r="J27" s="17"/>
      <c r="K27" s="18" t="n">
        <f aca="false">I27+J27</f>
        <v>0</v>
      </c>
      <c r="L27" s="52"/>
      <c r="M27" s="17"/>
      <c r="N27" s="18" t="n">
        <f aca="false">L27+M27</f>
        <v>0</v>
      </c>
      <c r="O27" s="52"/>
      <c r="P27" s="17"/>
      <c r="Q27" s="18" t="n">
        <f aca="false">O27+P27</f>
        <v>0</v>
      </c>
    </row>
    <row r="28" customFormat="false" ht="22.5" hidden="false" customHeight="true" outlineLevel="0" collapsed="false">
      <c r="B28" s="90"/>
      <c r="C28" s="52"/>
      <c r="D28" s="17"/>
      <c r="E28" s="18" t="n">
        <f aca="false">C28+D28</f>
        <v>0</v>
      </c>
      <c r="F28" s="52"/>
      <c r="G28" s="17"/>
      <c r="H28" s="18" t="n">
        <f aca="false">F28+G28</f>
        <v>0</v>
      </c>
      <c r="I28" s="52"/>
      <c r="J28" s="17"/>
      <c r="K28" s="18" t="n">
        <f aca="false">I28+J28</f>
        <v>0</v>
      </c>
      <c r="L28" s="52"/>
      <c r="M28" s="17"/>
      <c r="N28" s="18" t="n">
        <f aca="false">L28+M28</f>
        <v>0</v>
      </c>
      <c r="O28" s="52"/>
      <c r="P28" s="17"/>
      <c r="Q28" s="18" t="n">
        <f aca="false">O28+P28</f>
        <v>0</v>
      </c>
    </row>
    <row r="29" customFormat="false" ht="22.5" hidden="false" customHeight="true" outlineLevel="0" collapsed="false">
      <c r="B29" s="90"/>
      <c r="C29" s="52"/>
      <c r="D29" s="17"/>
      <c r="E29" s="18" t="n">
        <f aca="false">C29+D29</f>
        <v>0</v>
      </c>
      <c r="F29" s="52"/>
      <c r="G29" s="17"/>
      <c r="H29" s="18" t="n">
        <f aca="false">F29+G29</f>
        <v>0</v>
      </c>
      <c r="I29" s="52"/>
      <c r="J29" s="17"/>
      <c r="K29" s="18" t="n">
        <f aca="false">I29+J29</f>
        <v>0</v>
      </c>
      <c r="L29" s="52"/>
      <c r="M29" s="17"/>
      <c r="N29" s="18" t="n">
        <f aca="false">L29+M29</f>
        <v>0</v>
      </c>
      <c r="O29" s="52"/>
      <c r="P29" s="17"/>
      <c r="Q29" s="18" t="n">
        <f aca="false">O29+P29</f>
        <v>0</v>
      </c>
    </row>
    <row r="30" customFormat="false" ht="22.5" hidden="false" customHeight="true" outlineLevel="0" collapsed="false">
      <c r="B30" s="90"/>
      <c r="C30" s="52"/>
      <c r="D30" s="17"/>
      <c r="E30" s="18" t="n">
        <f aca="false">C30+D30</f>
        <v>0</v>
      </c>
      <c r="F30" s="52"/>
      <c r="G30" s="17"/>
      <c r="H30" s="18" t="n">
        <f aca="false">F30+G30</f>
        <v>0</v>
      </c>
      <c r="I30" s="52"/>
      <c r="J30" s="17"/>
      <c r="K30" s="18" t="n">
        <f aca="false">I30+J30</f>
        <v>0</v>
      </c>
      <c r="L30" s="52"/>
      <c r="M30" s="17"/>
      <c r="N30" s="18" t="n">
        <f aca="false">L30+M30</f>
        <v>0</v>
      </c>
      <c r="O30" s="52"/>
      <c r="P30" s="17"/>
      <c r="Q30" s="18" t="n">
        <f aca="false">O30+P30</f>
        <v>0</v>
      </c>
    </row>
    <row r="31" customFormat="false" ht="22.5" hidden="false" customHeight="true" outlineLevel="0" collapsed="false">
      <c r="B31" s="90"/>
      <c r="C31" s="52"/>
      <c r="D31" s="17"/>
      <c r="E31" s="18" t="n">
        <f aca="false">C31+D31</f>
        <v>0</v>
      </c>
      <c r="F31" s="52"/>
      <c r="G31" s="17"/>
      <c r="H31" s="18" t="n">
        <f aca="false">F31+G31</f>
        <v>0</v>
      </c>
      <c r="I31" s="52"/>
      <c r="J31" s="17"/>
      <c r="K31" s="18" t="n">
        <f aca="false">I31+J31</f>
        <v>0</v>
      </c>
      <c r="L31" s="52"/>
      <c r="M31" s="17"/>
      <c r="N31" s="18" t="n">
        <f aca="false">L31+M31</f>
        <v>0</v>
      </c>
      <c r="O31" s="52"/>
      <c r="P31" s="17"/>
      <c r="Q31" s="18" t="n">
        <f aca="false">O31+P31</f>
        <v>0</v>
      </c>
    </row>
    <row r="32" customFormat="false" ht="22.5" hidden="false" customHeight="true" outlineLevel="0" collapsed="false">
      <c r="B32" s="90"/>
      <c r="C32" s="52"/>
      <c r="D32" s="17"/>
      <c r="E32" s="18" t="n">
        <f aca="false">C32+D32</f>
        <v>0</v>
      </c>
      <c r="F32" s="52"/>
      <c r="G32" s="17"/>
      <c r="H32" s="18" t="n">
        <f aca="false">F32+G32</f>
        <v>0</v>
      </c>
      <c r="I32" s="52"/>
      <c r="J32" s="17"/>
      <c r="K32" s="18" t="n">
        <f aca="false">I32+J32</f>
        <v>0</v>
      </c>
      <c r="L32" s="52"/>
      <c r="M32" s="17"/>
      <c r="N32" s="18" t="n">
        <f aca="false">L32+M32</f>
        <v>0</v>
      </c>
      <c r="O32" s="52"/>
      <c r="P32" s="17"/>
      <c r="Q32" s="18" t="n">
        <f aca="false">O32+P32</f>
        <v>0</v>
      </c>
    </row>
    <row r="33" customFormat="false" ht="22.5" hidden="false" customHeight="true" outlineLevel="0" collapsed="false">
      <c r="B33" s="90"/>
      <c r="C33" s="52"/>
      <c r="D33" s="17"/>
      <c r="E33" s="18" t="n">
        <f aca="false">C33+D33</f>
        <v>0</v>
      </c>
      <c r="F33" s="52"/>
      <c r="G33" s="17"/>
      <c r="H33" s="18" t="n">
        <f aca="false">F33+G33</f>
        <v>0</v>
      </c>
      <c r="I33" s="52"/>
      <c r="J33" s="17"/>
      <c r="K33" s="18" t="n">
        <f aca="false">I33+J33</f>
        <v>0</v>
      </c>
      <c r="L33" s="52"/>
      <c r="M33" s="17"/>
      <c r="N33" s="18" t="n">
        <f aca="false">L33+M33</f>
        <v>0</v>
      </c>
      <c r="O33" s="52"/>
      <c r="P33" s="17"/>
      <c r="Q33" s="18" t="n">
        <f aca="false">O33+P33</f>
        <v>0</v>
      </c>
    </row>
    <row r="34" customFormat="false" ht="22.5" hidden="false" customHeight="true" outlineLevel="0" collapsed="false">
      <c r="B34" s="90"/>
      <c r="C34" s="52"/>
      <c r="D34" s="17"/>
      <c r="E34" s="18" t="n">
        <f aca="false">C34+D34</f>
        <v>0</v>
      </c>
      <c r="F34" s="52"/>
      <c r="G34" s="17"/>
      <c r="H34" s="18" t="n">
        <f aca="false">F34+G34</f>
        <v>0</v>
      </c>
      <c r="I34" s="52"/>
      <c r="J34" s="17"/>
      <c r="K34" s="18" t="n">
        <f aca="false">I34+J34</f>
        <v>0</v>
      </c>
      <c r="L34" s="52"/>
      <c r="M34" s="17"/>
      <c r="N34" s="18" t="n">
        <f aca="false">L34+M34</f>
        <v>0</v>
      </c>
      <c r="O34" s="52"/>
      <c r="P34" s="17"/>
      <c r="Q34" s="18" t="n">
        <f aca="false">O34+P34</f>
        <v>0</v>
      </c>
    </row>
    <row r="35" customFormat="false" ht="22.5" hidden="false" customHeight="true" outlineLevel="0" collapsed="false">
      <c r="B35" s="91"/>
      <c r="C35" s="37"/>
      <c r="D35" s="55"/>
      <c r="E35" s="18" t="n">
        <f aca="false">C35+D35</f>
        <v>0</v>
      </c>
      <c r="F35" s="37"/>
      <c r="G35" s="55"/>
      <c r="H35" s="18" t="n">
        <f aca="false">F35+G35</f>
        <v>0</v>
      </c>
      <c r="I35" s="37"/>
      <c r="J35" s="55"/>
      <c r="K35" s="18" t="n">
        <f aca="false">I35+J35</f>
        <v>0</v>
      </c>
      <c r="L35" s="37"/>
      <c r="M35" s="55"/>
      <c r="N35" s="18" t="n">
        <f aca="false">L35+M35</f>
        <v>0</v>
      </c>
      <c r="O35" s="37"/>
      <c r="P35" s="55"/>
      <c r="Q35" s="18" t="n">
        <f aca="false">O35+P35</f>
        <v>0</v>
      </c>
    </row>
    <row r="36" customFormat="false" ht="22.5" hidden="false" customHeight="true" outlineLevel="0" collapsed="false">
      <c r="B36" s="123" t="s">
        <v>116</v>
      </c>
      <c r="C36" s="94" t="n">
        <f aca="false">SUM(C26:C35)</f>
        <v>0</v>
      </c>
      <c r="D36" s="94" t="n">
        <f aca="false">SUM(D26:D35)</f>
        <v>0</v>
      </c>
      <c r="E36" s="308" t="n">
        <f aca="false">C36+D36</f>
        <v>0</v>
      </c>
      <c r="F36" s="94" t="n">
        <f aca="false">SUM(F26:F35)</f>
        <v>0</v>
      </c>
      <c r="G36" s="94" t="n">
        <f aca="false">SUM(G26:G35)</f>
        <v>0</v>
      </c>
      <c r="H36" s="308" t="n">
        <f aca="false">F36+G36</f>
        <v>0</v>
      </c>
      <c r="I36" s="94" t="n">
        <f aca="false">SUM(I26:I35)</f>
        <v>0</v>
      </c>
      <c r="J36" s="94" t="n">
        <f aca="false">SUM(J26:J35)</f>
        <v>0</v>
      </c>
      <c r="K36" s="308" t="n">
        <f aca="false">I36+J36</f>
        <v>0</v>
      </c>
      <c r="L36" s="94" t="n">
        <f aca="false">SUM(L26:L35)</f>
        <v>0</v>
      </c>
      <c r="M36" s="94" t="n">
        <f aca="false">SUM(M26:M35)</f>
        <v>0</v>
      </c>
      <c r="N36" s="308" t="n">
        <f aca="false">L36+M36</f>
        <v>0</v>
      </c>
      <c r="O36" s="94" t="n">
        <f aca="false">SUM(O26:O35)</f>
        <v>0</v>
      </c>
      <c r="P36" s="94" t="n">
        <f aca="false">SUM(P26:P35)</f>
        <v>0</v>
      </c>
      <c r="Q36" s="308" t="n">
        <f aca="false">O36+P36</f>
        <v>0</v>
      </c>
    </row>
    <row r="37" customFormat="false" ht="22.5" hidden="false" customHeight="true" outlineLevel="0" collapsed="false">
      <c r="B37" s="125" t="s">
        <v>117</v>
      </c>
      <c r="C37" s="94" t="n">
        <f aca="false">C11+C18+C25+C36</f>
        <v>500000</v>
      </c>
      <c r="D37" s="94" t="n">
        <f aca="false">D11+D18+D25+D36</f>
        <v>-500000</v>
      </c>
      <c r="E37" s="156" t="n">
        <f aca="false">C37+D37</f>
        <v>0</v>
      </c>
      <c r="F37" s="94" t="n">
        <f aca="false">F11+F18+F25+F36</f>
        <v>500000</v>
      </c>
      <c r="G37" s="94" t="n">
        <f aca="false">G11+G18+G25+G36</f>
        <v>-500000</v>
      </c>
      <c r="H37" s="156" t="n">
        <f aca="false">F37+G37</f>
        <v>0</v>
      </c>
      <c r="I37" s="94" t="n">
        <f aca="false">I11+I18+I25+I36</f>
        <v>500000</v>
      </c>
      <c r="J37" s="94" t="n">
        <f aca="false">J11+J18+J25+J36</f>
        <v>-500000</v>
      </c>
      <c r="K37" s="156" t="n">
        <f aca="false">I37+J37</f>
        <v>0</v>
      </c>
      <c r="L37" s="94" t="n">
        <f aca="false">L11+L18+L25+L36</f>
        <v>500000</v>
      </c>
      <c r="M37" s="94" t="n">
        <f aca="false">M11+M18+M25+M36</f>
        <v>-500000</v>
      </c>
      <c r="N37" s="156" t="n">
        <f aca="false">L37+M37</f>
        <v>0</v>
      </c>
      <c r="O37" s="94" t="n">
        <f aca="false">O11+O18+O25+O36</f>
        <v>500000</v>
      </c>
      <c r="P37" s="94" t="n">
        <f aca="false">P11+P18+P25+P36</f>
        <v>-500000</v>
      </c>
      <c r="Q37" s="156" t="n">
        <f aca="false">O37+P37</f>
        <v>0</v>
      </c>
    </row>
    <row r="38" customFormat="false" ht="22.5" hidden="false" customHeight="true" outlineLevel="0" collapsed="false">
      <c r="B38" s="126" t="s">
        <v>118</v>
      </c>
      <c r="C38" s="37"/>
      <c r="D38" s="55"/>
      <c r="E38" s="18" t="n">
        <f aca="false">C38+D38</f>
        <v>0</v>
      </c>
      <c r="F38" s="37"/>
      <c r="G38" s="55"/>
      <c r="H38" s="18" t="n">
        <f aca="false">F38+G38</f>
        <v>0</v>
      </c>
      <c r="I38" s="37"/>
      <c r="J38" s="55"/>
      <c r="K38" s="18" t="n">
        <f aca="false">I38+J38</f>
        <v>0</v>
      </c>
      <c r="L38" s="37"/>
      <c r="M38" s="55"/>
      <c r="N38" s="18" t="n">
        <f aca="false">L38+M38</f>
        <v>0</v>
      </c>
      <c r="O38" s="37"/>
      <c r="P38" s="55"/>
      <c r="Q38" s="18" t="n">
        <f aca="false">O38+P38</f>
        <v>0</v>
      </c>
    </row>
    <row r="39" customFormat="false" ht="22.5" hidden="false" customHeight="true" outlineLevel="0" collapsed="false">
      <c r="B39" s="93" t="s">
        <v>119</v>
      </c>
      <c r="C39" s="94" t="n">
        <f aca="false">SUM(C37:C38)</f>
        <v>500000</v>
      </c>
      <c r="D39" s="94" t="n">
        <f aca="false">SUM(D37:D38)</f>
        <v>-500000</v>
      </c>
      <c r="E39" s="156" t="n">
        <f aca="false">C39+D39</f>
        <v>0</v>
      </c>
      <c r="F39" s="94" t="n">
        <f aca="false">SUM(F37:F38)</f>
        <v>500000</v>
      </c>
      <c r="G39" s="94" t="n">
        <f aca="false">SUM(G37:G38)</f>
        <v>-500000</v>
      </c>
      <c r="H39" s="156" t="n">
        <f aca="false">F39+G39</f>
        <v>0</v>
      </c>
      <c r="I39" s="94" t="n">
        <f aca="false">SUM(I37:I38)</f>
        <v>500000</v>
      </c>
      <c r="J39" s="94" t="n">
        <f aca="false">SUM(J37:J38)</f>
        <v>-500000</v>
      </c>
      <c r="K39" s="156" t="n">
        <f aca="false">I39+J39</f>
        <v>0</v>
      </c>
      <c r="L39" s="94" t="n">
        <f aca="false">SUM(L37:L38)</f>
        <v>500000</v>
      </c>
      <c r="M39" s="94" t="n">
        <f aca="false">SUM(M37:M38)</f>
        <v>-500000</v>
      </c>
      <c r="N39" s="156" t="n">
        <f aca="false">L39+M39</f>
        <v>0</v>
      </c>
      <c r="O39" s="94" t="n">
        <f aca="false">SUM(O37:O38)</f>
        <v>500000</v>
      </c>
      <c r="P39" s="94" t="n">
        <f aca="false">SUM(P37:P38)</f>
        <v>-500000</v>
      </c>
      <c r="Q39" s="156" t="n">
        <f aca="false">O39+P39</f>
        <v>0</v>
      </c>
    </row>
    <row r="40" customFormat="false" ht="22.5" hidden="false" customHeight="true" outlineLevel="0" collapsed="false">
      <c r="B40" s="127" t="s">
        <v>120</v>
      </c>
      <c r="C40" s="130"/>
      <c r="D40" s="309"/>
      <c r="E40" s="310" t="n">
        <f aca="false">C40+D40</f>
        <v>0</v>
      </c>
      <c r="F40" s="130"/>
      <c r="G40" s="309"/>
      <c r="H40" s="310" t="n">
        <f aca="false">F40+G40</f>
        <v>0</v>
      </c>
      <c r="I40" s="130"/>
      <c r="J40" s="309"/>
      <c r="K40" s="310" t="n">
        <f aca="false">I40+J40</f>
        <v>0</v>
      </c>
      <c r="L40" s="130"/>
      <c r="M40" s="309"/>
      <c r="N40" s="310" t="n">
        <f aca="false">L40+M40</f>
        <v>0</v>
      </c>
      <c r="O40" s="130"/>
      <c r="P40" s="309"/>
      <c r="Q40" s="310" t="n">
        <f aca="false">O40+P40</f>
        <v>0</v>
      </c>
    </row>
    <row r="41" customFormat="false" ht="22.5" hidden="false" customHeight="true" outlineLevel="0" collapsed="false">
      <c r="B41" s="93" t="s">
        <v>121</v>
      </c>
      <c r="C41" s="94" t="n">
        <f aca="false">C39-C40</f>
        <v>500000</v>
      </c>
      <c r="D41" s="94" t="n">
        <f aca="false">D39-D40</f>
        <v>-500000</v>
      </c>
      <c r="E41" s="305" t="n">
        <f aca="false">C41+D41</f>
        <v>0</v>
      </c>
      <c r="F41" s="94" t="n">
        <f aca="false">F39-F40</f>
        <v>500000</v>
      </c>
      <c r="G41" s="94" t="n">
        <f aca="false">G39-G40</f>
        <v>-500000</v>
      </c>
      <c r="H41" s="305" t="n">
        <f aca="false">F41+G41</f>
        <v>0</v>
      </c>
      <c r="I41" s="94" t="n">
        <f aca="false">I39-I40</f>
        <v>500000</v>
      </c>
      <c r="J41" s="94" t="n">
        <f aca="false">J39-J40</f>
        <v>-500000</v>
      </c>
      <c r="K41" s="305" t="n">
        <f aca="false">I41+J41</f>
        <v>0</v>
      </c>
      <c r="L41" s="94" t="n">
        <f aca="false">L39-L40</f>
        <v>500000</v>
      </c>
      <c r="M41" s="94" t="n">
        <f aca="false">M39-M40</f>
        <v>-500000</v>
      </c>
      <c r="N41" s="305" t="n">
        <f aca="false">L41+M41</f>
        <v>0</v>
      </c>
      <c r="O41" s="94" t="n">
        <f aca="false">O39-O40</f>
        <v>500000</v>
      </c>
      <c r="P41" s="94" t="n">
        <f aca="false">P39-P40</f>
        <v>-500000</v>
      </c>
      <c r="Q41" s="305" t="n">
        <f aca="false">O41+P41</f>
        <v>0</v>
      </c>
    </row>
    <row r="42" customFormat="false" ht="18" hidden="false" customHeight="true" outlineLevel="0" collapsed="false">
      <c r="C42" s="43"/>
      <c r="D42" s="43"/>
      <c r="E42" s="43"/>
      <c r="F42" s="43"/>
      <c r="G42" s="43"/>
      <c r="H42" s="43"/>
      <c r="I42" s="43"/>
      <c r="J42" s="43"/>
      <c r="K42" s="43"/>
      <c r="L42" s="43"/>
      <c r="M42" s="43"/>
      <c r="N42" s="43"/>
      <c r="O42" s="43"/>
      <c r="P42" s="43"/>
      <c r="Q42" s="43"/>
    </row>
    <row r="43" customFormat="false" ht="18" hidden="false" customHeight="true" outlineLevel="0" collapsed="false">
      <c r="C43" s="43"/>
      <c r="D43" s="43"/>
      <c r="E43" s="43"/>
      <c r="F43" s="43"/>
      <c r="G43" s="43"/>
      <c r="H43" s="43"/>
      <c r="I43" s="43"/>
      <c r="J43" s="43"/>
      <c r="K43" s="43"/>
      <c r="L43" s="43"/>
      <c r="M43" s="43"/>
      <c r="N43" s="43"/>
      <c r="O43" s="43"/>
      <c r="P43" s="43"/>
      <c r="Q43" s="43"/>
    </row>
    <row r="44" customFormat="false" ht="18" hidden="false" customHeight="true" outlineLevel="0" collapsed="false">
      <c r="C44" s="43"/>
      <c r="D44" s="43"/>
      <c r="E44" s="43"/>
      <c r="F44" s="43"/>
      <c r="G44" s="43"/>
      <c r="H44" s="43"/>
      <c r="I44" s="43"/>
      <c r="J44" s="43"/>
      <c r="K44" s="43"/>
      <c r="L44" s="43"/>
      <c r="M44" s="43"/>
      <c r="N44" s="43"/>
      <c r="O44" s="43"/>
      <c r="P44" s="43"/>
      <c r="Q44" s="43"/>
    </row>
  </sheetData>
  <mergeCells count="6">
    <mergeCell ref="B3:B4"/>
    <mergeCell ref="C3:E3"/>
    <mergeCell ref="F3:H3"/>
    <mergeCell ref="I3:K3"/>
    <mergeCell ref="L3:N3"/>
    <mergeCell ref="O3:Q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2" min="2" style="20" width="4"/>
    <col collapsed="false" customWidth="true" hidden="false" outlineLevel="0" max="3" min="3" style="20" width="26"/>
    <col collapsed="false" customWidth="true" hidden="false" outlineLevel="0" max="6" min="4" style="20" width="12"/>
    <col collapsed="false" customWidth="true" hidden="false" outlineLevel="0" max="7" min="7" style="20" width="84"/>
  </cols>
  <sheetData>
    <row r="2" customFormat="false" ht="15" hidden="false" customHeight="true" outlineLevel="0" collapsed="false">
      <c r="B2" s="140" t="s">
        <v>277</v>
      </c>
      <c r="G2" s="142" t="s">
        <v>152</v>
      </c>
    </row>
    <row r="4" customFormat="false" ht="15" hidden="false" customHeight="true" outlineLevel="0" collapsed="false">
      <c r="B4" s="311" t="s">
        <v>227</v>
      </c>
      <c r="C4" s="312" t="s">
        <v>6</v>
      </c>
      <c r="D4" s="312" t="s">
        <v>74</v>
      </c>
      <c r="E4" s="312" t="s">
        <v>190</v>
      </c>
      <c r="F4" s="312" t="s">
        <v>191</v>
      </c>
      <c r="G4" s="312" t="s">
        <v>278</v>
      </c>
    </row>
    <row r="5" customFormat="false" ht="30" hidden="false" customHeight="true" outlineLevel="0" collapsed="false">
      <c r="B5" s="313" t="n">
        <v>1</v>
      </c>
      <c r="C5" s="314" t="s">
        <v>279</v>
      </c>
      <c r="D5" s="315" t="n">
        <f aca="false">'BS(借方)'!F8</f>
        <v>106017284</v>
      </c>
      <c r="E5" s="315" t="n">
        <v>-44000000</v>
      </c>
      <c r="F5" s="315" t="n">
        <f aca="false">D5+E5</f>
        <v>62017284</v>
      </c>
      <c r="G5" s="316" t="s">
        <v>280</v>
      </c>
    </row>
    <row r="6" customFormat="false" ht="30" hidden="false" customHeight="true" outlineLevel="0" collapsed="false">
      <c r="B6" s="313" t="n">
        <v>2</v>
      </c>
      <c r="C6" s="314" t="s">
        <v>45</v>
      </c>
      <c r="D6" s="315" t="n">
        <f aca="false">'BS(借方)'!F50</f>
        <v>1500004</v>
      </c>
      <c r="E6" s="315" t="n">
        <v>-1500004</v>
      </c>
      <c r="F6" s="315" t="n">
        <f aca="false">D6+E6</f>
        <v>0</v>
      </c>
      <c r="G6" s="317" t="s">
        <v>281</v>
      </c>
    </row>
    <row r="7" customFormat="false" ht="30" hidden="false" customHeight="true" outlineLevel="0" collapsed="false">
      <c r="B7" s="313" t="n">
        <v>3</v>
      </c>
      <c r="C7" s="314" t="s">
        <v>29</v>
      </c>
      <c r="D7" s="315" t="n">
        <f aca="false">'BS(借方)'!F14</f>
        <v>1650000</v>
      </c>
      <c r="E7" s="315" t="n">
        <v>-1650000</v>
      </c>
      <c r="F7" s="315" t="n">
        <f aca="false">D7+E7</f>
        <v>0</v>
      </c>
      <c r="G7" s="317" t="s">
        <v>185</v>
      </c>
    </row>
    <row r="8" customFormat="false" ht="30" hidden="false" customHeight="true" outlineLevel="0" collapsed="false">
      <c r="B8" s="313" t="n">
        <v>4</v>
      </c>
      <c r="C8" s="314" t="s">
        <v>22</v>
      </c>
      <c r="D8" s="315" t="n">
        <f aca="false">'BS(借方)'!F7</f>
        <v>27628072</v>
      </c>
      <c r="E8" s="315" t="n">
        <v>0</v>
      </c>
      <c r="F8" s="315" t="n">
        <f aca="false">D8+E8</f>
        <v>27628072</v>
      </c>
      <c r="G8" s="316" t="s">
        <v>282</v>
      </c>
    </row>
    <row r="9" customFormat="false" ht="30" hidden="false" customHeight="true" outlineLevel="0" collapsed="false">
      <c r="B9" s="313" t="n">
        <v>5</v>
      </c>
      <c r="C9" s="314" t="s">
        <v>283</v>
      </c>
      <c r="D9" s="315" t="n">
        <f aca="false">'BS(借方)'!F27</f>
        <v>2974400</v>
      </c>
      <c r="E9" s="315" t="n">
        <v>0</v>
      </c>
      <c r="F9" s="315" t="n">
        <f aca="false">D9+E9</f>
        <v>2974400</v>
      </c>
      <c r="G9" s="317" t="s">
        <v>284</v>
      </c>
    </row>
    <row r="10" customFormat="false" ht="30" hidden="false" customHeight="true" outlineLevel="0" collapsed="false">
      <c r="B10" s="313" t="n">
        <v>6</v>
      </c>
      <c r="C10" s="314" t="s">
        <v>285</v>
      </c>
      <c r="D10" s="315" t="n">
        <f aca="false">'BS(借方)'!F22+'BS(借方)'!F26</f>
        <v>50441845</v>
      </c>
      <c r="E10" s="315" t="n">
        <v>0</v>
      </c>
      <c r="F10" s="315" t="n">
        <f aca="false">D10+E10</f>
        <v>50441845</v>
      </c>
      <c r="G10" s="317" t="s">
        <v>286</v>
      </c>
    </row>
    <row r="11" customFormat="false" ht="30" hidden="false" customHeight="true" outlineLevel="0" collapsed="false">
      <c r="B11" s="313" t="n">
        <v>7</v>
      </c>
      <c r="C11" s="314" t="s">
        <v>36</v>
      </c>
      <c r="D11" s="315" t="n">
        <f aca="false">'BS(借方)'!F25</f>
        <v>1057574</v>
      </c>
      <c r="E11" s="315" t="n">
        <v>0</v>
      </c>
      <c r="F11" s="315" t="n">
        <f aca="false">D11+E11</f>
        <v>1057574</v>
      </c>
      <c r="G11" s="317" t="s">
        <v>287</v>
      </c>
    </row>
    <row r="12" customFormat="false" ht="30" hidden="false" customHeight="true" outlineLevel="0" collapsed="false">
      <c r="B12" s="313" t="n">
        <v>8</v>
      </c>
      <c r="C12" s="314" t="s">
        <v>44</v>
      </c>
      <c r="D12" s="315" t="n">
        <f aca="false">'BS(借方)'!F49</f>
        <v>27370600</v>
      </c>
      <c r="E12" s="315" t="n">
        <v>0</v>
      </c>
      <c r="F12" s="315" t="n">
        <f aca="false">D12+E12</f>
        <v>27370600</v>
      </c>
      <c r="G12" s="317" t="s">
        <v>288</v>
      </c>
    </row>
    <row r="13" customFormat="false" ht="30" hidden="false" customHeight="true" outlineLevel="0" collapsed="false">
      <c r="B13" s="313" t="n">
        <v>9</v>
      </c>
      <c r="C13" s="314" t="s">
        <v>43</v>
      </c>
      <c r="D13" s="315" t="n">
        <f aca="false">'BS(借方)'!F48</f>
        <v>1711860</v>
      </c>
      <c r="E13" s="315" t="n">
        <v>0</v>
      </c>
      <c r="F13" s="315" t="n">
        <f aca="false">D13+E13</f>
        <v>1711860</v>
      </c>
      <c r="G13" s="317" t="s">
        <v>289</v>
      </c>
    </row>
    <row r="14" customFormat="false" ht="30" hidden="false" customHeight="true" outlineLevel="0" collapsed="false">
      <c r="B14" s="313" t="n">
        <v>10</v>
      </c>
      <c r="C14" s="314" t="s">
        <v>55</v>
      </c>
      <c r="D14" s="315" t="n">
        <f aca="false">'BS (貸方)'!F9</f>
        <v>20113617</v>
      </c>
      <c r="E14" s="315" t="n">
        <v>0</v>
      </c>
      <c r="F14" s="315" t="n">
        <f aca="false">D14+E14</f>
        <v>20113617</v>
      </c>
      <c r="G14" s="317" t="s">
        <v>290</v>
      </c>
    </row>
    <row r="15" customFormat="false" ht="30" hidden="false" customHeight="true" outlineLevel="0" collapsed="false">
      <c r="B15" s="313" t="n">
        <v>11</v>
      </c>
      <c r="C15" s="314" t="s">
        <v>291</v>
      </c>
      <c r="D15" s="315" t="n">
        <v>0</v>
      </c>
      <c r="E15" s="315" t="n">
        <v>0</v>
      </c>
      <c r="F15" s="315" t="n">
        <f aca="false">D15+E15</f>
        <v>0</v>
      </c>
      <c r="G15" s="317" t="s">
        <v>292</v>
      </c>
    </row>
    <row r="16" customFormat="false" ht="30" hidden="false" customHeight="true" outlineLevel="0" collapsed="false">
      <c r="B16" s="313" t="n">
        <v>12</v>
      </c>
      <c r="C16" s="314" t="s">
        <v>293</v>
      </c>
      <c r="D16" s="315" t="n">
        <v>0</v>
      </c>
      <c r="E16" s="315" t="n">
        <v>0</v>
      </c>
      <c r="F16" s="315" t="n">
        <f aca="false">D16+E16</f>
        <v>0</v>
      </c>
      <c r="G16" s="317" t="s">
        <v>294</v>
      </c>
    </row>
    <row r="17" customFormat="false" ht="30" hidden="false" customHeight="true" outlineLevel="0" collapsed="false">
      <c r="B17" s="313" t="n">
        <v>13</v>
      </c>
      <c r="C17" s="314" t="s">
        <v>295</v>
      </c>
      <c r="D17" s="315" t="n">
        <v>0</v>
      </c>
      <c r="E17" s="315" t="n">
        <v>0</v>
      </c>
      <c r="F17" s="315" t="n">
        <f aca="false">D17+E17</f>
        <v>0</v>
      </c>
      <c r="G17" s="317" t="s">
        <v>296</v>
      </c>
    </row>
    <row r="18" customFormat="false" ht="30" hidden="false" customHeight="true" outlineLevel="0" collapsed="false">
      <c r="B18" s="313" t="n">
        <v>14</v>
      </c>
      <c r="C18" s="314" t="s">
        <v>256</v>
      </c>
      <c r="D18" s="315" t="n">
        <v>0</v>
      </c>
      <c r="E18" s="315" t="n">
        <v>0</v>
      </c>
      <c r="F18" s="315" t="n">
        <f aca="false">D18+E18</f>
        <v>0</v>
      </c>
      <c r="G18" s="317" t="s">
        <v>297</v>
      </c>
    </row>
    <row r="19" customFormat="false" ht="30" hidden="false" customHeight="true" outlineLevel="0" collapsed="false">
      <c r="B19" s="313" t="n">
        <v>15</v>
      </c>
      <c r="C19" s="314" t="s">
        <v>298</v>
      </c>
      <c r="D19" s="315" t="n">
        <v>0</v>
      </c>
      <c r="E19" s="315" t="n">
        <v>0</v>
      </c>
      <c r="F19" s="315" t="n">
        <f aca="false">D19+E19</f>
        <v>0</v>
      </c>
      <c r="G19" s="317" t="s">
        <v>299</v>
      </c>
    </row>
    <row r="20" customFormat="false" ht="15" hidden="false" customHeight="true" outlineLevel="0" collapsed="false">
      <c r="C20" s="144" t="s">
        <v>300</v>
      </c>
      <c r="E20" s="145" t="n">
        <f aca="false">SUM(E5:E19)</f>
        <v>-47150004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B2:M12"/>
  <sheetViews>
    <sheetView showFormulas="false" showGridLines="false" showRowColHeaders="true" showZeros="true" rightToLeft="false" tabSelected="false" showOutlineSymbols="true" defaultGridColor="true" view="normal" topLeftCell="C1" colorId="64" zoomScale="100" zoomScaleNormal="100" zoomScalePageLayoutView="100" workbookViewId="0">
      <selection pane="topLeft" activeCell="B6" activeCellId="0" sqref="B6"/>
    </sheetView>
  </sheetViews>
  <sheetFormatPr defaultColWidth="8.5390625" defaultRowHeight="18" zeroHeight="false" outlineLevelRow="0" outlineLevelCol="0"/>
  <cols>
    <col collapsed="false" customWidth="true" hidden="false" outlineLevel="0" max="3" min="2" style="20" width="18.63"/>
    <col collapsed="false" customWidth="true" hidden="false" outlineLevel="0" max="5" min="5" style="20" width="24.63"/>
    <col collapsed="false" customWidth="true" hidden="false" outlineLevel="0" max="8" min="6" style="20" width="18.63"/>
    <col collapsed="false" customWidth="true" hidden="false" outlineLevel="0" max="13" min="10" style="20" width="20.13"/>
  </cols>
  <sheetData>
    <row r="2" customFormat="false" ht="18.75" hidden="false" customHeight="true" outlineLevel="0" collapsed="false">
      <c r="C2" s="47" t="s">
        <v>49</v>
      </c>
      <c r="H2" s="47" t="s">
        <v>49</v>
      </c>
      <c r="M2" s="47" t="s">
        <v>49</v>
      </c>
    </row>
    <row r="3" customFormat="false" ht="21.75" hidden="false" customHeight="true" outlineLevel="0" collapsed="false">
      <c r="B3" s="262" t="s">
        <v>301</v>
      </c>
      <c r="C3" s="179" t="s">
        <v>248</v>
      </c>
      <c r="E3" s="61"/>
      <c r="F3" s="262" t="s">
        <v>302</v>
      </c>
      <c r="G3" s="262" t="s">
        <v>303</v>
      </c>
      <c r="H3" s="262" t="s">
        <v>301</v>
      </c>
      <c r="J3" s="61" t="s">
        <v>304</v>
      </c>
      <c r="K3" s="262" t="s">
        <v>305</v>
      </c>
      <c r="L3" s="262" t="s">
        <v>306</v>
      </c>
      <c r="M3" s="262" t="s">
        <v>307</v>
      </c>
    </row>
    <row r="4" s="318" customFormat="true" ht="31.5" hidden="false" customHeight="true" outlineLevel="0" collapsed="false">
      <c r="B4" s="181" t="s">
        <v>308</v>
      </c>
      <c r="C4" s="319" t="n">
        <f aca="false">'BS (貸方)'!F50</f>
        <v>-14056815</v>
      </c>
      <c r="E4" s="181" t="s">
        <v>309</v>
      </c>
      <c r="F4" s="319" t="n">
        <f aca="false">PLハイライト!D8</f>
        <v>2341140</v>
      </c>
      <c r="G4" s="319" t="n">
        <f aca="false">PLハイライト!E8</f>
        <v>3022100</v>
      </c>
      <c r="H4" s="319" t="n">
        <f aca="false">PLハイライト!F8</f>
        <v>-19551737</v>
      </c>
      <c r="J4" s="320" t="s">
        <v>310</v>
      </c>
      <c r="K4" s="321" t="n">
        <f aca="false">C7</f>
        <v>-61206819</v>
      </c>
      <c r="L4" s="321"/>
      <c r="M4" s="321"/>
    </row>
    <row r="5" s="318" customFormat="true" ht="31.5" hidden="false" customHeight="true" outlineLevel="0" collapsed="false">
      <c r="B5" s="150" t="s">
        <v>182</v>
      </c>
      <c r="C5" s="322" t="n">
        <f aca="false">'修正BS(貸方) '!D50</f>
        <v>-47150004</v>
      </c>
      <c r="E5" s="150" t="s">
        <v>182</v>
      </c>
      <c r="F5" s="322" t="n">
        <f aca="false">PLハイライト!D17</f>
        <v>8856000</v>
      </c>
      <c r="G5" s="322" t="n">
        <f aca="false">PLハイライト!E17</f>
        <v>20449000</v>
      </c>
      <c r="H5" s="322" t="n">
        <f aca="false">PLハイライト!F17</f>
        <v>19883868</v>
      </c>
      <c r="J5" s="164" t="s">
        <v>45</v>
      </c>
      <c r="K5" s="323" t="n">
        <f aca="false">H10*1</f>
        <v>6234903.51</v>
      </c>
      <c r="L5" s="324" t="n">
        <f aca="false">H10*2</f>
        <v>12469807.02</v>
      </c>
      <c r="M5" s="324" t="n">
        <f aca="false">H10*3</f>
        <v>18704710.53</v>
      </c>
    </row>
    <row r="6" s="318" customFormat="true" ht="31.5" hidden="false" customHeight="true" outlineLevel="0" collapsed="false">
      <c r="B6" s="150" t="s">
        <v>311</v>
      </c>
      <c r="C6" s="325" t="n">
        <v>0</v>
      </c>
      <c r="E6" s="326" t="s">
        <v>312</v>
      </c>
      <c r="F6" s="327" t="n">
        <f aca="false">SUM(F4:F5)</f>
        <v>11197140</v>
      </c>
      <c r="G6" s="327" t="n">
        <f aca="false">SUM(G4:G5)</f>
        <v>23471100</v>
      </c>
      <c r="H6" s="327" t="n">
        <f aca="false">SUM(H4:H5)</f>
        <v>332131</v>
      </c>
      <c r="J6" s="328" t="s">
        <v>313</v>
      </c>
      <c r="K6" s="329" t="n">
        <f aca="false">K4+K5</f>
        <v>-54971915.49</v>
      </c>
      <c r="L6" s="329" t="n">
        <f aca="false">K4+L5</f>
        <v>-48737011.98</v>
      </c>
      <c r="M6" s="330" t="n">
        <f aca="false">K4+M5</f>
        <v>-42502108.47</v>
      </c>
    </row>
    <row r="7" s="318" customFormat="true" ht="31.5" hidden="false" customHeight="true" outlineLevel="0" collapsed="false">
      <c r="B7" s="285" t="s">
        <v>310</v>
      </c>
      <c r="C7" s="286" t="n">
        <f aca="false">SUM(C4:C6)</f>
        <v>-61206819</v>
      </c>
      <c r="E7" s="150" t="s">
        <v>314</v>
      </c>
      <c r="F7" s="322" t="n">
        <f aca="false">-F6*0.34</f>
        <v>-3807027.6</v>
      </c>
      <c r="G7" s="322" t="n">
        <f aca="false">-G6*0.34</f>
        <v>-7980174</v>
      </c>
      <c r="H7" s="322" t="n">
        <f aca="false">-H6*0.34</f>
        <v>-112924.54</v>
      </c>
    </row>
    <row r="8" s="318" customFormat="true" ht="31.5" hidden="false" customHeight="true" outlineLevel="0" collapsed="false">
      <c r="E8" s="331" t="s">
        <v>315</v>
      </c>
      <c r="F8" s="332" t="n">
        <f aca="false">SUM(F6:F7)</f>
        <v>7390112.4</v>
      </c>
      <c r="G8" s="332" t="n">
        <f aca="false">SUM(G6:G7)</f>
        <v>15490926</v>
      </c>
      <c r="H8" s="332" t="n">
        <f aca="false">SUM(H6:H7)</f>
        <v>219206.46</v>
      </c>
    </row>
    <row r="9" s="318" customFormat="true" ht="15" hidden="false" customHeight="true" outlineLevel="0" collapsed="false"/>
    <row r="10" s="318" customFormat="true" ht="31.5" hidden="false" customHeight="true" outlineLevel="0" collapsed="false">
      <c r="G10" s="333" t="s">
        <v>316</v>
      </c>
      <c r="H10" s="286" t="n">
        <f aca="false">(H8*0.5+G8*0.3+F8*0.2)</f>
        <v>6234903.51</v>
      </c>
    </row>
    <row r="12" customFormat="false" ht="240.75" hidden="false" customHeight="true" outlineLevel="0" collapsed="false">
      <c r="B12" s="334" t="s">
        <v>317</v>
      </c>
    </row>
  </sheetData>
  <mergeCells count="1">
    <mergeCell ref="K4:M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B2:M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9" activeCellId="0" sqref="E9"/>
    </sheetView>
  </sheetViews>
  <sheetFormatPr defaultColWidth="8.5390625" defaultRowHeight="18" zeroHeight="false" outlineLevelRow="0" outlineLevelCol="0"/>
  <cols>
    <col collapsed="false" customWidth="true" hidden="false" outlineLevel="0" max="3" min="2" style="20" width="18.63"/>
    <col collapsed="false" customWidth="true" hidden="false" outlineLevel="0" max="5" min="5" style="20" width="24.63"/>
    <col collapsed="false" customWidth="true" hidden="false" outlineLevel="0" max="8" min="6" style="20" width="18.63"/>
    <col collapsed="false" customWidth="true" hidden="false" outlineLevel="0" max="10" min="10" style="20" width="26"/>
    <col collapsed="false" customWidth="true" hidden="false" outlineLevel="0" max="13" min="11" style="20" width="20.13"/>
  </cols>
  <sheetData>
    <row r="2" customFormat="false" ht="18.75" hidden="false" customHeight="true" outlineLevel="0" collapsed="false">
      <c r="C2" s="47" t="s">
        <v>49</v>
      </c>
      <c r="H2" s="47" t="s">
        <v>49</v>
      </c>
      <c r="M2" s="47" t="s">
        <v>49</v>
      </c>
    </row>
    <row r="3" customFormat="false" ht="21.75" hidden="false" customHeight="true" outlineLevel="0" collapsed="false">
      <c r="B3" s="262" t="s">
        <v>301</v>
      </c>
      <c r="C3" s="179" t="s">
        <v>248</v>
      </c>
      <c r="E3" s="61"/>
      <c r="F3" s="262" t="s">
        <v>302</v>
      </c>
      <c r="G3" s="262" t="s">
        <v>303</v>
      </c>
      <c r="H3" s="262" t="s">
        <v>301</v>
      </c>
      <c r="J3" s="61" t="s">
        <v>318</v>
      </c>
      <c r="K3" s="262" t="s">
        <v>307</v>
      </c>
      <c r="L3" s="262" t="s">
        <v>319</v>
      </c>
      <c r="M3" s="262" t="s">
        <v>320</v>
      </c>
    </row>
    <row r="4" s="318" customFormat="true" ht="31.5" hidden="false" customHeight="true" outlineLevel="0" collapsed="false">
      <c r="B4" s="335" t="s">
        <v>321</v>
      </c>
      <c r="C4" s="319" t="n">
        <f aca="false">ネットキャッシュ!C13</f>
        <v>10140492</v>
      </c>
      <c r="E4" s="181" t="s">
        <v>309</v>
      </c>
      <c r="F4" s="319" t="n">
        <f aca="false">PLハイライト!D8</f>
        <v>2341140</v>
      </c>
      <c r="G4" s="319" t="n">
        <f aca="false">PLハイライト!E8</f>
        <v>3022100</v>
      </c>
      <c r="H4" s="319" t="n">
        <f aca="false">PLハイライト!F8</f>
        <v>-19551737</v>
      </c>
      <c r="J4" s="336" t="s">
        <v>322</v>
      </c>
      <c r="K4" s="337" t="n">
        <f aca="false">H10*3</f>
        <v>48575970</v>
      </c>
      <c r="L4" s="338" t="n">
        <f aca="false">H10*4</f>
        <v>64767960</v>
      </c>
      <c r="M4" s="338" t="n">
        <f aca="false">H10*5</f>
        <v>80959950</v>
      </c>
    </row>
    <row r="5" s="318" customFormat="true" ht="31.5" hidden="false" customHeight="true" outlineLevel="0" collapsed="false">
      <c r="B5" s="339" t="s">
        <v>323</v>
      </c>
      <c r="C5" s="322" t="n">
        <f aca="false">ネットキャッシュ!F13</f>
        <v>199666270</v>
      </c>
      <c r="E5" s="150" t="s">
        <v>182</v>
      </c>
      <c r="F5" s="322" t="n">
        <f aca="false">PLハイライト!D17</f>
        <v>8856000</v>
      </c>
      <c r="G5" s="322" t="n">
        <f aca="false">PLハイライト!E17</f>
        <v>20449000</v>
      </c>
      <c r="H5" s="322" t="n">
        <f aca="false">PLハイライト!F17</f>
        <v>19883868</v>
      </c>
      <c r="J5" s="154" t="s">
        <v>324</v>
      </c>
      <c r="K5" s="337" t="n">
        <v>0</v>
      </c>
      <c r="L5" s="337" t="n">
        <v>0</v>
      </c>
      <c r="M5" s="337" t="n">
        <v>0</v>
      </c>
    </row>
    <row r="6" s="318" customFormat="true" ht="31.5" hidden="false" customHeight="true" outlineLevel="0" collapsed="false">
      <c r="B6" s="285" t="s">
        <v>325</v>
      </c>
      <c r="C6" s="286" t="n">
        <f aca="false">C4-C5</f>
        <v>-189525778</v>
      </c>
      <c r="E6" s="326" t="s">
        <v>312</v>
      </c>
      <c r="F6" s="327" t="n">
        <f aca="false">SUM(F4:F5)</f>
        <v>11197140</v>
      </c>
      <c r="G6" s="327" t="n">
        <f aca="false">SUM(G4:G5)</f>
        <v>23471100</v>
      </c>
      <c r="H6" s="327" t="n">
        <f aca="false">SUM(H4:H5)</f>
        <v>332131</v>
      </c>
      <c r="J6" s="164" t="str">
        <f aca="false">B6</f>
        <v>ネットキャッシュ</v>
      </c>
      <c r="K6" s="340" t="n">
        <f aca="false">C6</f>
        <v>-189525778</v>
      </c>
      <c r="L6" s="340"/>
      <c r="M6" s="340"/>
    </row>
    <row r="7" s="318" customFormat="true" ht="31.5" hidden="false" customHeight="true" outlineLevel="0" collapsed="false">
      <c r="E7" s="150" t="s">
        <v>132</v>
      </c>
      <c r="F7" s="322" t="n">
        <f aca="false">PLハイライト!D15</f>
        <v>3911003</v>
      </c>
      <c r="G7" s="322" t="n">
        <f aca="false">PLハイライト!E15</f>
        <v>9294598</v>
      </c>
      <c r="H7" s="322" t="n">
        <f aca="false">PLハイライト!F15</f>
        <v>6349173</v>
      </c>
      <c r="J7" s="328" t="s">
        <v>313</v>
      </c>
      <c r="K7" s="329" t="n">
        <f aca="false">SUM(K4:K6)</f>
        <v>-140949808</v>
      </c>
      <c r="L7" s="329" t="n">
        <f aca="false">SUM(L4:L5)+K6</f>
        <v>-124757818</v>
      </c>
      <c r="M7" s="330" t="n">
        <f aca="false">SUM(M4:M5)+K6</f>
        <v>-108565828</v>
      </c>
    </row>
    <row r="8" s="318" customFormat="true" ht="31.5" hidden="false" customHeight="true" outlineLevel="0" collapsed="false">
      <c r="E8" s="341" t="s">
        <v>326</v>
      </c>
      <c r="F8" s="332" t="n">
        <f aca="false">SUM(F6:F7)</f>
        <v>15108143</v>
      </c>
      <c r="G8" s="332" t="n">
        <f aca="false">SUM(G6:G7)</f>
        <v>32765698</v>
      </c>
      <c r="H8" s="332" t="n">
        <f aca="false">SUM(H6:H7)</f>
        <v>6681304</v>
      </c>
    </row>
    <row r="9" s="318" customFormat="true" ht="15" hidden="false" customHeight="true" outlineLevel="0" collapsed="false"/>
    <row r="10" s="318" customFormat="true" ht="31.5" hidden="false" customHeight="true" outlineLevel="0" collapsed="false">
      <c r="G10" s="333" t="s">
        <v>327</v>
      </c>
      <c r="H10" s="286" t="n">
        <f aca="false">(H8*0.5+G8*0.3+F8*0.2)</f>
        <v>16191990</v>
      </c>
    </row>
    <row r="12" customFormat="false" ht="168" hidden="false" customHeight="true" outlineLevel="0" collapsed="false">
      <c r="B12" s="334" t="s">
        <v>328</v>
      </c>
    </row>
  </sheetData>
  <mergeCells count="1">
    <mergeCell ref="K6:M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B2:E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12" activeCellId="0" sqref="E12"/>
    </sheetView>
  </sheetViews>
  <sheetFormatPr defaultColWidth="8.5390625" defaultRowHeight="18" zeroHeight="false" outlineLevelRow="0" outlineLevelCol="0"/>
  <cols>
    <col collapsed="false" customWidth="true" hidden="false" outlineLevel="0" max="2" min="2" style="20" width="36.63"/>
    <col collapsed="false" customWidth="true" hidden="false" outlineLevel="0" max="3" min="3" style="20" width="18.63"/>
    <col collapsed="false" customWidth="true" hidden="false" outlineLevel="0" max="4" min="4" style="20" width="55.13"/>
    <col collapsed="false" customWidth="true" hidden="false" outlineLevel="0" max="5" min="5" style="20" width="18.63"/>
  </cols>
  <sheetData>
    <row r="2" customFormat="false" ht="18.75" hidden="false" customHeight="true" outlineLevel="0" collapsed="false">
      <c r="E2" s="47" t="s">
        <v>49</v>
      </c>
    </row>
    <row r="3" customFormat="false" ht="21.75" hidden="false" customHeight="true" outlineLevel="0" collapsed="false">
      <c r="B3" s="61" t="s">
        <v>329</v>
      </c>
      <c r="C3" s="217" t="s">
        <v>330</v>
      </c>
      <c r="D3" s="217" t="s">
        <v>331</v>
      </c>
      <c r="E3" s="342" t="s">
        <v>332</v>
      </c>
    </row>
    <row r="4" customFormat="false" ht="31.5" hidden="false" customHeight="true" outlineLevel="0" collapsed="false">
      <c r="B4" s="205" t="s">
        <v>333</v>
      </c>
      <c r="C4" s="343"/>
      <c r="D4" s="343"/>
      <c r="E4" s="344"/>
    </row>
    <row r="5" customFormat="false" ht="31.5" hidden="false" customHeight="true" outlineLevel="0" collapsed="false">
      <c r="B5" s="154"/>
      <c r="C5" s="345"/>
      <c r="D5" s="345"/>
      <c r="E5" s="346"/>
    </row>
    <row r="6" customFormat="false" ht="31.5" hidden="false" customHeight="true" outlineLevel="0" collapsed="false">
      <c r="B6" s="154"/>
      <c r="C6" s="345"/>
      <c r="D6" s="345"/>
      <c r="E6" s="346"/>
    </row>
    <row r="7" customFormat="false" ht="31.5" hidden="false" customHeight="true" outlineLevel="0" collapsed="false">
      <c r="B7" s="154"/>
      <c r="C7" s="345"/>
      <c r="D7" s="345"/>
      <c r="E7" s="346"/>
    </row>
    <row r="8" customFormat="false" ht="31.5" hidden="false" customHeight="true" outlineLevel="0" collapsed="false">
      <c r="B8" s="154"/>
      <c r="C8" s="345"/>
      <c r="D8" s="345"/>
      <c r="E8" s="346"/>
    </row>
    <row r="9" customFormat="false" ht="31.5" hidden="false" customHeight="true" outlineLevel="0" collapsed="false">
      <c r="B9" s="154"/>
      <c r="C9" s="345"/>
      <c r="D9" s="345"/>
      <c r="E9" s="346"/>
    </row>
    <row r="10" customFormat="false" ht="31.5" hidden="false" customHeight="true" outlineLevel="0" collapsed="false">
      <c r="B10" s="154"/>
      <c r="C10" s="345"/>
      <c r="D10" s="345"/>
      <c r="E10" s="346"/>
    </row>
    <row r="11" customFormat="false" ht="31.5" hidden="false" customHeight="true" outlineLevel="0" collapsed="false">
      <c r="B11" s="154"/>
      <c r="C11" s="345"/>
      <c r="D11" s="345"/>
      <c r="E11" s="346"/>
    </row>
    <row r="12" customFormat="false" ht="31.5" hidden="false" customHeight="true" outlineLevel="0" collapsed="false">
      <c r="B12" s="154"/>
      <c r="C12" s="345"/>
      <c r="D12" s="345"/>
      <c r="E12" s="346"/>
    </row>
    <row r="13" customFormat="false" ht="31.5" hidden="false" customHeight="true" outlineLevel="0" collapsed="false">
      <c r="B13" s="164"/>
      <c r="C13" s="347"/>
      <c r="D13" s="347"/>
      <c r="E13" s="348"/>
    </row>
    <row r="14" customFormat="false" ht="31.5" hidden="false" customHeight="true" outlineLevel="0" collapsed="false">
      <c r="B14" s="349"/>
      <c r="C14" s="349"/>
      <c r="D14" s="350"/>
      <c r="E14" s="351"/>
    </row>
    <row r="15" customFormat="false" ht="31.5" hidden="false" customHeight="true" outlineLevel="0" collapsed="false">
      <c r="B15" s="352"/>
      <c r="C15" s="352"/>
      <c r="D15" s="353"/>
      <c r="E15" s="354"/>
    </row>
    <row r="16" customFormat="false" ht="31.5" hidden="false" customHeight="true" outlineLevel="0" collapsed="false"/>
    <row r="17" customFormat="false" ht="31.5" hidden="false" customHeight="true" outlineLevel="0" collapsed="false"/>
    <row r="18" customFormat="false" ht="15" hidden="false" customHeight="true" outlineLevel="0" collapsed="false"/>
    <row r="19" customFormat="false" ht="31.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44464"/>
    <pageSetUpPr fitToPage="false"/>
  </sheetPr>
  <dimension ref="A1"/>
  <sheetViews>
    <sheetView showFormulas="false" showGridLines="false" showRowColHeaders="true" showZeros="true" rightToLeft="false" tabSelected="false" showOutlineSymbols="true" defaultGridColor="true" view="normal" topLeftCell="M1" colorId="64" zoomScale="100" zoomScaleNormal="100" zoomScalePageLayoutView="100" workbookViewId="0">
      <selection pane="topLeft" activeCell="C22" activeCellId="0" sqref="C22"/>
    </sheetView>
  </sheetViews>
  <sheetFormatPr defaultColWidth="8.5390625" defaultRowHeight="18"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8.87890625" defaultRowHeight="18.75" zeroHeight="false" outlineLevelRow="0" outlineLevelCol="0"/>
  <cols>
    <col collapsed="false" customWidth="false" hidden="false" outlineLevel="0" max="1" min="1" style="355" width="8.88"/>
    <col collapsed="false" customWidth="true" hidden="false" outlineLevel="0" max="2" min="2" style="355" width="17.13"/>
    <col collapsed="false" customWidth="true" hidden="false" outlineLevel="0" max="3" min="3" style="355" width="58.63"/>
    <col collapsed="false" customWidth="false" hidden="false" outlineLevel="0" max="16384" min="4" style="355" width="8.88"/>
  </cols>
  <sheetData>
    <row r="2" customFormat="false" ht="19.5" hidden="false" customHeight="true" outlineLevel="0" collapsed="false">
      <c r="B2" s="61" t="s">
        <v>334</v>
      </c>
      <c r="C2" s="179" t="s">
        <v>335</v>
      </c>
    </row>
    <row r="3" customFormat="false" ht="22.5" hidden="false" customHeight="true" outlineLevel="0" collapsed="false">
      <c r="B3" s="320" t="s">
        <v>336</v>
      </c>
      <c r="C3" s="356" t="s">
        <v>337</v>
      </c>
    </row>
    <row r="4" customFormat="false" ht="22.5" hidden="false" customHeight="true" outlineLevel="0" collapsed="false">
      <c r="B4" s="150" t="s">
        <v>338</v>
      </c>
      <c r="C4" s="357" t="s">
        <v>339</v>
      </c>
    </row>
    <row r="5" customFormat="false" ht="57" hidden="false" customHeight="true" outlineLevel="0" collapsed="false">
      <c r="B5" s="150" t="s">
        <v>340</v>
      </c>
      <c r="C5" s="357" t="s">
        <v>341</v>
      </c>
    </row>
    <row r="6" customFormat="false" ht="22.5" hidden="false" customHeight="true" outlineLevel="0" collapsed="false">
      <c r="B6" s="150" t="s">
        <v>342</v>
      </c>
      <c r="C6" s="358" t="s">
        <v>343</v>
      </c>
    </row>
    <row r="7" customFormat="false" ht="22.5" hidden="false" customHeight="true" outlineLevel="0" collapsed="false">
      <c r="B7" s="150" t="s">
        <v>67</v>
      </c>
      <c r="C7" s="358" t="s">
        <v>344</v>
      </c>
    </row>
    <row r="8" customFormat="false" ht="22.5" hidden="false" customHeight="true" outlineLevel="0" collapsed="false">
      <c r="B8" s="150" t="s">
        <v>345</v>
      </c>
      <c r="C8" s="357" t="s">
        <v>346</v>
      </c>
    </row>
    <row r="9" customFormat="false" ht="39" hidden="false" customHeight="true" outlineLevel="0" collapsed="false">
      <c r="B9" s="150" t="s">
        <v>347</v>
      </c>
      <c r="C9" s="357" t="s">
        <v>348</v>
      </c>
    </row>
    <row r="10" customFormat="false" ht="22.5" hidden="false" customHeight="true" outlineLevel="0" collapsed="false">
      <c r="B10" s="150" t="s">
        <v>331</v>
      </c>
      <c r="C10" s="357" t="s">
        <v>349</v>
      </c>
    </row>
    <row r="11" customFormat="false" ht="22.5" hidden="false" customHeight="true" outlineLevel="0" collapsed="false">
      <c r="B11" s="150" t="s">
        <v>350</v>
      </c>
      <c r="C11" s="358" t="s">
        <v>351</v>
      </c>
    </row>
    <row r="12" customFormat="false" ht="22.5" hidden="false" customHeight="true" outlineLevel="0" collapsed="false">
      <c r="B12" s="150" t="s">
        <v>352</v>
      </c>
      <c r="C12" s="357" t="s">
        <v>353</v>
      </c>
    </row>
    <row r="13" customFormat="false" ht="22.5" hidden="false" customHeight="true" outlineLevel="0" collapsed="false">
      <c r="B13" s="150" t="s">
        <v>79</v>
      </c>
      <c r="C13" s="358" t="s">
        <v>354</v>
      </c>
    </row>
    <row r="14" customFormat="false" ht="22.5" hidden="false" customHeight="true" outlineLevel="0" collapsed="false">
      <c r="B14" s="150" t="s">
        <v>355</v>
      </c>
      <c r="C14" s="358" t="s">
        <v>356</v>
      </c>
    </row>
    <row r="15" customFormat="false" ht="22.5" hidden="false" customHeight="true" outlineLevel="0" collapsed="false">
      <c r="B15" s="150" t="s">
        <v>357</v>
      </c>
      <c r="C15" s="357" t="s">
        <v>358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2" min="2" style="20" width="26"/>
    <col collapsed="false" customWidth="true" hidden="false" outlineLevel="0" max="9" min="3" style="20" width="12"/>
    <col collapsed="false" customWidth="true" hidden="false" outlineLevel="0" max="10" min="10" style="20" width="13"/>
    <col collapsed="false" customWidth="true" hidden="false" outlineLevel="0" max="11" min="11" style="20" width="11"/>
    <col collapsed="false" customWidth="true" hidden="false" outlineLevel="0" max="12" min="12" style="20" width="4"/>
  </cols>
  <sheetData>
    <row r="2" customFormat="false" ht="15" hidden="false" customHeight="true" outlineLevel="0" collapsed="false">
      <c r="B2" s="140" t="s">
        <v>359</v>
      </c>
      <c r="L2" s="359" t="s">
        <v>152</v>
      </c>
    </row>
    <row r="4" customFormat="false" ht="15" hidden="false" customHeight="true" outlineLevel="0" collapsed="false">
      <c r="B4" s="360" t="s">
        <v>6</v>
      </c>
      <c r="C4" s="361" t="s">
        <v>360</v>
      </c>
      <c r="D4" s="361" t="s">
        <v>361</v>
      </c>
      <c r="E4" s="361" t="s">
        <v>362</v>
      </c>
      <c r="F4" s="361" t="s">
        <v>363</v>
      </c>
      <c r="G4" s="361" t="s">
        <v>364</v>
      </c>
      <c r="H4" s="361" t="s">
        <v>365</v>
      </c>
      <c r="I4" s="361" t="s">
        <v>366</v>
      </c>
      <c r="J4" s="361" t="s">
        <v>367</v>
      </c>
      <c r="K4" s="360" t="s">
        <v>368</v>
      </c>
    </row>
    <row r="5" customFormat="false" ht="15" hidden="false" customHeight="true" outlineLevel="0" collapsed="false">
      <c r="B5" s="362" t="s">
        <v>76</v>
      </c>
      <c r="C5" s="363" t="n">
        <v>22574606</v>
      </c>
      <c r="D5" s="363" t="n">
        <v>33442487</v>
      </c>
      <c r="E5" s="363" t="n">
        <v>22793128</v>
      </c>
      <c r="F5" s="363" t="n">
        <v>19019717</v>
      </c>
      <c r="G5" s="363" t="n">
        <v>28992317</v>
      </c>
      <c r="H5" s="363" t="n">
        <v>21084603</v>
      </c>
      <c r="I5" s="363" t="n">
        <v>17210136</v>
      </c>
      <c r="J5" s="363" t="n">
        <v>165116994</v>
      </c>
      <c r="K5" s="364" t="n">
        <v>0.766</v>
      </c>
    </row>
    <row r="6" customFormat="false" ht="15" hidden="false" customHeight="true" outlineLevel="0" collapsed="false">
      <c r="B6" s="362" t="s">
        <v>77</v>
      </c>
      <c r="C6" s="363" t="n">
        <v>4714428</v>
      </c>
      <c r="D6" s="363" t="n">
        <v>3832414</v>
      </c>
      <c r="E6" s="363" t="n">
        <v>4170949</v>
      </c>
      <c r="F6" s="363" t="n">
        <v>6225018</v>
      </c>
      <c r="G6" s="363" t="n">
        <v>4479559</v>
      </c>
      <c r="H6" s="363" t="n">
        <v>4229109</v>
      </c>
      <c r="I6" s="363" t="n">
        <v>5140210</v>
      </c>
      <c r="J6" s="363" t="n">
        <v>32791687</v>
      </c>
      <c r="K6" s="364" t="n">
        <v>1.064</v>
      </c>
    </row>
    <row r="7" customFormat="false" ht="15" hidden="false" customHeight="true" outlineLevel="0" collapsed="false">
      <c r="B7" s="362" t="s">
        <v>78</v>
      </c>
      <c r="C7" s="363" t="n">
        <v>14287821</v>
      </c>
      <c r="D7" s="363" t="n">
        <v>13883151</v>
      </c>
      <c r="E7" s="363" t="n">
        <v>10195384</v>
      </c>
      <c r="F7" s="363" t="n">
        <v>10657750</v>
      </c>
      <c r="G7" s="363" t="n">
        <v>11250432</v>
      </c>
      <c r="H7" s="363" t="n">
        <v>11822698</v>
      </c>
      <c r="I7" s="363" t="n">
        <v>9147526</v>
      </c>
      <c r="J7" s="363" t="n">
        <v>81244762</v>
      </c>
      <c r="K7" s="364" t="n">
        <v>0.823</v>
      </c>
    </row>
    <row r="8" customFormat="false" ht="15" hidden="false" customHeight="true" outlineLevel="0" collapsed="false">
      <c r="B8" s="365" t="s">
        <v>79</v>
      </c>
      <c r="C8" s="366" t="n">
        <v>41576855</v>
      </c>
      <c r="D8" s="366" t="n">
        <v>51158052</v>
      </c>
      <c r="E8" s="366" t="n">
        <v>37159461</v>
      </c>
      <c r="F8" s="366" t="n">
        <v>35902485</v>
      </c>
      <c r="G8" s="366" t="n">
        <v>44722308</v>
      </c>
      <c r="H8" s="366" t="n">
        <v>37136410</v>
      </c>
      <c r="I8" s="366" t="n">
        <v>31497872</v>
      </c>
      <c r="J8" s="366" t="n">
        <v>279153443</v>
      </c>
      <c r="K8" s="367" t="n">
        <v>0.809</v>
      </c>
    </row>
    <row r="9" customFormat="false" ht="15" hidden="false" customHeight="true" outlineLevel="0" collapsed="false">
      <c r="B9" s="362" t="s">
        <v>85</v>
      </c>
      <c r="C9" s="363" t="n">
        <v>17900039</v>
      </c>
      <c r="D9" s="363" t="n">
        <v>14911696</v>
      </c>
      <c r="E9" s="363" t="n">
        <v>11806779</v>
      </c>
      <c r="F9" s="363" t="n">
        <v>12608688</v>
      </c>
      <c r="G9" s="363" t="n">
        <v>18701224</v>
      </c>
      <c r="H9" s="363" t="n">
        <v>13950512</v>
      </c>
      <c r="I9" s="363" t="n">
        <v>14883308</v>
      </c>
      <c r="J9" s="363" t="n">
        <v>104762246</v>
      </c>
      <c r="K9" s="364" t="n">
        <v>0.776</v>
      </c>
    </row>
    <row r="10" customFormat="false" ht="15" hidden="false" customHeight="true" outlineLevel="0" collapsed="false">
      <c r="B10" s="365" t="s">
        <v>86</v>
      </c>
      <c r="C10" s="366" t="n">
        <v>23676816</v>
      </c>
      <c r="D10" s="366" t="n">
        <v>36246356</v>
      </c>
      <c r="E10" s="366" t="n">
        <v>25352682</v>
      </c>
      <c r="F10" s="366" t="n">
        <v>23293797</v>
      </c>
      <c r="G10" s="366" t="n">
        <v>26021084</v>
      </c>
      <c r="H10" s="366" t="n">
        <v>23185898</v>
      </c>
      <c r="I10" s="366" t="n">
        <v>16614564</v>
      </c>
      <c r="J10" s="366" t="n">
        <v>174391197</v>
      </c>
      <c r="K10" s="367" t="n">
        <v>0.83</v>
      </c>
    </row>
    <row r="11" customFormat="false" ht="15" hidden="false" customHeight="true" outlineLevel="0" collapsed="false">
      <c r="B11" s="365" t="s">
        <v>87</v>
      </c>
      <c r="C11" s="366" t="n">
        <v>25194150</v>
      </c>
      <c r="D11" s="366" t="n">
        <v>22839389</v>
      </c>
      <c r="E11" s="366" t="n">
        <v>24295519</v>
      </c>
      <c r="F11" s="366" t="n">
        <v>21910128</v>
      </c>
      <c r="G11" s="366" t="n">
        <v>23403974</v>
      </c>
      <c r="H11" s="366" t="n">
        <v>28337808</v>
      </c>
      <c r="I11" s="366" t="n">
        <v>21773380</v>
      </c>
      <c r="J11" s="366" t="n">
        <v>167754348</v>
      </c>
      <c r="K11" s="367" t="n">
        <v>0.854</v>
      </c>
    </row>
    <row r="12" customFormat="false" ht="15" hidden="false" customHeight="true" outlineLevel="0" collapsed="false">
      <c r="B12" s="362" t="s">
        <v>369</v>
      </c>
      <c r="C12" s="363" t="n">
        <v>10067885</v>
      </c>
      <c r="D12" s="363" t="n">
        <v>9790228</v>
      </c>
      <c r="E12" s="363" t="n">
        <v>8675740</v>
      </c>
      <c r="F12" s="363" t="n">
        <v>8542407</v>
      </c>
      <c r="G12" s="363" t="n">
        <v>9024380</v>
      </c>
      <c r="H12" s="363" t="n">
        <v>9411319</v>
      </c>
      <c r="I12" s="363" t="n">
        <v>8667767</v>
      </c>
      <c r="J12" s="363" t="n">
        <v>64179726</v>
      </c>
      <c r="K12" s="364" t="n">
        <v>0.852</v>
      </c>
    </row>
    <row r="13" customFormat="false" ht="15" hidden="false" customHeight="true" outlineLevel="0" collapsed="false">
      <c r="B13" s="362" t="s">
        <v>370</v>
      </c>
      <c r="C13" s="363" t="n">
        <v>900000</v>
      </c>
      <c r="D13" s="363" t="n">
        <v>900000</v>
      </c>
      <c r="E13" s="363" t="n">
        <v>900000</v>
      </c>
      <c r="F13" s="363" t="n">
        <v>900000</v>
      </c>
      <c r="G13" s="363" t="n">
        <v>900000</v>
      </c>
      <c r="H13" s="363" t="n">
        <v>900000</v>
      </c>
      <c r="I13" s="363" t="n">
        <v>900000</v>
      </c>
      <c r="J13" s="363" t="n">
        <v>6300000</v>
      </c>
      <c r="K13" s="364" t="n">
        <v>0.75</v>
      </c>
    </row>
    <row r="14" customFormat="false" ht="15" hidden="false" customHeight="true" outlineLevel="0" collapsed="false">
      <c r="B14" s="362" t="s">
        <v>371</v>
      </c>
      <c r="C14" s="363" t="n">
        <v>-2239979</v>
      </c>
      <c r="D14" s="363" t="n">
        <v>-1018412</v>
      </c>
      <c r="E14" s="363" t="n">
        <v>1800348</v>
      </c>
      <c r="F14" s="363" t="n">
        <v>898788</v>
      </c>
      <c r="G14" s="363" t="n">
        <v>1564034</v>
      </c>
      <c r="H14" s="363" t="n">
        <v>925093</v>
      </c>
      <c r="I14" s="363" t="n">
        <v>849044</v>
      </c>
      <c r="J14" s="363" t="n">
        <v>2778916</v>
      </c>
      <c r="K14" s="364" t="n">
        <v>0.842</v>
      </c>
    </row>
    <row r="15" customFormat="false" ht="15" hidden="false" customHeight="true" outlineLevel="0" collapsed="false">
      <c r="B15" s="362" t="s">
        <v>372</v>
      </c>
      <c r="C15" s="363" t="n">
        <v>5535073</v>
      </c>
      <c r="D15" s="363" t="n">
        <v>1650296</v>
      </c>
      <c r="E15" s="363" t="n">
        <v>1652013</v>
      </c>
      <c r="F15" s="363" t="n">
        <v>1542200</v>
      </c>
      <c r="G15" s="363" t="n">
        <v>1639660</v>
      </c>
      <c r="H15" s="363" t="n">
        <v>1645766</v>
      </c>
      <c r="I15" s="363" t="n">
        <v>1498200</v>
      </c>
      <c r="J15" s="363" t="n">
        <v>15163208</v>
      </c>
      <c r="K15" s="364" t="n">
        <v>0.757</v>
      </c>
    </row>
    <row r="16" customFormat="false" ht="15" hidden="false" customHeight="true" outlineLevel="0" collapsed="false">
      <c r="B16" s="362" t="s">
        <v>373</v>
      </c>
      <c r="C16" s="363" t="n">
        <v>2404710</v>
      </c>
      <c r="D16" s="363" t="n">
        <v>2515078</v>
      </c>
      <c r="E16" s="363" t="n">
        <v>1953088</v>
      </c>
      <c r="F16" s="363" t="n">
        <v>1561732</v>
      </c>
      <c r="G16" s="363" t="n">
        <v>2085840</v>
      </c>
      <c r="H16" s="363" t="n">
        <v>1964492</v>
      </c>
      <c r="I16" s="363" t="n">
        <v>1708071</v>
      </c>
      <c r="J16" s="363" t="n">
        <v>14193011</v>
      </c>
      <c r="K16" s="364" t="n">
        <v>0.77</v>
      </c>
    </row>
    <row r="17" customFormat="false" ht="15" hidden="false" customHeight="true" outlineLevel="0" collapsed="false">
      <c r="B17" s="362" t="s">
        <v>374</v>
      </c>
      <c r="C17" s="363" t="n">
        <v>3929660</v>
      </c>
      <c r="D17" s="363" t="n">
        <v>2859788</v>
      </c>
      <c r="E17" s="363" t="n">
        <v>2731198</v>
      </c>
      <c r="F17" s="363" t="n">
        <v>2774879</v>
      </c>
      <c r="G17" s="363" t="n">
        <v>2621325</v>
      </c>
      <c r="H17" s="363" t="n">
        <v>2516570</v>
      </c>
      <c r="I17" s="363" t="n">
        <v>2445709</v>
      </c>
      <c r="J17" s="363" t="n">
        <v>19879129</v>
      </c>
      <c r="K17" s="364" t="n">
        <v>0.938</v>
      </c>
    </row>
    <row r="18" customFormat="false" ht="15" hidden="false" customHeight="true" outlineLevel="0" collapsed="false">
      <c r="B18" s="362" t="s">
        <v>375</v>
      </c>
      <c r="C18" s="363" t="n">
        <v>37580</v>
      </c>
      <c r="D18" s="363" t="n">
        <v>145355</v>
      </c>
      <c r="E18" s="363" t="n">
        <v>38322</v>
      </c>
      <c r="F18" s="363" t="n">
        <v>12621</v>
      </c>
      <c r="G18" s="363" t="n">
        <v>67400</v>
      </c>
      <c r="H18" s="363" t="n">
        <v>4968900</v>
      </c>
      <c r="I18" s="363" t="n">
        <v>10900</v>
      </c>
      <c r="J18" s="363" t="n">
        <v>5281078</v>
      </c>
      <c r="K18" s="364" t="n">
        <v>1.769</v>
      </c>
    </row>
    <row r="19" customFormat="false" ht="15" hidden="false" customHeight="true" outlineLevel="0" collapsed="false">
      <c r="B19" s="365" t="s">
        <v>88</v>
      </c>
      <c r="C19" s="366" t="n">
        <v>-1517334</v>
      </c>
      <c r="D19" s="366" t="n">
        <v>13406967</v>
      </c>
      <c r="E19" s="366" t="n">
        <v>1057163</v>
      </c>
      <c r="F19" s="366" t="n">
        <v>1383669</v>
      </c>
      <c r="G19" s="366" t="n">
        <v>2617110</v>
      </c>
      <c r="H19" s="366" t="n">
        <v>-5151910</v>
      </c>
      <c r="I19" s="366" t="n">
        <v>-5158816</v>
      </c>
      <c r="J19" s="366" t="n">
        <v>6636849</v>
      </c>
      <c r="K19" s="367" t="n">
        <v>0.482</v>
      </c>
    </row>
    <row r="20" customFormat="false" ht="15" hidden="false" customHeight="true" outlineLevel="0" collapsed="false">
      <c r="B20" s="365" t="s">
        <v>96</v>
      </c>
      <c r="C20" s="366" t="n">
        <v>-1740228</v>
      </c>
      <c r="D20" s="366" t="n">
        <v>13600028</v>
      </c>
      <c r="E20" s="366" t="n">
        <v>844037</v>
      </c>
      <c r="F20" s="366" t="n">
        <v>1090302</v>
      </c>
      <c r="G20" s="366" t="n">
        <v>2408982</v>
      </c>
      <c r="H20" s="366" t="n">
        <v>-5309341</v>
      </c>
      <c r="I20" s="366" t="n">
        <v>-5079634</v>
      </c>
      <c r="J20" s="366" t="n">
        <v>5814146</v>
      </c>
      <c r="K20" s="367" t="n">
        <v>0.456</v>
      </c>
    </row>
    <row r="21" customFormat="false" ht="15" hidden="false" customHeight="true" outlineLevel="0" collapsed="false">
      <c r="B21" s="362" t="s">
        <v>376</v>
      </c>
      <c r="C21" s="363"/>
      <c r="D21" s="363"/>
      <c r="E21" s="363"/>
      <c r="F21" s="363" t="n">
        <v>44000000</v>
      </c>
      <c r="G21" s="363"/>
      <c r="H21" s="363"/>
      <c r="I21" s="363"/>
      <c r="J21" s="363" t="n">
        <v>44000000</v>
      </c>
      <c r="K21" s="364"/>
    </row>
    <row r="22" customFormat="false" ht="15" hidden="false" customHeight="true" outlineLevel="0" collapsed="false">
      <c r="B22" s="365" t="s">
        <v>377</v>
      </c>
      <c r="C22" s="366" t="n">
        <v>-1740228</v>
      </c>
      <c r="D22" s="366" t="n">
        <v>13600028</v>
      </c>
      <c r="E22" s="366" t="n">
        <v>843063</v>
      </c>
      <c r="F22" s="366" t="n">
        <v>-42909710</v>
      </c>
      <c r="G22" s="366" t="n">
        <v>2408982</v>
      </c>
      <c r="H22" s="366" t="n">
        <v>-5309341</v>
      </c>
      <c r="I22" s="366" t="n">
        <v>-5079695</v>
      </c>
      <c r="J22" s="366" t="n">
        <v>-38186901</v>
      </c>
      <c r="K22" s="367"/>
    </row>
    <row r="25" customFormat="false" ht="15" hidden="false" customHeight="true" outlineLevel="0" collapsed="false">
      <c r="B25" s="368" t="s">
        <v>378</v>
      </c>
    </row>
    <row r="26" customFormat="false" ht="24.75" hidden="false" customHeight="true" outlineLevel="0" collapsed="false">
      <c r="B26" s="369" t="s">
        <v>6</v>
      </c>
      <c r="C26" s="370" t="s">
        <v>379</v>
      </c>
      <c r="D26" s="370" t="s">
        <v>380</v>
      </c>
      <c r="E26" s="370" t="s">
        <v>381</v>
      </c>
      <c r="F26" s="370" t="s">
        <v>382</v>
      </c>
      <c r="G26" s="370" t="s">
        <v>383</v>
      </c>
      <c r="H26" s="370" t="s">
        <v>384</v>
      </c>
      <c r="I26" s="370" t="s">
        <v>385</v>
      </c>
      <c r="J26" s="370" t="s">
        <v>386</v>
      </c>
    </row>
    <row r="27" customFormat="false" ht="15" hidden="false" customHeight="true" outlineLevel="0" collapsed="false">
      <c r="B27" s="362" t="s">
        <v>387</v>
      </c>
      <c r="C27" s="363" t="n">
        <v>10140492</v>
      </c>
      <c r="D27" s="363" t="n">
        <v>9990901</v>
      </c>
      <c r="E27" s="363" t="n">
        <v>12439434</v>
      </c>
      <c r="F27" s="363" t="n">
        <v>14515681</v>
      </c>
      <c r="G27" s="363" t="n">
        <v>17521538</v>
      </c>
      <c r="H27" s="363" t="n">
        <v>16141151</v>
      </c>
      <c r="I27" s="363" t="n">
        <v>12887032</v>
      </c>
      <c r="J27" s="363" t="n">
        <v>14792479</v>
      </c>
    </row>
    <row r="28" customFormat="false" ht="15" hidden="false" customHeight="true" outlineLevel="0" collapsed="false">
      <c r="B28" s="362" t="s">
        <v>22</v>
      </c>
      <c r="C28" s="363" t="n">
        <v>27628072</v>
      </c>
      <c r="D28" s="363" t="n">
        <v>27267195</v>
      </c>
      <c r="E28" s="363" t="n">
        <v>31199518</v>
      </c>
      <c r="F28" s="363" t="n">
        <v>18780393</v>
      </c>
      <c r="G28" s="363" t="n">
        <v>18020457</v>
      </c>
      <c r="H28" s="363" t="n">
        <v>24307518</v>
      </c>
      <c r="I28" s="363" t="n">
        <v>24346668</v>
      </c>
      <c r="J28" s="363" t="n">
        <v>16678270</v>
      </c>
    </row>
    <row r="29" customFormat="false" ht="15" hidden="false" customHeight="true" outlineLevel="0" collapsed="false">
      <c r="B29" s="362" t="s">
        <v>241</v>
      </c>
      <c r="C29" s="363" t="n">
        <v>106167284</v>
      </c>
      <c r="D29" s="363" t="n">
        <v>106167284</v>
      </c>
      <c r="E29" s="363" t="n">
        <v>106167284</v>
      </c>
      <c r="F29" s="363" t="n">
        <v>106167284</v>
      </c>
      <c r="G29" s="363" t="n">
        <v>61939187</v>
      </c>
      <c r="H29" s="363" t="n">
        <v>61939187</v>
      </c>
      <c r="I29" s="363" t="n">
        <v>61939187</v>
      </c>
      <c r="J29" s="363" t="n">
        <v>58595785</v>
      </c>
    </row>
    <row r="30" customFormat="false" ht="15" hidden="false" customHeight="true" outlineLevel="0" collapsed="false">
      <c r="B30" s="362" t="s">
        <v>388</v>
      </c>
      <c r="C30" s="363" t="n">
        <v>54658019</v>
      </c>
      <c r="D30" s="363" t="n">
        <v>54658019</v>
      </c>
      <c r="E30" s="363" t="n">
        <v>54658019</v>
      </c>
      <c r="F30" s="363" t="n">
        <v>57133019</v>
      </c>
      <c r="G30" s="363" t="n">
        <v>57133019</v>
      </c>
      <c r="H30" s="363" t="n">
        <v>57133019</v>
      </c>
      <c r="I30" s="363" t="n">
        <v>57133019</v>
      </c>
      <c r="J30" s="363" t="n">
        <v>57570649</v>
      </c>
    </row>
    <row r="31" customFormat="false" ht="15" hidden="false" customHeight="true" outlineLevel="0" collapsed="false">
      <c r="B31" s="362" t="s">
        <v>44</v>
      </c>
      <c r="C31" s="363" t="n">
        <v>27370600</v>
      </c>
      <c r="D31" s="363" t="n">
        <v>27346800</v>
      </c>
      <c r="E31" s="363" t="n">
        <v>27323000</v>
      </c>
      <c r="F31" s="363" t="n">
        <v>27299200</v>
      </c>
      <c r="G31" s="363" t="n">
        <v>25275400</v>
      </c>
      <c r="H31" s="363" t="n">
        <v>25251600</v>
      </c>
      <c r="I31" s="363" t="n">
        <v>25227800</v>
      </c>
      <c r="J31" s="363" t="n">
        <v>25204000</v>
      </c>
    </row>
    <row r="32" customFormat="false" ht="15" hidden="false" customHeight="true" outlineLevel="0" collapsed="false">
      <c r="B32" s="365" t="s">
        <v>47</v>
      </c>
      <c r="C32" s="366" t="n">
        <v>235385177</v>
      </c>
      <c r="D32" s="366" t="n">
        <v>231433689</v>
      </c>
      <c r="E32" s="366" t="n">
        <v>237673930</v>
      </c>
      <c r="F32" s="366" t="n">
        <v>229809036</v>
      </c>
      <c r="G32" s="366" t="n">
        <v>185931105</v>
      </c>
      <c r="H32" s="366" t="n">
        <v>190067739</v>
      </c>
      <c r="I32" s="366" t="n">
        <v>186801853</v>
      </c>
      <c r="J32" s="366" t="n">
        <v>178109330</v>
      </c>
    </row>
    <row r="33" customFormat="false" ht="15" hidden="false" customHeight="true" outlineLevel="0" collapsed="false">
      <c r="B33" s="362" t="s">
        <v>52</v>
      </c>
      <c r="C33" s="363" t="n">
        <v>9202412</v>
      </c>
      <c r="D33" s="363" t="n">
        <v>12352915</v>
      </c>
      <c r="E33" s="363" t="n">
        <v>9304332</v>
      </c>
      <c r="F33" s="363" t="n">
        <v>6279047</v>
      </c>
      <c r="G33" s="363" t="n">
        <v>7069055</v>
      </c>
      <c r="H33" s="363" t="n">
        <v>9650090</v>
      </c>
      <c r="I33" s="363" t="n">
        <v>8631808</v>
      </c>
      <c r="J33" s="363" t="n">
        <v>7003448</v>
      </c>
    </row>
    <row r="34" customFormat="false" ht="15" hidden="false" customHeight="true" outlineLevel="0" collapsed="false">
      <c r="B34" s="362" t="s">
        <v>57</v>
      </c>
      <c r="C34" s="363" t="n">
        <v>11784100</v>
      </c>
      <c r="D34" s="363" t="n">
        <v>11784100</v>
      </c>
      <c r="E34" s="363" t="n">
        <v>11447391</v>
      </c>
      <c r="F34" s="363" t="n">
        <v>10438091</v>
      </c>
      <c r="G34" s="363" t="n">
        <v>10438091</v>
      </c>
      <c r="H34" s="363" t="n">
        <v>8438091</v>
      </c>
      <c r="I34" s="363" t="n">
        <v>8438091</v>
      </c>
      <c r="J34" s="363" t="n">
        <v>7438091</v>
      </c>
    </row>
    <row r="35" customFormat="false" ht="15" hidden="false" customHeight="true" outlineLevel="0" collapsed="false">
      <c r="B35" s="362" t="s">
        <v>61</v>
      </c>
      <c r="C35" s="363" t="n">
        <v>191858000</v>
      </c>
      <c r="D35" s="363" t="n">
        <v>191858000</v>
      </c>
      <c r="E35" s="363" t="n">
        <v>191858000</v>
      </c>
      <c r="F35" s="363" t="n">
        <v>191858000</v>
      </c>
      <c r="G35" s="363" t="n">
        <v>191858000</v>
      </c>
      <c r="H35" s="363" t="n">
        <v>191858000</v>
      </c>
      <c r="I35" s="363" t="n">
        <v>191858000</v>
      </c>
      <c r="J35" s="363" t="n">
        <v>191858000</v>
      </c>
    </row>
    <row r="36" customFormat="false" ht="15" hidden="false" customHeight="true" outlineLevel="0" collapsed="false">
      <c r="B36" s="362" t="s">
        <v>62</v>
      </c>
      <c r="C36" s="363" t="n">
        <v>7565770</v>
      </c>
      <c r="D36" s="363" t="n">
        <v>5630657</v>
      </c>
      <c r="E36" s="363" t="n">
        <v>4788319</v>
      </c>
      <c r="F36" s="363" t="n">
        <v>3560039</v>
      </c>
      <c r="G36" s="363" t="n">
        <v>3041783</v>
      </c>
      <c r="H36" s="363" t="n">
        <v>4958985</v>
      </c>
      <c r="I36" s="363" t="n">
        <v>3523411</v>
      </c>
      <c r="J36" s="363" t="n">
        <v>3402888</v>
      </c>
    </row>
    <row r="37" customFormat="false" ht="15" hidden="false" customHeight="true" outlineLevel="0" collapsed="false">
      <c r="B37" s="365" t="s">
        <v>64</v>
      </c>
      <c r="C37" s="366" t="n">
        <v>249441992</v>
      </c>
      <c r="D37" s="366" t="n">
        <v>247230732</v>
      </c>
      <c r="E37" s="366" t="n">
        <v>239870945</v>
      </c>
      <c r="F37" s="366" t="n">
        <v>231162988</v>
      </c>
      <c r="G37" s="366" t="n">
        <v>230194767</v>
      </c>
      <c r="H37" s="366" t="n">
        <v>231922419</v>
      </c>
      <c r="I37" s="366" t="n">
        <v>233965874</v>
      </c>
      <c r="J37" s="366" t="n">
        <v>230353046</v>
      </c>
    </row>
    <row r="38" customFormat="false" ht="15" hidden="false" customHeight="true" outlineLevel="0" collapsed="false">
      <c r="B38" s="365" t="s">
        <v>72</v>
      </c>
      <c r="C38" s="366" t="n">
        <v>-14056815</v>
      </c>
      <c r="D38" s="366" t="n">
        <v>-15797043</v>
      </c>
      <c r="E38" s="366" t="n">
        <v>-2197015</v>
      </c>
      <c r="F38" s="366" t="n">
        <v>-1353952</v>
      </c>
      <c r="G38" s="366" t="n">
        <v>-44263662</v>
      </c>
      <c r="H38" s="366" t="n">
        <v>-41854680</v>
      </c>
      <c r="I38" s="366" t="n">
        <v>-47164021</v>
      </c>
      <c r="J38" s="366" t="n">
        <v>-52243716</v>
      </c>
    </row>
    <row r="41" customFormat="false" ht="360" hidden="false" customHeight="true" outlineLevel="0" collapsed="false">
      <c r="B41" s="371" t="s">
        <v>389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4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87890625" defaultRowHeight="18.75" zeroHeight="false" outlineLevelRow="0" outlineLevelCol="0"/>
  <cols>
    <col collapsed="false" customWidth="false" hidden="false" outlineLevel="0" max="1" min="1" style="355" width="8.88"/>
    <col collapsed="false" customWidth="true" hidden="false" outlineLevel="0" max="2" min="2" style="355" width="24"/>
    <col collapsed="false" customWidth="true" hidden="false" outlineLevel="0" max="7" min="3" style="355" width="19.88"/>
    <col collapsed="false" customWidth="false" hidden="false" outlineLevel="0" max="16384" min="8" style="355" width="8.88"/>
  </cols>
  <sheetData>
    <row r="2" customFormat="false" ht="18.75" hidden="false" customHeight="true" outlineLevel="0" collapsed="false">
      <c r="G2" s="47" t="s">
        <v>49</v>
      </c>
    </row>
    <row r="3" customFormat="false" ht="19.5" hidden="false" customHeight="true" outlineLevel="0" collapsed="false">
      <c r="B3" s="372"/>
      <c r="C3" s="373" t="s">
        <v>17</v>
      </c>
      <c r="D3" s="374" t="s">
        <v>390</v>
      </c>
      <c r="E3" s="374" t="s">
        <v>391</v>
      </c>
      <c r="F3" s="374" t="s">
        <v>392</v>
      </c>
      <c r="G3" s="375" t="s">
        <v>393</v>
      </c>
    </row>
    <row r="4" customFormat="false" ht="22.5" hidden="false" customHeight="true" outlineLevel="0" collapsed="false">
      <c r="B4" s="181" t="s">
        <v>79</v>
      </c>
      <c r="C4" s="88" t="n">
        <f aca="false">PL!C11</f>
        <v>0</v>
      </c>
      <c r="D4" s="88" t="n">
        <f aca="false">PL!E11</f>
        <v>474428321</v>
      </c>
      <c r="E4" s="88" t="n">
        <f aca="false">PL!G11</f>
        <v>539035019</v>
      </c>
      <c r="F4" s="88" t="n">
        <f aca="false">PL!I11</f>
        <v>558389734</v>
      </c>
      <c r="G4" s="88" t="n">
        <f aca="false">PL!K11</f>
        <v>279153443</v>
      </c>
      <c r="I4" s="376"/>
    </row>
    <row r="5" s="377" customFormat="true" ht="22.5" hidden="false" customHeight="true" outlineLevel="0" collapsed="false">
      <c r="B5" s="378" t="s">
        <v>394</v>
      </c>
      <c r="C5" s="379" t="s">
        <v>108</v>
      </c>
      <c r="D5" s="379" t="str">
        <f aca="false">IFERROR(D4/C4,"")</f>
        <v/>
      </c>
      <c r="E5" s="379" t="n">
        <f aca="false">IFERROR(E4/D4,"")</f>
        <v>1.13617799600121</v>
      </c>
      <c r="F5" s="379" t="n">
        <f aca="false">IFERROR(F4/E4,"")</f>
        <v>1.03590622931309</v>
      </c>
      <c r="G5" s="379" t="s">
        <v>108</v>
      </c>
    </row>
    <row r="6" customFormat="false" ht="22.5" hidden="false" customHeight="true" outlineLevel="0" collapsed="false">
      <c r="B6" s="380" t="s">
        <v>86</v>
      </c>
      <c r="C6" s="35" t="n">
        <f aca="false">PL!C18</f>
        <v>0</v>
      </c>
      <c r="D6" s="35" t="n">
        <f aca="false">PL!E18</f>
        <v>292378634</v>
      </c>
      <c r="E6" s="35" t="n">
        <f aca="false">PL!G18</f>
        <v>342931150</v>
      </c>
      <c r="F6" s="35" t="n">
        <f aca="false">PL!I18</f>
        <v>330024486</v>
      </c>
      <c r="G6" s="35" t="n">
        <f aca="false">PL!K18</f>
        <v>174391197</v>
      </c>
    </row>
    <row r="7" s="377" customFormat="true" ht="22.5" hidden="false" customHeight="true" outlineLevel="0" collapsed="false">
      <c r="B7" s="378" t="s">
        <v>395</v>
      </c>
      <c r="C7" s="379" t="str">
        <f aca="false">IFERROR(C6/C4,"")</f>
        <v/>
      </c>
      <c r="D7" s="379" t="n">
        <f aca="false">IFERROR(D6/D4,"")</f>
        <v>0.616275675498723</v>
      </c>
      <c r="E7" s="379" t="n">
        <f aca="false">IFERROR(E6/E4,"")</f>
        <v>0.63619456605286</v>
      </c>
      <c r="F7" s="379" t="n">
        <f aca="false">IFERROR(F6/F4,"")</f>
        <v>0.59102892819301</v>
      </c>
      <c r="G7" s="379" t="n">
        <f aca="false">IFERROR(G6/G4,"")</f>
        <v>0.624714476475219</v>
      </c>
    </row>
    <row r="8" customFormat="false" ht="22.5" hidden="false" customHeight="true" outlineLevel="0" collapsed="false">
      <c r="B8" s="380" t="s">
        <v>88</v>
      </c>
      <c r="C8" s="35" t="n">
        <f aca="false">PL!C20</f>
        <v>0</v>
      </c>
      <c r="D8" s="35" t="n">
        <f aca="false">PL!E20</f>
        <v>2341140</v>
      </c>
      <c r="E8" s="35" t="n">
        <f aca="false">PL!G20</f>
        <v>3022100</v>
      </c>
      <c r="F8" s="35" t="n">
        <f aca="false">PL!I20</f>
        <v>-19551737</v>
      </c>
      <c r="G8" s="236" t="n">
        <f aca="false">PL!K20</f>
        <v>6636849</v>
      </c>
    </row>
    <row r="9" s="377" customFormat="true" ht="22.5" hidden="false" customHeight="true" outlineLevel="0" collapsed="false">
      <c r="B9" s="378" t="s">
        <v>395</v>
      </c>
      <c r="C9" s="379" t="str">
        <f aca="false">IFERROR(C8/C4,"")</f>
        <v/>
      </c>
      <c r="D9" s="379" t="n">
        <f aca="false">IFERROR(D8/D4,"")</f>
        <v>0.00493465481796143</v>
      </c>
      <c r="E9" s="379" t="n">
        <f aca="false">IFERROR(E8/E4,"")</f>
        <v>0.00560650030791413</v>
      </c>
      <c r="F9" s="379" t="n">
        <f aca="false">IFERROR(F8/F4,"")</f>
        <v>-0.0350144993890593</v>
      </c>
      <c r="G9" s="379" t="n">
        <f aca="false">IFERROR(G8/G4,"")</f>
        <v>0.0237749136413123</v>
      </c>
    </row>
    <row r="10" customFormat="false" ht="22.5" hidden="false" customHeight="true" outlineLevel="0" collapsed="false">
      <c r="B10" s="380" t="s">
        <v>96</v>
      </c>
      <c r="C10" s="35" t="n">
        <f aca="false">PL!C37</f>
        <v>0</v>
      </c>
      <c r="D10" s="35" t="n">
        <f aca="false">PL!E37</f>
        <v>2528371</v>
      </c>
      <c r="E10" s="35" t="n">
        <f aca="false">PL!G37</f>
        <v>3109637</v>
      </c>
      <c r="F10" s="35" t="n">
        <f aca="false">PL!I37</f>
        <v>-18575356</v>
      </c>
      <c r="G10" s="236" t="n">
        <f aca="false">PL!K37</f>
        <v>5814146</v>
      </c>
    </row>
    <row r="11" s="377" customFormat="true" ht="22.5" hidden="false" customHeight="true" outlineLevel="0" collapsed="false">
      <c r="B11" s="378" t="s">
        <v>395</v>
      </c>
      <c r="C11" s="379" t="str">
        <f aca="false">IFERROR(C10/C4,"")</f>
        <v/>
      </c>
      <c r="D11" s="379" t="n">
        <f aca="false">IFERROR(D10/D4,"")</f>
        <v>0.00532930031384024</v>
      </c>
      <c r="E11" s="379" t="n">
        <f aca="false">IFERROR(E10/E4,"")</f>
        <v>0.00576889606498831</v>
      </c>
      <c r="F11" s="379" t="n">
        <f aca="false">IFERROR(F10/F4,"")</f>
        <v>-0.033265933932804</v>
      </c>
      <c r="G11" s="379" t="n">
        <f aca="false">IFERROR(G10/G4,"")</f>
        <v>0.0208277782194504</v>
      </c>
    </row>
    <row r="12" customFormat="false" ht="22.5" hidden="false" customHeight="true" outlineLevel="0" collapsed="false">
      <c r="B12" s="380" t="s">
        <v>104</v>
      </c>
      <c r="C12" s="35" t="n">
        <f aca="false">PL!C57</f>
        <v>0</v>
      </c>
      <c r="D12" s="35" t="n">
        <f aca="false">PL!E57</f>
        <v>1634217</v>
      </c>
      <c r="E12" s="35" t="n">
        <f aca="false">PL!G57</f>
        <v>974362</v>
      </c>
      <c r="F12" s="35" t="n">
        <f aca="false">PL!I57</f>
        <v>-20358547</v>
      </c>
      <c r="G12" s="236" t="n">
        <f aca="false">PL!K57</f>
        <v>-38186901</v>
      </c>
    </row>
    <row r="13" s="377" customFormat="true" ht="22.5" hidden="false" customHeight="true" outlineLevel="0" collapsed="false">
      <c r="B13" s="378" t="s">
        <v>395</v>
      </c>
      <c r="C13" s="379" t="str">
        <f aca="false">IFERROR(C12/C4,"")</f>
        <v/>
      </c>
      <c r="D13" s="379" t="n">
        <f aca="false">IFERROR(D12/D4,"")</f>
        <v>0.00344460254091787</v>
      </c>
      <c r="E13" s="379" t="n">
        <f aca="false">IFERROR(E12/E4,"")</f>
        <v>0.00180760426624527</v>
      </c>
      <c r="F13" s="379" t="n">
        <f aca="false">IFERROR(F12/F4,"")</f>
        <v>-0.0364593862680147</v>
      </c>
      <c r="G13" s="379" t="n">
        <f aca="false">IFERROR(G12/G4,"")</f>
        <v>-0.136795378876986</v>
      </c>
    </row>
    <row r="14" customFormat="false" ht="14.25" hidden="false" customHeight="true" outlineLevel="0" collapsed="false">
      <c r="C14" s="176"/>
      <c r="D14" s="176"/>
      <c r="E14" s="176"/>
      <c r="F14" s="176"/>
      <c r="G14" s="176"/>
    </row>
    <row r="15" customFormat="false" ht="22.5" hidden="false" customHeight="true" outlineLevel="0" collapsed="false">
      <c r="B15" s="150" t="s">
        <v>132</v>
      </c>
      <c r="C15" s="381" t="n">
        <v>0</v>
      </c>
      <c r="D15" s="381" t="n">
        <f aca="false">SGA!E15</f>
        <v>3911003</v>
      </c>
      <c r="E15" s="381" t="n">
        <f aca="false">SGA!G15</f>
        <v>9294598</v>
      </c>
      <c r="F15" s="381" t="n">
        <f aca="false">SGA!I15</f>
        <v>6349173</v>
      </c>
      <c r="G15" s="381" t="n">
        <f aca="false">SGA!K15</f>
        <v>0</v>
      </c>
    </row>
    <row r="16" customFormat="false" ht="15" hidden="false" customHeight="true" outlineLevel="0" collapsed="false">
      <c r="C16" s="17"/>
      <c r="D16" s="17"/>
      <c r="E16" s="17"/>
      <c r="F16" s="17"/>
      <c r="G16" s="17"/>
    </row>
    <row r="17" customFormat="false" ht="19.5" hidden="false" customHeight="true" outlineLevel="0" collapsed="false">
      <c r="B17" s="93" t="s">
        <v>396</v>
      </c>
      <c r="C17" s="382" t="n">
        <f aca="false">SUM(C18:C27)</f>
        <v>0</v>
      </c>
      <c r="D17" s="382" t="n">
        <f aca="false">SUM(D18:D27)</f>
        <v>8856000</v>
      </c>
      <c r="E17" s="382" t="n">
        <f aca="false">SUM(E18:E27)</f>
        <v>20449000</v>
      </c>
      <c r="F17" s="382" t="n">
        <f aca="false">SUM(F18:F27)</f>
        <v>19883868</v>
      </c>
      <c r="G17" s="382" t="n">
        <f aca="false">SUM(G18:G27)</f>
        <v>0</v>
      </c>
    </row>
    <row r="18" customFormat="false" ht="22.5" hidden="false" customHeight="true" outlineLevel="0" collapsed="false">
      <c r="B18" s="383" t="s">
        <v>397</v>
      </c>
      <c r="C18" s="384"/>
      <c r="D18" s="384" t="n">
        <v>9600000</v>
      </c>
      <c r="E18" s="384" t="n">
        <v>9600000</v>
      </c>
      <c r="F18" s="384" t="n">
        <v>14400000</v>
      </c>
      <c r="G18" s="384"/>
    </row>
    <row r="19" customFormat="false" ht="22.5" hidden="false" customHeight="true" outlineLevel="0" collapsed="false">
      <c r="B19" s="385" t="s">
        <v>398</v>
      </c>
      <c r="C19" s="386"/>
      <c r="D19" s="387" t="n">
        <v>-9600000</v>
      </c>
      <c r="E19" s="387" t="n">
        <v>-9600000</v>
      </c>
      <c r="F19" s="387" t="n">
        <v>-14400000</v>
      </c>
      <c r="G19" s="387"/>
    </row>
    <row r="20" customFormat="false" ht="22.5" hidden="false" customHeight="true" outlineLevel="0" collapsed="false">
      <c r="B20" s="385" t="s">
        <v>399</v>
      </c>
      <c r="C20" s="387" t="n">
        <f aca="false">(C18+C19)*0.15</f>
        <v>0</v>
      </c>
      <c r="D20" s="387" t="n">
        <f aca="false">(D18+D19)*0.15</f>
        <v>0</v>
      </c>
      <c r="E20" s="387" t="n">
        <f aca="false">(E18+E19)*0.15</f>
        <v>0</v>
      </c>
      <c r="F20" s="387" t="n">
        <f aca="false">(F18+F19)*0.15</f>
        <v>0</v>
      </c>
      <c r="G20" s="387" t="n">
        <f aca="false">(G18+G19)*0.15</f>
        <v>0</v>
      </c>
    </row>
    <row r="21" customFormat="false" ht="22.5" hidden="false" customHeight="true" outlineLevel="0" collapsed="false">
      <c r="B21" s="385" t="s">
        <v>400</v>
      </c>
      <c r="C21" s="387"/>
      <c r="D21" s="387" t="n">
        <v>696000</v>
      </c>
      <c r="E21" s="387" t="n">
        <v>1599000</v>
      </c>
      <c r="F21" s="387" t="n">
        <v>1224000</v>
      </c>
      <c r="G21" s="387"/>
    </row>
    <row r="22" customFormat="false" ht="22.5" hidden="false" customHeight="true" outlineLevel="0" collapsed="false">
      <c r="B22" s="385" t="s">
        <v>401</v>
      </c>
      <c r="C22" s="387"/>
      <c r="D22" s="387" t="n">
        <v>4453000</v>
      </c>
      <c r="E22" s="387" t="n">
        <v>6230000</v>
      </c>
      <c r="F22" s="387" t="n">
        <v>4218000</v>
      </c>
      <c r="G22" s="387"/>
    </row>
    <row r="23" customFormat="false" ht="22.5" hidden="false" customHeight="true" outlineLevel="0" collapsed="false">
      <c r="B23" s="385" t="s">
        <v>128</v>
      </c>
      <c r="C23" s="387"/>
      <c r="D23" s="387"/>
      <c r="E23" s="387"/>
      <c r="F23" s="387"/>
      <c r="G23" s="387"/>
    </row>
    <row r="24" customFormat="false" ht="22.5" hidden="false" customHeight="true" outlineLevel="0" collapsed="false">
      <c r="B24" s="385" t="s">
        <v>402</v>
      </c>
      <c r="C24" s="387"/>
      <c r="D24" s="387" t="n">
        <v>2386000</v>
      </c>
      <c r="E24" s="387" t="n">
        <v>3154000</v>
      </c>
      <c r="F24" s="387" t="n">
        <v>5604000</v>
      </c>
      <c r="G24" s="387"/>
    </row>
    <row r="25" customFormat="false" ht="22.5" hidden="false" customHeight="true" outlineLevel="0" collapsed="false">
      <c r="B25" s="385" t="s">
        <v>403</v>
      </c>
      <c r="C25" s="387"/>
      <c r="D25" s="387" t="n">
        <v>1321000</v>
      </c>
      <c r="E25" s="387" t="n">
        <v>635000</v>
      </c>
      <c r="F25" s="387" t="n">
        <v>654868</v>
      </c>
      <c r="G25" s="387"/>
    </row>
    <row r="26" customFormat="false" ht="22.5" hidden="false" customHeight="true" outlineLevel="0" collapsed="false">
      <c r="B26" s="385" t="s">
        <v>404</v>
      </c>
      <c r="C26" s="387"/>
      <c r="D26" s="387" t="n">
        <v>0</v>
      </c>
      <c r="E26" s="387" t="n">
        <v>8831000</v>
      </c>
      <c r="F26" s="387" t="n">
        <v>8183000</v>
      </c>
      <c r="G26" s="387"/>
    </row>
    <row r="27" customFormat="false" ht="22.5" hidden="false" customHeight="true" outlineLevel="0" collapsed="false">
      <c r="B27" s="388"/>
      <c r="C27" s="389"/>
      <c r="D27" s="389"/>
      <c r="E27" s="389"/>
      <c r="F27" s="389"/>
      <c r="G27" s="389"/>
    </row>
    <row r="28" customFormat="false" ht="22.5" hidden="true" customHeight="true" outlineLevel="0" collapsed="false">
      <c r="B28" s="390" t="s">
        <v>405</v>
      </c>
      <c r="C28" s="35"/>
      <c r="D28" s="35"/>
      <c r="E28" s="35"/>
      <c r="F28" s="35"/>
      <c r="G28" s="35"/>
    </row>
    <row r="29" customFormat="false" ht="22.5" hidden="true" customHeight="true" outlineLevel="0" collapsed="false">
      <c r="B29" s="390" t="s">
        <v>406</v>
      </c>
      <c r="C29" s="35"/>
      <c r="D29" s="35"/>
      <c r="E29" s="35"/>
      <c r="F29" s="35"/>
      <c r="G29" s="35"/>
    </row>
    <row r="30" customFormat="false" ht="22.5" hidden="true" customHeight="true" outlineLevel="0" collapsed="false">
      <c r="B30" s="390" t="s">
        <v>407</v>
      </c>
      <c r="C30" s="35"/>
      <c r="D30" s="35"/>
      <c r="E30" s="35"/>
      <c r="F30" s="35"/>
      <c r="G30" s="35"/>
    </row>
    <row r="31" customFormat="false" ht="22.5" hidden="true" customHeight="true" outlineLevel="0" collapsed="false">
      <c r="B31" s="390"/>
      <c r="C31" s="35"/>
      <c r="D31" s="35"/>
      <c r="E31" s="52"/>
      <c r="F31" s="52"/>
      <c r="G31" s="52"/>
    </row>
    <row r="32" customFormat="false" ht="22.5" hidden="true" customHeight="true" outlineLevel="0" collapsed="false">
      <c r="B32" s="390"/>
      <c r="C32" s="35"/>
      <c r="D32" s="35"/>
      <c r="E32" s="52"/>
      <c r="F32" s="52"/>
      <c r="G32" s="52"/>
    </row>
    <row r="33" customFormat="false" ht="22.5" hidden="true" customHeight="true" outlineLevel="0" collapsed="false">
      <c r="B33" s="390"/>
      <c r="C33" s="35"/>
      <c r="D33" s="35"/>
      <c r="E33" s="52"/>
      <c r="F33" s="52"/>
      <c r="G33" s="52"/>
    </row>
    <row r="34" customFormat="false" ht="22.5" hidden="true" customHeight="true" outlineLevel="0" collapsed="false">
      <c r="B34" s="390"/>
      <c r="C34" s="35"/>
      <c r="D34" s="35"/>
      <c r="E34" s="52"/>
      <c r="F34" s="52"/>
      <c r="G34" s="52"/>
    </row>
    <row r="35" customFormat="false" ht="22.5" hidden="true" customHeight="true" outlineLevel="0" collapsed="false">
      <c r="B35" s="390"/>
      <c r="C35" s="35"/>
      <c r="D35" s="35"/>
      <c r="E35" s="52"/>
      <c r="F35" s="52"/>
      <c r="G35" s="52"/>
    </row>
    <row r="36" customFormat="false" ht="15" hidden="false" customHeight="true" outlineLevel="0" collapsed="false">
      <c r="C36" s="176"/>
      <c r="D36" s="176"/>
      <c r="E36" s="176"/>
      <c r="F36" s="176"/>
      <c r="G36" s="176"/>
    </row>
    <row r="37" s="391" customFormat="true" ht="21" hidden="false" customHeight="true" outlineLevel="0" collapsed="false">
      <c r="B37" s="392" t="s">
        <v>408</v>
      </c>
      <c r="C37" s="393" t="n">
        <f aca="false">C8+C15+C17</f>
        <v>0</v>
      </c>
      <c r="D37" s="393" t="n">
        <f aca="false">D8+D15+D17</f>
        <v>15108143</v>
      </c>
      <c r="E37" s="393" t="n">
        <f aca="false">E8+E15+E17</f>
        <v>32765698</v>
      </c>
      <c r="F37" s="393" t="n">
        <f aca="false">F8+F15+F17</f>
        <v>6681304</v>
      </c>
      <c r="G37" s="393" t="n">
        <f aca="false">G8+G15+G17</f>
        <v>6636849</v>
      </c>
    </row>
    <row r="38" customFormat="false" ht="19.5" hidden="false" customHeight="true" outlineLevel="0" collapsed="false">
      <c r="B38" s="394"/>
      <c r="C38" s="395"/>
      <c r="D38" s="395"/>
      <c r="E38" s="395"/>
      <c r="F38" s="395"/>
      <c r="G38" s="395"/>
    </row>
    <row r="39" customFormat="false" ht="18.75" hidden="false" customHeight="true" outlineLevel="0" collapsed="false">
      <c r="B39" s="392" t="s">
        <v>409</v>
      </c>
      <c r="C39" s="393"/>
      <c r="D39" s="393" t="n">
        <f aca="false">AVERAGE(D37:F37)</f>
        <v>18185048.3333333</v>
      </c>
      <c r="E39" s="393"/>
      <c r="F39" s="393"/>
      <c r="G39" s="393"/>
    </row>
    <row r="40" customFormat="false" ht="18.75" hidden="false" customHeight="true" outlineLevel="0" collapsed="false">
      <c r="B40" s="392" t="s">
        <v>410</v>
      </c>
      <c r="C40" s="393"/>
      <c r="D40" s="393" t="n">
        <f aca="false">AVERAGE(E37:F37)</f>
        <v>19723501</v>
      </c>
      <c r="E40" s="393"/>
      <c r="F40" s="393"/>
      <c r="G40" s="393"/>
    </row>
    <row r="41" customFormat="false" ht="18.75" hidden="false" customHeight="true" outlineLevel="0" collapsed="false">
      <c r="B41" s="396"/>
      <c r="C41" s="397"/>
      <c r="D41" s="398"/>
      <c r="E41" s="398"/>
      <c r="F41" s="398"/>
      <c r="G41" s="398"/>
    </row>
    <row r="42" customFormat="false" ht="18.75" hidden="false" customHeight="true" outlineLevel="0" collapsed="false">
      <c r="B42" s="399" t="s">
        <v>411</v>
      </c>
      <c r="C42" s="397"/>
      <c r="D42" s="398"/>
      <c r="E42" s="398"/>
      <c r="F42" s="398"/>
      <c r="G42" s="398"/>
    </row>
    <row r="43" customFormat="false" ht="18.75" hidden="false" customHeight="true" outlineLevel="0" collapsed="false">
      <c r="B43" s="396"/>
      <c r="C43" s="397"/>
      <c r="D43" s="398"/>
      <c r="E43" s="398"/>
      <c r="F43" s="398"/>
      <c r="G43" s="398"/>
    </row>
    <row r="44" customFormat="false" ht="18.75" hidden="false" customHeight="true" outlineLevel="0" collapsed="false">
      <c r="B44" s="396"/>
      <c r="C44" s="397"/>
      <c r="D44" s="398"/>
      <c r="E44" s="398"/>
      <c r="F44" s="398"/>
      <c r="G44" s="398"/>
    </row>
    <row r="45" customFormat="false" ht="18.75" hidden="false" customHeight="true" outlineLevel="0" collapsed="false">
      <c r="B45" s="396"/>
      <c r="C45" s="400"/>
      <c r="D45" s="401"/>
      <c r="E45" s="401"/>
      <c r="F45" s="401"/>
      <c r="G45" s="401"/>
    </row>
    <row r="46" customFormat="false" ht="18.75" hidden="false" customHeight="true" outlineLevel="0" collapsed="false">
      <c r="B46" s="396"/>
      <c r="C46" s="400"/>
      <c r="D46" s="401"/>
      <c r="E46" s="401"/>
      <c r="F46" s="401"/>
      <c r="G46" s="401"/>
    </row>
    <row r="47" customFormat="false" ht="18.75" hidden="false" customHeight="true" outlineLevel="0" collapsed="false">
      <c r="B47" s="396"/>
      <c r="C47" s="402"/>
      <c r="D47" s="396"/>
      <c r="E47" s="396"/>
      <c r="F47" s="396"/>
      <c r="G47" s="396"/>
    </row>
    <row r="48" customFormat="false" ht="18.75" hidden="false" customHeight="true" outlineLevel="0" collapsed="false">
      <c r="B48" s="396"/>
      <c r="C48" s="402"/>
      <c r="D48" s="396"/>
      <c r="E48" s="396"/>
      <c r="F48" s="396"/>
      <c r="G48" s="39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4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87890625" defaultRowHeight="18.75" zeroHeight="false" outlineLevelRow="0" outlineLevelCol="0"/>
  <cols>
    <col collapsed="false" customWidth="false" hidden="false" outlineLevel="0" max="1" min="1" style="355" width="8.88"/>
    <col collapsed="false" customWidth="true" hidden="false" outlineLevel="0" max="3" min="2" style="355" width="16.13"/>
    <col collapsed="false" customWidth="true" hidden="false" outlineLevel="0" max="4" min="4" style="355" width="1.13"/>
    <col collapsed="false" customWidth="true" hidden="false" outlineLevel="0" max="6" min="5" style="355" width="16.13"/>
    <col collapsed="false" customWidth="false" hidden="false" outlineLevel="0" max="16384" min="7" style="355" width="8.88"/>
  </cols>
  <sheetData>
    <row r="2" customFormat="false" ht="18.75" hidden="false" customHeight="true" outlineLevel="0" collapsed="false">
      <c r="F2" s="47" t="s">
        <v>49</v>
      </c>
    </row>
    <row r="3" customFormat="false" ht="19.5" hidden="false" customHeight="true" outlineLevel="0" collapsed="false">
      <c r="B3" s="403" t="str">
        <f aca="false">PLハイライト!F3</f>
        <v>2025年11月期</v>
      </c>
      <c r="C3" s="403"/>
      <c r="D3" s="403"/>
      <c r="E3" s="403"/>
      <c r="F3" s="403"/>
      <c r="H3" s="141" t="s">
        <v>412</v>
      </c>
      <c r="I3" s="143"/>
      <c r="K3" s="141" t="s">
        <v>412</v>
      </c>
      <c r="L3" s="143"/>
    </row>
    <row r="4" customFormat="false" ht="22.5" hidden="false" customHeight="true" outlineLevel="0" collapsed="false">
      <c r="B4" s="404" t="s">
        <v>413</v>
      </c>
      <c r="C4" s="405" t="n">
        <f aca="false">SUM(C5:C11)</f>
        <v>150113194</v>
      </c>
      <c r="D4" s="406"/>
      <c r="E4" s="407" t="s">
        <v>414</v>
      </c>
      <c r="F4" s="408" t="n">
        <f aca="false">SUM(F5:F11)</f>
        <v>47672202</v>
      </c>
      <c r="H4" s="144" t="s">
        <v>413</v>
      </c>
      <c r="I4" s="143" t="n">
        <f aca="false">'BS(借方)'!G5</f>
        <v>92091317</v>
      </c>
      <c r="K4" s="144" t="s">
        <v>414</v>
      </c>
      <c r="L4" s="143" t="n">
        <f aca="false">'BS (貸方)'!G5</f>
        <v>33413938</v>
      </c>
    </row>
    <row r="5" customFormat="false" ht="22.5" hidden="false" customHeight="true" outlineLevel="0" collapsed="false">
      <c r="B5" s="409" t="s">
        <v>387</v>
      </c>
      <c r="C5" s="29" t="n">
        <v>10140492</v>
      </c>
      <c r="D5" s="410"/>
      <c r="E5" s="411" t="s">
        <v>52</v>
      </c>
      <c r="F5" s="412" t="n">
        <v>9202412</v>
      </c>
      <c r="H5" s="141" t="s">
        <v>387</v>
      </c>
      <c r="I5" s="143" t="n">
        <f aca="false">'BS(借方)'!G6</f>
        <v>14792479</v>
      </c>
      <c r="K5" s="141" t="s">
        <v>52</v>
      </c>
      <c r="L5" s="143" t="n">
        <f aca="false">'BS (貸方)'!G6</f>
        <v>7003448</v>
      </c>
    </row>
    <row r="6" customFormat="false" ht="22.5" hidden="false" customHeight="true" outlineLevel="0" collapsed="false">
      <c r="B6" s="413" t="s">
        <v>22</v>
      </c>
      <c r="C6" s="231" t="n">
        <v>27628072</v>
      </c>
      <c r="D6" s="414"/>
      <c r="E6" s="415" t="s">
        <v>54</v>
      </c>
      <c r="F6" s="416" t="n">
        <v>714227</v>
      </c>
      <c r="H6" s="141" t="s">
        <v>22</v>
      </c>
      <c r="I6" s="143" t="n">
        <f aca="false">'BS(借方)'!G7</f>
        <v>16678270</v>
      </c>
      <c r="K6" s="141" t="s">
        <v>53</v>
      </c>
      <c r="L6" s="143" t="n">
        <f aca="false">'BS (貸方)'!G7</f>
        <v>3153</v>
      </c>
    </row>
    <row r="7" customFormat="false" ht="22.5" hidden="false" customHeight="true" outlineLevel="0" collapsed="false">
      <c r="B7" s="413" t="s">
        <v>415</v>
      </c>
      <c r="C7" s="231" t="n">
        <v>106167284</v>
      </c>
      <c r="D7" s="414"/>
      <c r="E7" s="415" t="s">
        <v>55</v>
      </c>
      <c r="F7" s="416" t="n">
        <v>20113617</v>
      </c>
      <c r="H7" s="141" t="s">
        <v>415</v>
      </c>
      <c r="I7" s="143" t="n">
        <f aca="false">'BS(借方)'!G8+'BS(借方)'!G9</f>
        <v>58595785</v>
      </c>
      <c r="K7" s="141" t="s">
        <v>54</v>
      </c>
      <c r="L7" s="143" t="n">
        <f aca="false">'BS (貸方)'!G8</f>
        <v>0</v>
      </c>
    </row>
    <row r="8" customFormat="false" ht="22.5" hidden="false" customHeight="true" outlineLevel="0" collapsed="false">
      <c r="B8" s="413" t="s">
        <v>26</v>
      </c>
      <c r="C8" s="231" t="n">
        <v>3991637</v>
      </c>
      <c r="D8" s="414"/>
      <c r="E8" s="415" t="s">
        <v>56</v>
      </c>
      <c r="F8" s="416" t="n">
        <v>242500</v>
      </c>
      <c r="H8" s="141" t="s">
        <v>26</v>
      </c>
      <c r="I8" s="143" t="n">
        <f aca="false">'BS(借方)'!G11</f>
        <v>392743</v>
      </c>
      <c r="K8" s="141" t="s">
        <v>55</v>
      </c>
      <c r="L8" s="143" t="n">
        <f aca="false">'BS (貸方)'!G9</f>
        <v>9578501</v>
      </c>
    </row>
    <row r="9" customFormat="false" ht="22.5" hidden="false" customHeight="true" outlineLevel="0" collapsed="false">
      <c r="B9" s="413" t="s">
        <v>27</v>
      </c>
      <c r="C9" s="231" t="n">
        <v>30800</v>
      </c>
      <c r="D9" s="414"/>
      <c r="E9" s="415" t="s">
        <v>57</v>
      </c>
      <c r="F9" s="416" t="n">
        <v>11784100</v>
      </c>
      <c r="H9" s="141" t="s">
        <v>29</v>
      </c>
      <c r="I9" s="143" t="n">
        <f aca="false">'BS(借方)'!G14</f>
        <v>1677040</v>
      </c>
      <c r="K9" s="141" t="s">
        <v>57</v>
      </c>
      <c r="L9" s="143" t="n">
        <f aca="false">'BS (貸方)'!G11</f>
        <v>7438091</v>
      </c>
    </row>
    <row r="10" customFormat="false" ht="22.5" hidden="false" customHeight="true" outlineLevel="0" collapsed="false">
      <c r="B10" s="413" t="s">
        <v>28</v>
      </c>
      <c r="C10" s="231" t="n">
        <v>504909</v>
      </c>
      <c r="D10" s="410"/>
      <c r="E10" s="415" t="s">
        <v>58</v>
      </c>
      <c r="F10" s="416" t="n">
        <v>2391530</v>
      </c>
      <c r="H10" s="141" t="s">
        <v>416</v>
      </c>
      <c r="I10" s="143" t="n">
        <f aca="false">'BS(借方)'!G15</f>
        <v>-45000</v>
      </c>
      <c r="K10" s="141" t="s">
        <v>58</v>
      </c>
      <c r="L10" s="143" t="n">
        <f aca="false">'BS (貸方)'!G12</f>
        <v>1600194</v>
      </c>
    </row>
    <row r="11" customFormat="false" ht="22.5" hidden="false" customHeight="true" outlineLevel="0" collapsed="false">
      <c r="B11" s="413" t="s">
        <v>29</v>
      </c>
      <c r="C11" s="231" t="n">
        <v>1650000</v>
      </c>
      <c r="D11" s="410"/>
      <c r="E11" s="415" t="s">
        <v>59</v>
      </c>
      <c r="F11" s="416" t="n">
        <v>3223816</v>
      </c>
      <c r="H11" s="144" t="s">
        <v>417</v>
      </c>
      <c r="I11" s="143" t="n">
        <f aca="false">'BS(借方)'!G20</f>
        <v>86018013</v>
      </c>
      <c r="K11" s="141" t="s">
        <v>59</v>
      </c>
      <c r="L11" s="143" t="n">
        <f aca="false">'BS (貸方)'!G13</f>
        <v>7790551</v>
      </c>
    </row>
    <row r="12" customFormat="false" ht="22.5" hidden="false" customHeight="true" outlineLevel="0" collapsed="false">
      <c r="B12" s="407" t="s">
        <v>417</v>
      </c>
      <c r="C12" s="417" t="n">
        <f aca="false">SUM(C13:C20)</f>
        <v>85271983</v>
      </c>
      <c r="D12" s="414"/>
      <c r="E12" s="407" t="s">
        <v>418</v>
      </c>
      <c r="F12" s="418" t="n">
        <f aca="false">SUM(F13:F15)</f>
        <v>201769790</v>
      </c>
      <c r="H12" s="141" t="s">
        <v>419</v>
      </c>
      <c r="I12" s="143" t="n">
        <f aca="false">'BS(借方)'!G23</f>
        <v>44397084</v>
      </c>
      <c r="K12" s="144" t="s">
        <v>418</v>
      </c>
      <c r="L12" s="143" t="n">
        <f aca="false">'BS (貸方)'!G18</f>
        <v>196939108</v>
      </c>
    </row>
    <row r="13" customFormat="false" ht="22.5" hidden="false" customHeight="true" outlineLevel="0" collapsed="false">
      <c r="B13" s="413" t="s">
        <v>33</v>
      </c>
      <c r="C13" s="231" t="n">
        <v>44397084</v>
      </c>
      <c r="D13" s="414"/>
      <c r="E13" s="415" t="s">
        <v>61</v>
      </c>
      <c r="F13" s="416" t="n">
        <v>191858000</v>
      </c>
      <c r="H13" s="141" t="s">
        <v>35</v>
      </c>
      <c r="I13" s="143" t="n">
        <f aca="false">'BS(借方)'!G24</f>
        <v>2475000</v>
      </c>
      <c r="K13" s="141" t="s">
        <v>61</v>
      </c>
      <c r="L13" s="143" t="n">
        <f aca="false">'BS (貸方)'!G19</f>
        <v>191858000</v>
      </c>
    </row>
    <row r="14" customFormat="false" ht="22.5" hidden="false" customHeight="true" outlineLevel="0" collapsed="false">
      <c r="B14" s="413" t="s">
        <v>36</v>
      </c>
      <c r="C14" s="231" t="n">
        <v>1057574</v>
      </c>
      <c r="D14" s="414"/>
      <c r="E14" s="415" t="s">
        <v>62</v>
      </c>
      <c r="F14" s="416" t="n">
        <v>7565770</v>
      </c>
      <c r="H14" s="141" t="s">
        <v>36</v>
      </c>
      <c r="I14" s="143" t="n">
        <f aca="false">'BS(借方)'!G25</f>
        <v>1495204</v>
      </c>
      <c r="K14" s="141" t="s">
        <v>62</v>
      </c>
      <c r="L14" s="143" t="n">
        <f aca="false">'BS (貸方)'!G20</f>
        <v>3402888</v>
      </c>
    </row>
    <row r="15" customFormat="false" ht="22.5" hidden="false" customHeight="true" outlineLevel="0" collapsed="false">
      <c r="B15" s="413" t="s">
        <v>37</v>
      </c>
      <c r="C15" s="231" t="n">
        <v>6044761</v>
      </c>
      <c r="D15" s="414"/>
      <c r="E15" s="415" t="s">
        <v>63</v>
      </c>
      <c r="F15" s="416" t="n">
        <v>2346020</v>
      </c>
      <c r="H15" s="141" t="s">
        <v>37</v>
      </c>
      <c r="I15" s="143" t="n">
        <f aca="false">'BS(借方)'!G26</f>
        <v>6044761</v>
      </c>
      <c r="K15" s="141" t="s">
        <v>63</v>
      </c>
      <c r="L15" s="143" t="n">
        <f aca="false">'BS (貸方)'!G21</f>
        <v>1678220</v>
      </c>
    </row>
    <row r="16" customFormat="false" ht="22.5" hidden="false" customHeight="true" outlineLevel="0" collapsed="false">
      <c r="B16" s="413" t="s">
        <v>38</v>
      </c>
      <c r="C16" s="231" t="n">
        <v>2974400</v>
      </c>
      <c r="D16" s="414"/>
      <c r="E16" s="419" t="s">
        <v>64</v>
      </c>
      <c r="F16" s="420" t="n">
        <f aca="false">F4+F12</f>
        <v>249441992</v>
      </c>
      <c r="H16" s="141" t="s">
        <v>38</v>
      </c>
      <c r="I16" s="143" t="n">
        <f aca="false">'BS(借方)'!G27</f>
        <v>2974400</v>
      </c>
      <c r="K16" s="144" t="s">
        <v>64</v>
      </c>
      <c r="L16" s="143" t="n">
        <f aca="false">'BS (貸方)'!G25</f>
        <v>230353046</v>
      </c>
    </row>
    <row r="17" customFormat="false" ht="22.5" hidden="false" customHeight="true" outlineLevel="0" collapsed="false">
      <c r="B17" s="413" t="s">
        <v>43</v>
      </c>
      <c r="C17" s="231" t="n">
        <v>1711860</v>
      </c>
      <c r="D17" s="414"/>
      <c r="H17" s="141" t="s">
        <v>43</v>
      </c>
      <c r="I17" s="143" t="n">
        <f aca="false">'BS(借方)'!G48</f>
        <v>1711860</v>
      </c>
      <c r="K17" s="141"/>
      <c r="L17" s="143"/>
    </row>
    <row r="18" customFormat="false" ht="22.5" hidden="false" customHeight="true" outlineLevel="0" collapsed="false">
      <c r="B18" s="413" t="s">
        <v>44</v>
      </c>
      <c r="C18" s="231" t="n">
        <v>27370600</v>
      </c>
      <c r="D18" s="414"/>
      <c r="E18" s="415" t="s">
        <v>67</v>
      </c>
      <c r="F18" s="416" t="n">
        <v>1000000</v>
      </c>
      <c r="H18" s="141" t="s">
        <v>44</v>
      </c>
      <c r="I18" s="143" t="n">
        <f aca="false">'BS(借方)'!G49</f>
        <v>25204000</v>
      </c>
      <c r="K18" s="141" t="s">
        <v>67</v>
      </c>
      <c r="L18" s="143" t="n">
        <f aca="false">'BS (貸方)'!G36</f>
        <v>1000000</v>
      </c>
    </row>
    <row r="19" customFormat="false" ht="22.5" hidden="false" customHeight="true" outlineLevel="0" collapsed="false">
      <c r="B19" s="413" t="s">
        <v>45</v>
      </c>
      <c r="C19" s="231" t="n">
        <v>1500004</v>
      </c>
      <c r="D19" s="414"/>
      <c r="E19" s="415" t="s">
        <v>420</v>
      </c>
      <c r="F19" s="416" t="n">
        <v>-15056815</v>
      </c>
      <c r="H19" s="141" t="s">
        <v>45</v>
      </c>
      <c r="I19" s="143" t="n">
        <f aca="false">'BS(借方)'!G50</f>
        <v>1500004</v>
      </c>
      <c r="K19" s="141" t="s">
        <v>420</v>
      </c>
      <c r="L19" s="143" t="n">
        <f aca="false">'BS (貸方)'!G43</f>
        <v>-53243716</v>
      </c>
    </row>
    <row r="20" customFormat="false" ht="22.5" hidden="false" customHeight="true" outlineLevel="0" collapsed="false">
      <c r="B20" s="413" t="s">
        <v>416</v>
      </c>
      <c r="C20" s="231" t="n">
        <v>215700</v>
      </c>
      <c r="D20" s="414"/>
      <c r="E20" s="421" t="s">
        <v>72</v>
      </c>
      <c r="F20" s="422" t="n">
        <f aca="false">SUM(F18:F19)</f>
        <v>-14056815</v>
      </c>
      <c r="H20" s="141" t="s">
        <v>416</v>
      </c>
      <c r="I20" s="143" t="n">
        <f aca="false">'BS(借方)'!G28+'BS(借方)'!G47</f>
        <v>215700</v>
      </c>
      <c r="K20" s="144" t="s">
        <v>72</v>
      </c>
      <c r="L20" s="143" t="n">
        <f aca="false">'BS (貸方)'!G50</f>
        <v>-52243716</v>
      </c>
    </row>
    <row r="21" customFormat="false" ht="22.5" hidden="false" customHeight="true" outlineLevel="0" collapsed="false">
      <c r="B21" s="421" t="s">
        <v>47</v>
      </c>
      <c r="C21" s="423" t="n">
        <f aca="false">C4+C12</f>
        <v>235385177</v>
      </c>
      <c r="D21" s="414"/>
      <c r="E21" s="421" t="s">
        <v>73</v>
      </c>
      <c r="F21" s="422" t="n">
        <f aca="false">F16+F20</f>
        <v>235385177</v>
      </c>
      <c r="H21" s="144" t="s">
        <v>47</v>
      </c>
      <c r="I21" s="143" t="n">
        <f aca="false">'BS(借方)'!G61</f>
        <v>178109330</v>
      </c>
      <c r="K21" s="144" t="s">
        <v>73</v>
      </c>
      <c r="L21" s="143" t="n">
        <f aca="false">'BS (貸方)'!G51</f>
        <v>178109330</v>
      </c>
    </row>
    <row r="22" customFormat="false" ht="18.75" hidden="false" customHeight="true" outlineLevel="0" collapsed="false">
      <c r="C22" s="424"/>
      <c r="F22" s="424"/>
    </row>
    <row r="23" customFormat="false" ht="18.75" hidden="false" customHeight="true" outlineLevel="0" collapsed="false">
      <c r="C23" s="424"/>
      <c r="F23" s="424" t="n">
        <f aca="false">F21=C21</f>
        <v>1</v>
      </c>
      <c r="H23" s="141" t="s">
        <v>421</v>
      </c>
    </row>
    <row r="24" customFormat="false" ht="18.75" hidden="false" customHeight="true" outlineLevel="0" collapsed="false">
      <c r="C24" s="424"/>
      <c r="F24" s="424"/>
    </row>
    <row r="25" customFormat="false" ht="18.75" hidden="false" customHeight="true" outlineLevel="0" collapsed="false">
      <c r="C25" s="424"/>
      <c r="F25" s="424"/>
    </row>
    <row r="26" customFormat="false" ht="18.75" hidden="false" customHeight="true" outlineLevel="0" collapsed="false">
      <c r="C26" s="424"/>
      <c r="F26" s="424"/>
    </row>
    <row r="27" customFormat="false" ht="18.75" hidden="false" customHeight="true" outlineLevel="0" collapsed="false">
      <c r="C27" s="424"/>
      <c r="F27" s="424"/>
    </row>
    <row r="28" customFormat="false" ht="18.75" hidden="false" customHeight="true" outlineLevel="0" collapsed="false">
      <c r="C28" s="424"/>
      <c r="F28" s="424"/>
    </row>
    <row r="29" customFormat="false" ht="18.75" hidden="false" customHeight="true" outlineLevel="0" collapsed="false">
      <c r="C29" s="424"/>
      <c r="F29" s="424"/>
    </row>
    <row r="30" customFormat="false" ht="18.75" hidden="false" customHeight="true" outlineLevel="0" collapsed="false">
      <c r="C30" s="424"/>
      <c r="F30" s="424"/>
    </row>
    <row r="31" customFormat="false" ht="18.75" hidden="false" customHeight="true" outlineLevel="0" collapsed="false">
      <c r="C31" s="424"/>
      <c r="F31" s="424"/>
    </row>
    <row r="32" customFormat="false" ht="18.75" hidden="false" customHeight="true" outlineLevel="0" collapsed="false">
      <c r="C32" s="424"/>
      <c r="F32" s="424"/>
    </row>
    <row r="33" customFormat="false" ht="18.75" hidden="false" customHeight="true" outlineLevel="0" collapsed="false">
      <c r="C33" s="424"/>
      <c r="F33" s="424"/>
    </row>
    <row r="34" customFormat="false" ht="18.75" hidden="false" customHeight="true" outlineLevel="0" collapsed="false">
      <c r="C34" s="424"/>
      <c r="F34" s="424"/>
    </row>
    <row r="35" customFormat="false" ht="18.75" hidden="false" customHeight="true" outlineLevel="0" collapsed="false">
      <c r="C35" s="424"/>
      <c r="F35" s="424"/>
    </row>
    <row r="36" customFormat="false" ht="18.75" hidden="false" customHeight="true" outlineLevel="0" collapsed="false">
      <c r="C36" s="424"/>
      <c r="F36" s="424"/>
    </row>
    <row r="37" customFormat="false" ht="18.75" hidden="false" customHeight="true" outlineLevel="0" collapsed="false">
      <c r="C37" s="424"/>
      <c r="F37" s="424"/>
    </row>
    <row r="38" customFormat="false" ht="18.75" hidden="false" customHeight="true" outlineLevel="0" collapsed="false">
      <c r="C38" s="424"/>
      <c r="F38" s="424"/>
    </row>
    <row r="39" customFormat="false" ht="18.75" hidden="false" customHeight="true" outlineLevel="0" collapsed="false">
      <c r="F39" s="424"/>
    </row>
    <row r="40" customFormat="false" ht="18.75" hidden="false" customHeight="true" outlineLevel="0" collapsed="false">
      <c r="F40" s="424"/>
    </row>
    <row r="41" customFormat="false" ht="18.75" hidden="false" customHeight="true" outlineLevel="0" collapsed="false">
      <c r="F41" s="424"/>
    </row>
    <row r="42" customFormat="false" ht="18.75" hidden="false" customHeight="true" outlineLevel="0" collapsed="false">
      <c r="F42" s="424"/>
    </row>
    <row r="43" customFormat="false" ht="18.75" hidden="false" customHeight="true" outlineLevel="0" collapsed="false">
      <c r="F43" s="424"/>
    </row>
    <row r="44" customFormat="false" ht="18.75" hidden="false" customHeight="true" outlineLevel="0" collapsed="false">
      <c r="F44" s="424"/>
    </row>
    <row r="45" customFormat="false" ht="18.75" hidden="false" customHeight="true" outlineLevel="0" collapsed="false">
      <c r="F45" s="424"/>
    </row>
  </sheetData>
  <mergeCells count="1">
    <mergeCell ref="B3:F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O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2" min="2" style="20" width="4"/>
    <col collapsed="false" customWidth="true" hidden="false" outlineLevel="0" max="3" min="3" style="20" width="36"/>
    <col collapsed="false" customWidth="true" hidden="false" outlineLevel="0" max="4" min="4" style="20" width="18"/>
    <col collapsed="false" customWidth="true" hidden="false" outlineLevel="0" max="5" min="5" style="20" width="20"/>
    <col collapsed="false" customWidth="true" hidden="false" outlineLevel="0" max="6" min="6" style="20" width="13"/>
    <col collapsed="false" customWidth="true" hidden="false" outlineLevel="0" max="7" min="7" style="20" width="8"/>
    <col collapsed="false" customWidth="true" hidden="false" outlineLevel="0" max="8" min="8" style="20" width="13"/>
    <col collapsed="false" customWidth="true" hidden="false" outlineLevel="0" max="9" min="9" style="20" width="8"/>
    <col collapsed="false" customWidth="true" hidden="false" outlineLevel="0" max="10" min="10" style="20" width="13"/>
    <col collapsed="false" customWidth="true" hidden="false" outlineLevel="0" max="11" min="11" style="20" width="8"/>
    <col collapsed="false" customWidth="true" hidden="false" outlineLevel="0" max="12" min="12" style="20" width="14"/>
    <col collapsed="false" customWidth="true" hidden="false" outlineLevel="0" max="13" min="13" style="20" width="8"/>
    <col collapsed="false" customWidth="true" hidden="false" outlineLevel="0" max="14" min="14" style="20" width="13"/>
    <col collapsed="false" customWidth="true" hidden="false" outlineLevel="0" max="15" min="15" style="20" width="10"/>
    <col collapsed="false" customWidth="true" hidden="false" outlineLevel="0" max="16" min="16" style="20" width="4"/>
  </cols>
  <sheetData>
    <row r="2" customFormat="false" ht="15" hidden="false" customHeight="true" outlineLevel="0" collapsed="false">
      <c r="B2" s="140" t="s">
        <v>422</v>
      </c>
      <c r="L2" s="359" t="s">
        <v>152</v>
      </c>
    </row>
    <row r="4" customFormat="false" ht="24.75" hidden="false" customHeight="true" outlineLevel="0" collapsed="false">
      <c r="B4" s="370" t="s">
        <v>227</v>
      </c>
      <c r="C4" s="369" t="s">
        <v>423</v>
      </c>
      <c r="D4" s="369" t="s">
        <v>424</v>
      </c>
      <c r="E4" s="369" t="s">
        <v>330</v>
      </c>
      <c r="F4" s="370" t="s">
        <v>425</v>
      </c>
      <c r="G4" s="369" t="s">
        <v>426</v>
      </c>
      <c r="H4" s="370" t="s">
        <v>427</v>
      </c>
      <c r="I4" s="369" t="s">
        <v>426</v>
      </c>
      <c r="J4" s="370" t="s">
        <v>428</v>
      </c>
      <c r="K4" s="369" t="s">
        <v>426</v>
      </c>
      <c r="L4" s="369" t="s">
        <v>429</v>
      </c>
      <c r="M4" s="369" t="s">
        <v>426</v>
      </c>
      <c r="N4" s="369" t="s">
        <v>430</v>
      </c>
      <c r="O4" s="369" t="s">
        <v>431</v>
      </c>
    </row>
    <row r="5" customFormat="false" ht="15" hidden="false" customHeight="true" outlineLevel="0" collapsed="false">
      <c r="B5" s="425" t="n">
        <v>1</v>
      </c>
      <c r="C5" s="362" t="s">
        <v>432</v>
      </c>
      <c r="D5" s="362" t="s">
        <v>433</v>
      </c>
      <c r="E5" s="362" t="s">
        <v>434</v>
      </c>
      <c r="F5" s="426" t="n">
        <v>12996480</v>
      </c>
      <c r="G5" s="427" t="n">
        <f aca="false">IFERROR(F5/F$17,"")</f>
        <v>0.0273939801329862</v>
      </c>
      <c r="H5" s="426" t="n">
        <v>8908600</v>
      </c>
      <c r="I5" s="427" t="n">
        <f aca="false">IFERROR(H5/H$17,"")</f>
        <v>0.0165269410817259</v>
      </c>
      <c r="J5" s="426" t="n">
        <v>5508219</v>
      </c>
      <c r="K5" s="427" t="n">
        <f aca="false">IFERROR(J5/J$17,"")</f>
        <v>0.00986447039515236</v>
      </c>
      <c r="L5" s="426" t="n">
        <v>2944810</v>
      </c>
      <c r="M5" s="427" t="n">
        <f aca="false">IFERROR(L5/L$17,"")</f>
        <v>0.0105490728265888</v>
      </c>
      <c r="N5" s="428"/>
      <c r="O5" s="429" t="n">
        <v>3</v>
      </c>
    </row>
    <row r="6" customFormat="false" ht="15" hidden="false" customHeight="true" outlineLevel="0" collapsed="false">
      <c r="B6" s="425" t="n">
        <v>2</v>
      </c>
      <c r="C6" s="362" t="s">
        <v>435</v>
      </c>
      <c r="D6" s="362" t="s">
        <v>433</v>
      </c>
      <c r="E6" s="362" t="s">
        <v>434</v>
      </c>
      <c r="F6" s="426" t="n">
        <v>15610820</v>
      </c>
      <c r="G6" s="427" t="n">
        <f aca="false">IFERROR(F6/F$17,"")</f>
        <v>0.0329044859023077</v>
      </c>
      <c r="H6" s="426" t="n">
        <v>18397207</v>
      </c>
      <c r="I6" s="427" t="n">
        <f aca="false">IFERROR(H6/H$17,"")</f>
        <v>0.0341298920321168</v>
      </c>
      <c r="J6" s="426" t="n">
        <v>22125782</v>
      </c>
      <c r="K6" s="427" t="n">
        <f aca="false">IFERROR(J6/J$17,"")</f>
        <v>0.0396242635793157</v>
      </c>
      <c r="L6" s="426" t="n">
        <v>13650127</v>
      </c>
      <c r="M6" s="427" t="n">
        <f aca="false">IFERROR(L6/L$17,"")</f>
        <v>0.0488982935453173</v>
      </c>
      <c r="N6" s="428" t="n">
        <v>44000000</v>
      </c>
      <c r="O6" s="429"/>
    </row>
    <row r="7" customFormat="false" ht="15" hidden="false" customHeight="true" outlineLevel="0" collapsed="false">
      <c r="B7" s="425" t="n">
        <v>3</v>
      </c>
      <c r="C7" s="362" t="s">
        <v>436</v>
      </c>
      <c r="D7" s="430" t="s">
        <v>437</v>
      </c>
      <c r="E7" s="362" t="s">
        <v>438</v>
      </c>
      <c r="F7" s="426" t="n">
        <v>65416318</v>
      </c>
      <c r="G7" s="427" t="n">
        <f aca="false">IFERROR(F7/F$17,"")</f>
        <v>0.137884513011608</v>
      </c>
      <c r="H7" s="426" t="n">
        <v>67267220</v>
      </c>
      <c r="I7" s="427" t="n">
        <f aca="false">IFERROR(H7/H$17,"")</f>
        <v>0.124791929334743</v>
      </c>
      <c r="J7" s="426" t="n">
        <v>37216460</v>
      </c>
      <c r="K7" s="427" t="n">
        <f aca="false">IFERROR(J7/J$17,"")</f>
        <v>0.0666496135833328</v>
      </c>
      <c r="L7" s="426" t="n">
        <v>25108810</v>
      </c>
      <c r="M7" s="427" t="n">
        <f aca="false">IFERROR(L7/L$17,"")</f>
        <v>0.089946266577124</v>
      </c>
      <c r="N7" s="428" t="n">
        <v>21818576</v>
      </c>
      <c r="O7" s="429" t="n">
        <v>9</v>
      </c>
    </row>
    <row r="8" customFormat="false" ht="15" hidden="false" customHeight="true" outlineLevel="0" collapsed="false">
      <c r="B8" s="425" t="n">
        <v>4</v>
      </c>
      <c r="C8" s="362" t="s">
        <v>439</v>
      </c>
      <c r="D8" s="430" t="s">
        <v>437</v>
      </c>
      <c r="E8" s="362" t="s">
        <v>440</v>
      </c>
      <c r="F8" s="426" t="n">
        <v>88527370</v>
      </c>
      <c r="G8" s="427" t="n">
        <f aca="false">IFERROR(F8/F$17,"")</f>
        <v>0.186597987686321</v>
      </c>
      <c r="H8" s="426" t="n">
        <v>75571000</v>
      </c>
      <c r="I8" s="427" t="n">
        <f aca="false">IFERROR(H8/H$17,"")</f>
        <v>0.140196828288071</v>
      </c>
      <c r="J8" s="426" t="n">
        <v>66609459</v>
      </c>
      <c r="K8" s="427" t="n">
        <f aca="false">IFERROR(J8/J$17,"")</f>
        <v>0.119288473523405</v>
      </c>
      <c r="L8" s="426" t="n">
        <v>40221277</v>
      </c>
      <c r="M8" s="427" t="n">
        <f aca="false">IFERROR(L8/L$17,"")</f>
        <v>0.144083041096506</v>
      </c>
      <c r="N8" s="428" t="n">
        <v>2985224</v>
      </c>
      <c r="O8" s="429" t="n">
        <v>8</v>
      </c>
    </row>
    <row r="9" customFormat="false" ht="15" hidden="false" customHeight="true" outlineLevel="0" collapsed="false">
      <c r="B9" s="425" t="n">
        <v>5</v>
      </c>
      <c r="C9" s="362" t="s">
        <v>441</v>
      </c>
      <c r="D9" s="430" t="s">
        <v>437</v>
      </c>
      <c r="E9" s="362" t="s">
        <v>442</v>
      </c>
      <c r="F9" s="426" t="n">
        <v>66886986</v>
      </c>
      <c r="G9" s="427" t="n">
        <f aca="false">IFERROR(F9/F$17,"")</f>
        <v>0.140984386975498</v>
      </c>
      <c r="H9" s="426" t="n">
        <v>62981034</v>
      </c>
      <c r="I9" s="427" t="n">
        <f aca="false">IFERROR(H9/H$17,"")</f>
        <v>0.116840338345439</v>
      </c>
      <c r="J9" s="426" t="n">
        <v>57326532</v>
      </c>
      <c r="K9" s="427" t="n">
        <f aca="false">IFERROR(J9/J$17,"")</f>
        <v>0.102664014951249</v>
      </c>
      <c r="L9" s="426" t="n">
        <v>33840444</v>
      </c>
      <c r="M9" s="427" t="n">
        <f aca="false">IFERROR(L9/L$17,"")</f>
        <v>0.121225243136263</v>
      </c>
      <c r="N9" s="428" t="n">
        <v>2814741</v>
      </c>
      <c r="O9" s="429" t="n">
        <v>7</v>
      </c>
    </row>
    <row r="10" customFormat="false" ht="15" hidden="false" customHeight="true" outlineLevel="0" collapsed="false">
      <c r="B10" s="425" t="n">
        <v>6</v>
      </c>
      <c r="C10" s="362" t="s">
        <v>443</v>
      </c>
      <c r="D10" s="430" t="s">
        <v>437</v>
      </c>
      <c r="E10" s="362" t="s">
        <v>434</v>
      </c>
      <c r="F10" s="426" t="n">
        <v>50138278</v>
      </c>
      <c r="G10" s="427" t="n">
        <f aca="false">IFERROR(F10/F$17,"")</f>
        <v>0.105681460782777</v>
      </c>
      <c r="H10" s="426" t="n">
        <v>43305102</v>
      </c>
      <c r="I10" s="427" t="n">
        <f aca="false">IFERROR(H10/H$17,"")</f>
        <v>0.0803381978416508</v>
      </c>
      <c r="J10" s="426" t="n">
        <v>38021413</v>
      </c>
      <c r="K10" s="427" t="n">
        <f aca="false">IFERROR(J10/J$17,"")</f>
        <v>0.0680911748280816</v>
      </c>
      <c r="L10" s="426" t="n">
        <v>6112430</v>
      </c>
      <c r="M10" s="427" t="n">
        <f aca="false">IFERROR(L10/L$17,"")</f>
        <v>0.0218963088339913</v>
      </c>
      <c r="N10" s="428" t="n">
        <v>3045850</v>
      </c>
      <c r="O10" s="429" t="n">
        <v>6</v>
      </c>
    </row>
    <row r="11" customFormat="false" ht="15" hidden="false" customHeight="true" outlineLevel="0" collapsed="false">
      <c r="B11" s="425" t="n">
        <v>7</v>
      </c>
      <c r="C11" s="362" t="s">
        <v>444</v>
      </c>
      <c r="D11" s="430" t="s">
        <v>437</v>
      </c>
      <c r="E11" s="362" t="s">
        <v>445</v>
      </c>
      <c r="F11" s="426" t="n">
        <v>32770375</v>
      </c>
      <c r="G11" s="427" t="n">
        <f aca="false">IFERROR(F11/F$17,"")</f>
        <v>0.0690733953886366</v>
      </c>
      <c r="H11" s="426" t="n">
        <v>20636067</v>
      </c>
      <c r="I11" s="427" t="n">
        <f aca="false">IFERROR(H11/H$17,"")</f>
        <v>0.0382833513085724</v>
      </c>
      <c r="J11" s="426" t="n">
        <v>18944680</v>
      </c>
      <c r="K11" s="427" t="n">
        <f aca="false">IFERROR(J11/J$17,"")</f>
        <v>0.0339273429407282</v>
      </c>
      <c r="L11" s="426" t="n">
        <v>1842692</v>
      </c>
      <c r="M11" s="427" t="n">
        <f aca="false">IFERROR(L11/L$17,"")</f>
        <v>0.0066010004397474</v>
      </c>
      <c r="N11" s="428" t="n">
        <v>2459389</v>
      </c>
      <c r="O11" s="429" t="n">
        <v>6</v>
      </c>
    </row>
    <row r="12" customFormat="false" ht="15" hidden="false" customHeight="true" outlineLevel="0" collapsed="false">
      <c r="B12" s="425" t="n">
        <v>8</v>
      </c>
      <c r="C12" s="362" t="s">
        <v>446</v>
      </c>
      <c r="D12" s="430" t="s">
        <v>437</v>
      </c>
      <c r="E12" s="362" t="s">
        <v>447</v>
      </c>
      <c r="F12" s="426"/>
      <c r="G12" s="427" t="n">
        <f aca="false">IFERROR(F12/F$17,"")</f>
        <v>0</v>
      </c>
      <c r="H12" s="426" t="n">
        <v>19793315</v>
      </c>
      <c r="I12" s="427" t="n">
        <f aca="false">IFERROR(H12/H$17,"")</f>
        <v>0.0367199055763017</v>
      </c>
      <c r="J12" s="426" t="n">
        <v>51761466</v>
      </c>
      <c r="K12" s="427" t="n">
        <f aca="false">IFERROR(J12/J$17,"")</f>
        <v>0.0926977393176788</v>
      </c>
      <c r="L12" s="426" t="n">
        <v>36963203</v>
      </c>
      <c r="M12" s="427" t="n">
        <f aca="false">IFERROR(L12/L$17,"")</f>
        <v>0.132411775411991</v>
      </c>
      <c r="N12" s="428" t="n">
        <v>3747447</v>
      </c>
      <c r="O12" s="429" t="n">
        <v>6</v>
      </c>
    </row>
    <row r="13" customFormat="false" ht="15" hidden="false" customHeight="true" outlineLevel="0" collapsed="false">
      <c r="B13" s="425" t="n">
        <v>9</v>
      </c>
      <c r="C13" s="362" t="s">
        <v>448</v>
      </c>
      <c r="D13" s="430" t="s">
        <v>437</v>
      </c>
      <c r="E13" s="362" t="s">
        <v>449</v>
      </c>
      <c r="F13" s="426" t="n">
        <v>43554994</v>
      </c>
      <c r="G13" s="427" t="n">
        <f aca="false">IFERROR(F13/F$17,"")</f>
        <v>0.0918052149757729</v>
      </c>
      <c r="H13" s="426" t="n">
        <v>29765016</v>
      </c>
      <c r="I13" s="427" t="n">
        <f aca="false">IFERROR(H13/H$17,"")</f>
        <v>0.0552190765921277</v>
      </c>
      <c r="J13" s="426"/>
      <c r="K13" s="427" t="n">
        <f aca="false">IFERROR(J13/J$17,"")</f>
        <v>0</v>
      </c>
      <c r="L13" s="426"/>
      <c r="M13" s="427" t="n">
        <f aca="false">IFERROR(L13/L$17,"")</f>
        <v>0</v>
      </c>
      <c r="N13" s="428"/>
      <c r="O13" s="429"/>
    </row>
    <row r="14" customFormat="false" ht="15" hidden="false" customHeight="true" outlineLevel="0" collapsed="false">
      <c r="B14" s="425" t="n">
        <v>10</v>
      </c>
      <c r="C14" s="362" t="s">
        <v>450</v>
      </c>
      <c r="D14" s="362" t="s">
        <v>451</v>
      </c>
      <c r="E14" s="362" t="s">
        <v>452</v>
      </c>
      <c r="F14" s="426" t="n">
        <v>98526700</v>
      </c>
      <c r="G14" s="427" t="n">
        <f aca="false">IFERROR(F14/F$17,"")</f>
        <v>0.207674575144092</v>
      </c>
      <c r="H14" s="426" t="n">
        <v>157755564</v>
      </c>
      <c r="I14" s="427" t="n">
        <f aca="false">IFERROR(H14/H$17,"")</f>
        <v>0.292662922517841</v>
      </c>
      <c r="J14" s="426" t="n">
        <v>118491175</v>
      </c>
      <c r="K14" s="427" t="n">
        <f aca="false">IFERROR(J14/J$17,"")</f>
        <v>0.212201564221451</v>
      </c>
      <c r="L14" s="426" t="n">
        <v>60022946</v>
      </c>
      <c r="M14" s="427" t="n">
        <f aca="false">IFERROR(L14/L$17,"")</f>
        <v>0.21501775279913</v>
      </c>
      <c r="N14" s="428" t="n">
        <v>6566330</v>
      </c>
      <c r="O14" s="429" t="n">
        <v>11</v>
      </c>
    </row>
    <row r="15" customFormat="false" ht="15" hidden="false" customHeight="true" outlineLevel="0" collapsed="false">
      <c r="B15" s="425" t="n">
        <v>11</v>
      </c>
      <c r="C15" s="362" t="s">
        <v>453</v>
      </c>
      <c r="D15" s="362" t="s">
        <v>451</v>
      </c>
      <c r="E15" s="362" t="s">
        <v>454</v>
      </c>
      <c r="F15" s="426"/>
      <c r="G15" s="427" t="n">
        <f aca="false">IFERROR(F15/F$17,"")</f>
        <v>0</v>
      </c>
      <c r="H15" s="426" t="n">
        <v>34654894</v>
      </c>
      <c r="I15" s="427" t="n">
        <f aca="false">IFERROR(H15/H$17,"")</f>
        <v>0.0642906170814108</v>
      </c>
      <c r="J15" s="426" t="n">
        <v>142384548</v>
      </c>
      <c r="K15" s="427" t="n">
        <f aca="false">IFERROR(J15/J$17,"")</f>
        <v>0.254991342659606</v>
      </c>
      <c r="L15" s="426" t="n">
        <v>58446704</v>
      </c>
      <c r="M15" s="427" t="n">
        <f aca="false">IFERROR(L15/L$17,"")</f>
        <v>0.209371245333342</v>
      </c>
      <c r="N15" s="428" t="n">
        <v>8579727</v>
      </c>
      <c r="O15" s="429" t="n">
        <v>10</v>
      </c>
    </row>
    <row r="16" customFormat="false" ht="15" hidden="false" customHeight="true" outlineLevel="0" collapsed="false">
      <c r="B16" s="425" t="n">
        <v>12</v>
      </c>
      <c r="C16" s="362" t="s">
        <v>455</v>
      </c>
      <c r="D16" s="362" t="s">
        <v>17</v>
      </c>
      <c r="E16" s="362" t="s">
        <v>456</v>
      </c>
      <c r="F16" s="426"/>
      <c r="G16" s="427" t="n">
        <f aca="false">IFERROR(F16/F$17,"")</f>
        <v>0</v>
      </c>
      <c r="H16" s="426"/>
      <c r="I16" s="427" t="n">
        <f aca="false">IFERROR(H16/H$17,"")</f>
        <v>0</v>
      </c>
      <c r="J16" s="426"/>
      <c r="K16" s="427" t="n">
        <f aca="false">IFERROR(J16/J$17,"")</f>
        <v>0</v>
      </c>
      <c r="L16" s="426"/>
      <c r="M16" s="427" t="n">
        <f aca="false">IFERROR(L16/L$17,"")</f>
        <v>0</v>
      </c>
      <c r="N16" s="428" t="n">
        <v>10000000</v>
      </c>
      <c r="O16" s="429"/>
    </row>
    <row r="17" customFormat="false" ht="15" hidden="false" customHeight="true" outlineLevel="0" collapsed="false">
      <c r="B17" s="365"/>
      <c r="C17" s="365" t="s">
        <v>119</v>
      </c>
      <c r="D17" s="365"/>
      <c r="E17" s="365"/>
      <c r="F17" s="431" t="n">
        <f aca="false">SUM(F5:F16)</f>
        <v>474428321</v>
      </c>
      <c r="G17" s="432" t="s">
        <v>17</v>
      </c>
      <c r="H17" s="431" t="n">
        <f aca="false">SUM(H5:H16)</f>
        <v>539035019</v>
      </c>
      <c r="I17" s="432" t="s">
        <v>17</v>
      </c>
      <c r="J17" s="431" t="n">
        <f aca="false">SUM(J5:J16)</f>
        <v>558389734</v>
      </c>
      <c r="K17" s="432" t="s">
        <v>17</v>
      </c>
      <c r="L17" s="431" t="n">
        <f aca="false">SUM(L5:L16)</f>
        <v>279153443</v>
      </c>
      <c r="M17" s="432" t="s">
        <v>17</v>
      </c>
      <c r="N17" s="431" t="n">
        <f aca="false">SUM(N5:N16)</f>
        <v>106017284</v>
      </c>
      <c r="O17" s="433" t="n">
        <f aca="false">SUM(O5:O16)</f>
        <v>66</v>
      </c>
    </row>
    <row r="19" customFormat="false" ht="1996.5" hidden="false" customHeight="true" outlineLevel="0" collapsed="false">
      <c r="B19" s="334" t="s">
        <v>457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2" min="2" style="20" width="4"/>
    <col collapsed="false" customWidth="true" hidden="false" outlineLevel="0" max="3" min="3" style="20" width="34"/>
    <col collapsed="false" customWidth="true" hidden="false" outlineLevel="0" max="4" min="4" style="20" width="17"/>
    <col collapsed="false" customWidth="true" hidden="false" outlineLevel="0" max="5" min="5" style="20" width="16"/>
    <col collapsed="false" customWidth="true" hidden="false" outlineLevel="0" max="6" min="6" style="20" width="13"/>
    <col collapsed="false" customWidth="true" hidden="false" outlineLevel="0" max="7" min="7" style="20" width="9"/>
    <col collapsed="false" customWidth="true" hidden="false" outlineLevel="0" max="8" min="8" style="20" width="13"/>
    <col collapsed="false" customWidth="true" hidden="false" outlineLevel="0" max="9" min="9" style="20" width="9"/>
    <col collapsed="false" customWidth="true" hidden="false" outlineLevel="0" max="11" min="10" style="20" width="13"/>
    <col collapsed="false" customWidth="true" hidden="false" outlineLevel="0" max="12" min="12" style="20" width="10"/>
    <col collapsed="false" customWidth="true" hidden="false" outlineLevel="0" max="13" min="13" style="20" width="4"/>
  </cols>
  <sheetData>
    <row r="2" customFormat="false" ht="15" hidden="false" customHeight="true" outlineLevel="0" collapsed="false">
      <c r="B2" s="140" t="s">
        <v>458</v>
      </c>
      <c r="K2" s="359" t="s">
        <v>152</v>
      </c>
    </row>
    <row r="4" customFormat="false" ht="15" hidden="false" customHeight="true" outlineLevel="0" collapsed="false">
      <c r="B4" s="370" t="s">
        <v>227</v>
      </c>
      <c r="C4" s="369" t="s">
        <v>459</v>
      </c>
      <c r="D4" s="369" t="s">
        <v>424</v>
      </c>
      <c r="E4" s="369" t="s">
        <v>460</v>
      </c>
      <c r="F4" s="369" t="s">
        <v>79</v>
      </c>
      <c r="G4" s="369" t="s">
        <v>426</v>
      </c>
      <c r="H4" s="369" t="s">
        <v>86</v>
      </c>
      <c r="I4" s="369" t="s">
        <v>461</v>
      </c>
      <c r="J4" s="369" t="s">
        <v>462</v>
      </c>
      <c r="K4" s="369" t="s">
        <v>88</v>
      </c>
      <c r="L4" s="369" t="s">
        <v>463</v>
      </c>
    </row>
    <row r="5" customFormat="false" ht="15" hidden="false" customHeight="true" outlineLevel="0" collapsed="false">
      <c r="B5" s="425" t="n">
        <v>1</v>
      </c>
      <c r="C5" s="362" t="s">
        <v>436</v>
      </c>
      <c r="D5" s="430" t="s">
        <v>437</v>
      </c>
      <c r="E5" s="362" t="s">
        <v>464</v>
      </c>
      <c r="F5" s="363" t="n">
        <v>25108810</v>
      </c>
      <c r="G5" s="434" t="n">
        <f aca="false">IFERROR(F5/$F$17,"")</f>
        <v>0.089946266577124</v>
      </c>
      <c r="H5" s="363" t="n">
        <v>18583119</v>
      </c>
      <c r="I5" s="434" t="n">
        <f aca="false">IFERROR(H5/$F5,"")</f>
        <v>0.740103533381311</v>
      </c>
      <c r="J5" s="363" t="n">
        <v>18976890</v>
      </c>
      <c r="K5" s="363" t="n">
        <v>-393771</v>
      </c>
      <c r="L5" s="434" t="n">
        <f aca="false">IFERROR(K5/$F5,"")</f>
        <v>-0.0156825831252059</v>
      </c>
    </row>
    <row r="6" customFormat="false" ht="15" hidden="false" customHeight="true" outlineLevel="0" collapsed="false">
      <c r="B6" s="425" t="n">
        <v>2</v>
      </c>
      <c r="C6" s="362" t="s">
        <v>439</v>
      </c>
      <c r="D6" s="430" t="s">
        <v>437</v>
      </c>
      <c r="E6" s="362" t="s">
        <v>464</v>
      </c>
      <c r="F6" s="363" t="n">
        <v>40221277</v>
      </c>
      <c r="G6" s="434" t="n">
        <f aca="false">IFERROR(F6/$F$17,"")</f>
        <v>0.144083041096506</v>
      </c>
      <c r="H6" s="363" t="n">
        <v>31467687</v>
      </c>
      <c r="I6" s="434" t="n">
        <f aca="false">IFERROR(H6/$F6,"")</f>
        <v>0.782364194950847</v>
      </c>
      <c r="J6" s="363" t="n">
        <v>14171474</v>
      </c>
      <c r="K6" s="363" t="n">
        <v>17296213</v>
      </c>
      <c r="L6" s="434" t="n">
        <f aca="false">IFERROR(K6/$F6,"")</f>
        <v>0.430026450925464</v>
      </c>
    </row>
    <row r="7" customFormat="false" ht="15" hidden="false" customHeight="true" outlineLevel="0" collapsed="false">
      <c r="B7" s="425" t="n">
        <v>3</v>
      </c>
      <c r="C7" s="362" t="s">
        <v>441</v>
      </c>
      <c r="D7" s="430" t="s">
        <v>437</v>
      </c>
      <c r="E7" s="362" t="s">
        <v>464</v>
      </c>
      <c r="F7" s="363" t="n">
        <v>33840444</v>
      </c>
      <c r="G7" s="434" t="n">
        <f aca="false">IFERROR(F7/$F$17,"")</f>
        <v>0.121225243136263</v>
      </c>
      <c r="H7" s="363" t="n">
        <v>26675472</v>
      </c>
      <c r="I7" s="434" t="n">
        <f aca="false">IFERROR(H7/$F7,"")</f>
        <v>0.788271926928618</v>
      </c>
      <c r="J7" s="363" t="n">
        <v>13333435</v>
      </c>
      <c r="K7" s="363" t="n">
        <v>13342037</v>
      </c>
      <c r="L7" s="434" t="n">
        <f aca="false">IFERROR(K7/$F7,"")</f>
        <v>0.394263059905479</v>
      </c>
    </row>
    <row r="8" customFormat="false" ht="15" hidden="false" customHeight="true" outlineLevel="0" collapsed="false">
      <c r="B8" s="425" t="n">
        <v>4</v>
      </c>
      <c r="C8" s="362" t="s">
        <v>446</v>
      </c>
      <c r="D8" s="430" t="s">
        <v>437</v>
      </c>
      <c r="E8" s="362" t="s">
        <v>464</v>
      </c>
      <c r="F8" s="363" t="n">
        <v>36963203</v>
      </c>
      <c r="G8" s="434" t="n">
        <f aca="false">IFERROR(F8/$F$17,"")</f>
        <v>0.132411775411991</v>
      </c>
      <c r="H8" s="363" t="n">
        <v>31415730</v>
      </c>
      <c r="I8" s="434" t="n">
        <f aca="false">IFERROR(H8/$F8,"")</f>
        <v>0.849919039754212</v>
      </c>
      <c r="J8" s="363" t="n">
        <v>13900076</v>
      </c>
      <c r="K8" s="363" t="n">
        <v>17515654</v>
      </c>
      <c r="L8" s="434" t="n">
        <f aca="false">IFERROR(K8/$F8,"")</f>
        <v>0.473867321508907</v>
      </c>
    </row>
    <row r="9" customFormat="false" ht="15" hidden="false" customHeight="true" outlineLevel="0" collapsed="false">
      <c r="B9" s="425" t="n">
        <v>5</v>
      </c>
      <c r="C9" s="362" t="s">
        <v>450</v>
      </c>
      <c r="D9" s="362" t="s">
        <v>451</v>
      </c>
      <c r="E9" s="362" t="s">
        <v>464</v>
      </c>
      <c r="F9" s="363" t="n">
        <v>60022946</v>
      </c>
      <c r="G9" s="434" t="n">
        <f aca="false">IFERROR(F9/$F$17,"")</f>
        <v>0.21501775279913</v>
      </c>
      <c r="H9" s="363" t="n">
        <v>48925762</v>
      </c>
      <c r="I9" s="434" t="n">
        <f aca="false">IFERROR(H9/$F9,"")</f>
        <v>0.815117638511112</v>
      </c>
      <c r="J9" s="363" t="n">
        <v>22723774</v>
      </c>
      <c r="K9" s="363" t="n">
        <v>26201988</v>
      </c>
      <c r="L9" s="434" t="n">
        <f aca="false">IFERROR(K9/$F9,"")</f>
        <v>0.436532855285044</v>
      </c>
    </row>
    <row r="10" customFormat="false" ht="15" hidden="false" customHeight="true" outlineLevel="0" collapsed="false">
      <c r="B10" s="425" t="n">
        <v>6</v>
      </c>
      <c r="C10" s="362" t="s">
        <v>453</v>
      </c>
      <c r="D10" s="362" t="s">
        <v>451</v>
      </c>
      <c r="E10" s="362" t="s">
        <v>464</v>
      </c>
      <c r="F10" s="363" t="n">
        <v>58446704</v>
      </c>
      <c r="G10" s="434" t="n">
        <f aca="false">IFERROR(F10/$F$17,"")</f>
        <v>0.209371245333342</v>
      </c>
      <c r="H10" s="363" t="n">
        <v>49077529</v>
      </c>
      <c r="I10" s="434" t="n">
        <f aca="false">IFERROR(H10/$F10,"")</f>
        <v>0.839697119618585</v>
      </c>
      <c r="J10" s="363" t="n">
        <v>22221605</v>
      </c>
      <c r="K10" s="363" t="n">
        <v>26855924</v>
      </c>
      <c r="L10" s="434" t="n">
        <f aca="false">IFERROR(K10/$F10,"")</f>
        <v>0.459494242823342</v>
      </c>
    </row>
    <row r="11" customFormat="false" ht="15" hidden="false" customHeight="true" outlineLevel="0" collapsed="false">
      <c r="B11" s="432"/>
      <c r="C11" s="365" t="s">
        <v>465</v>
      </c>
      <c r="D11" s="365" t="s">
        <v>17</v>
      </c>
      <c r="E11" s="365" t="s">
        <v>17</v>
      </c>
      <c r="F11" s="366" t="n">
        <v>254603384</v>
      </c>
      <c r="G11" s="435" t="n">
        <f aca="false">IFERROR(F11/$F$17,"")</f>
        <v>0.912055324354355</v>
      </c>
      <c r="H11" s="366" t="n">
        <v>206145299</v>
      </c>
      <c r="I11" s="435" t="n">
        <f aca="false">IFERROR(H11/$F11,"")</f>
        <v>0.809672266571288</v>
      </c>
      <c r="J11" s="366" t="n">
        <v>105327254</v>
      </c>
      <c r="K11" s="366" t="n">
        <v>100818045</v>
      </c>
      <c r="L11" s="435" t="n">
        <f aca="false">IFERROR(K11/$F11,"")</f>
        <v>0.395980773766935</v>
      </c>
    </row>
    <row r="12" customFormat="false" ht="15" hidden="false" customHeight="true" outlineLevel="0" collapsed="false">
      <c r="B12" s="425" t="n">
        <v>7</v>
      </c>
      <c r="C12" s="362" t="s">
        <v>466</v>
      </c>
      <c r="D12" s="430" t="s">
        <v>437</v>
      </c>
      <c r="E12" s="430" t="s">
        <v>467</v>
      </c>
      <c r="F12" s="363" t="n">
        <v>6112430</v>
      </c>
      <c r="G12" s="434" t="n">
        <f aca="false">IFERROR(F12/$F$17,"")</f>
        <v>0.0218963088339913</v>
      </c>
      <c r="H12" s="363" t="n">
        <v>859374</v>
      </c>
      <c r="I12" s="434" t="n">
        <f aca="false">IFERROR(H12/$F12,"")</f>
        <v>0.140594493515672</v>
      </c>
      <c r="J12" s="363" t="n">
        <v>1914906</v>
      </c>
      <c r="K12" s="363" t="n">
        <v>-1055532</v>
      </c>
      <c r="L12" s="434" t="n">
        <f aca="false">IFERROR(K12/$F12,"")</f>
        <v>-0.172686149371036</v>
      </c>
    </row>
    <row r="13" customFormat="false" ht="15" hidden="false" customHeight="true" outlineLevel="0" collapsed="false">
      <c r="B13" s="425" t="n">
        <v>8</v>
      </c>
      <c r="C13" s="362" t="s">
        <v>468</v>
      </c>
      <c r="D13" s="430" t="s">
        <v>437</v>
      </c>
      <c r="E13" s="430" t="s">
        <v>469</v>
      </c>
      <c r="F13" s="363" t="n">
        <v>1842692</v>
      </c>
      <c r="G13" s="434" t="n">
        <f aca="false">IFERROR(F13/$F$17,"")</f>
        <v>0.0066010004397474</v>
      </c>
      <c r="H13" s="363" t="n">
        <v>-1274658</v>
      </c>
      <c r="I13" s="434" t="n">
        <f aca="false">IFERROR(H13/$F13,"")</f>
        <v>-0.691736871924337</v>
      </c>
      <c r="J13" s="363" t="n">
        <v>1755945</v>
      </c>
      <c r="K13" s="363" t="n">
        <v>-3030603</v>
      </c>
      <c r="L13" s="434" t="n">
        <f aca="false">IFERROR(K13/$F13,"")</f>
        <v>-1.64466063780599</v>
      </c>
    </row>
    <row r="14" customFormat="false" ht="15" hidden="false" customHeight="true" outlineLevel="0" collapsed="false">
      <c r="B14" s="425"/>
      <c r="C14" s="362" t="s">
        <v>470</v>
      </c>
      <c r="D14" s="362" t="s">
        <v>433</v>
      </c>
      <c r="E14" s="362" t="s">
        <v>17</v>
      </c>
      <c r="F14" s="363" t="n">
        <v>2944810</v>
      </c>
      <c r="G14" s="434" t="n">
        <f aca="false">IFERROR(F14/$F$17,"")</f>
        <v>0.0105490728265888</v>
      </c>
      <c r="H14" s="363" t="n">
        <v>1614698</v>
      </c>
      <c r="I14" s="434" t="n">
        <f aca="false">IFERROR(H14/$F14,"")</f>
        <v>0.548319925563958</v>
      </c>
      <c r="J14" s="363" t="n">
        <v>0</v>
      </c>
      <c r="K14" s="363" t="n">
        <v>1614698</v>
      </c>
      <c r="L14" s="434" t="n">
        <f aca="false">IFERROR(K14/$F14,"")</f>
        <v>0.548319925563958</v>
      </c>
    </row>
    <row r="15" customFormat="false" ht="15" hidden="false" customHeight="true" outlineLevel="0" collapsed="false">
      <c r="B15" s="425"/>
      <c r="C15" s="362" t="s">
        <v>471</v>
      </c>
      <c r="D15" s="362" t="s">
        <v>433</v>
      </c>
      <c r="E15" s="430" t="s">
        <v>472</v>
      </c>
      <c r="F15" s="363" t="n">
        <v>0</v>
      </c>
      <c r="G15" s="434" t="n">
        <f aca="false">IFERROR(F15/$F$17,"")</f>
        <v>0</v>
      </c>
      <c r="H15" s="363" t="n">
        <v>0</v>
      </c>
      <c r="I15" s="434" t="str">
        <f aca="false">IFERROR(H15/$F15,"")</f>
        <v/>
      </c>
      <c r="J15" s="363" t="n">
        <v>113163</v>
      </c>
      <c r="K15" s="363" t="n">
        <v>-113163</v>
      </c>
      <c r="L15" s="434" t="str">
        <f aca="false">IFERROR(K15/$F15,"")</f>
        <v/>
      </c>
    </row>
    <row r="16" customFormat="false" ht="15" hidden="false" customHeight="true" outlineLevel="0" collapsed="false">
      <c r="B16" s="425"/>
      <c r="C16" s="362" t="s">
        <v>473</v>
      </c>
      <c r="D16" s="362" t="s">
        <v>433</v>
      </c>
      <c r="E16" s="362" t="s">
        <v>17</v>
      </c>
      <c r="F16" s="363" t="n">
        <v>13650127</v>
      </c>
      <c r="G16" s="434" t="n">
        <f aca="false">IFERROR(F16/$F$17,"")</f>
        <v>0.0488982935453173</v>
      </c>
      <c r="H16" s="363" t="n">
        <v>-32953516</v>
      </c>
      <c r="I16" s="434" t="n">
        <f aca="false">IFERROR(H16/$F16,"")</f>
        <v>-2.41415453497246</v>
      </c>
      <c r="J16" s="363" t="n">
        <v>58643080</v>
      </c>
      <c r="K16" s="363" t="n">
        <v>-91596596</v>
      </c>
      <c r="L16" s="434" t="n">
        <f aca="false">IFERROR(K16/$F16,"")</f>
        <v>-6.71031090040408</v>
      </c>
    </row>
    <row r="17" customFormat="false" ht="15" hidden="false" customHeight="true" outlineLevel="0" collapsed="false">
      <c r="B17" s="432"/>
      <c r="C17" s="365" t="s">
        <v>474</v>
      </c>
      <c r="D17" s="365" t="s">
        <v>17</v>
      </c>
      <c r="E17" s="365" t="s">
        <v>17</v>
      </c>
      <c r="F17" s="366" t="n">
        <v>279153443</v>
      </c>
      <c r="G17" s="435" t="n">
        <f aca="false">IFERROR(F17/$F$17,"")</f>
        <v>1</v>
      </c>
      <c r="H17" s="366" t="n">
        <v>174391197</v>
      </c>
      <c r="I17" s="435" t="n">
        <f aca="false">IFERROR(H17/$F17,"")</f>
        <v>0.624714476475219</v>
      </c>
      <c r="J17" s="366" t="n">
        <v>167754348</v>
      </c>
      <c r="K17" s="366" t="n">
        <v>6636849</v>
      </c>
      <c r="L17" s="435" t="n">
        <f aca="false">IFERROR(K17/$F17,"")</f>
        <v>0.0237749136413123</v>
      </c>
    </row>
    <row r="19" customFormat="false" ht="2779.5" hidden="false" customHeight="true" outlineLevel="0" collapsed="false">
      <c r="B19" s="371" t="s">
        <v>475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Q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20" width="13"/>
    <col collapsed="false" customWidth="true" hidden="false" outlineLevel="0" max="2" min="2" style="20" width="4"/>
    <col collapsed="false" customWidth="true" hidden="false" outlineLevel="0" max="3" min="3" style="20" width="32"/>
    <col collapsed="false" customWidth="true" hidden="false" outlineLevel="0" max="4" min="4" style="20" width="15"/>
    <col collapsed="false" customWidth="true" hidden="false" outlineLevel="0" max="7" min="5" style="20" width="12"/>
    <col collapsed="false" customWidth="true" hidden="false" outlineLevel="0" max="8" min="8" style="20" width="11"/>
    <col collapsed="false" customWidth="true" hidden="false" outlineLevel="0" max="9" min="9" style="20" width="9"/>
    <col collapsed="false" customWidth="true" hidden="false" outlineLevel="0" max="10" min="10" style="20" width="11"/>
    <col collapsed="false" customWidth="true" hidden="false" outlineLevel="0" max="14" min="11" style="20" width="12"/>
    <col collapsed="false" customWidth="true" hidden="false" outlineLevel="0" max="15" min="15" style="20" width="11"/>
    <col collapsed="false" customWidth="true" hidden="false" outlineLevel="0" max="16" min="16" style="20" width="12"/>
    <col collapsed="false" customWidth="true" hidden="false" outlineLevel="0" max="17" min="17" style="20" width="9"/>
  </cols>
  <sheetData>
    <row r="2" customFormat="false" ht="16.5" hidden="false" customHeight="true" outlineLevel="0" collapsed="false">
      <c r="B2" s="140" t="s">
        <v>476</v>
      </c>
      <c r="P2" s="359" t="s">
        <v>152</v>
      </c>
    </row>
    <row r="4" customFormat="false" ht="27.75" hidden="false" customHeight="true" outlineLevel="0" collapsed="false">
      <c r="B4" s="436" t="s">
        <v>227</v>
      </c>
      <c r="C4" s="437" t="s">
        <v>459</v>
      </c>
      <c r="D4" s="437" t="s">
        <v>460</v>
      </c>
      <c r="E4" s="437" t="s">
        <v>79</v>
      </c>
      <c r="F4" s="437" t="s">
        <v>123</v>
      </c>
      <c r="G4" s="437" t="s">
        <v>130</v>
      </c>
      <c r="H4" s="437" t="s">
        <v>477</v>
      </c>
      <c r="I4" s="437" t="s">
        <v>478</v>
      </c>
      <c r="J4" s="437" t="s">
        <v>129</v>
      </c>
      <c r="K4" s="437" t="s">
        <v>127</v>
      </c>
      <c r="L4" s="437" t="s">
        <v>134</v>
      </c>
      <c r="M4" s="437" t="s">
        <v>125</v>
      </c>
      <c r="N4" s="437" t="s">
        <v>144</v>
      </c>
      <c r="O4" s="437" t="s">
        <v>416</v>
      </c>
      <c r="P4" s="437" t="s">
        <v>479</v>
      </c>
      <c r="Q4" s="437" t="s">
        <v>480</v>
      </c>
    </row>
    <row r="5" customFormat="false" ht="15" hidden="false" customHeight="true" outlineLevel="0" collapsed="false">
      <c r="B5" s="425" t="n">
        <v>1</v>
      </c>
      <c r="C5" s="362" t="s">
        <v>436</v>
      </c>
      <c r="D5" s="362" t="s">
        <v>464</v>
      </c>
      <c r="E5" s="363" t="n">
        <v>25108810</v>
      </c>
      <c r="F5" s="363" t="n">
        <v>11070780</v>
      </c>
      <c r="G5" s="363" t="n">
        <v>-1054506</v>
      </c>
      <c r="H5" s="363" t="n">
        <f aca="false">F5+G5</f>
        <v>10016274</v>
      </c>
      <c r="I5" s="438" t="n">
        <f aca="false">IFERROR(H5/$E5,"")</f>
        <v>0.39891472355719</v>
      </c>
      <c r="J5" s="363" t="n">
        <v>0</v>
      </c>
      <c r="K5" s="363" t="n">
        <v>3467132</v>
      </c>
      <c r="L5" s="363" t="n">
        <v>0</v>
      </c>
      <c r="M5" s="363" t="n">
        <v>2310000</v>
      </c>
      <c r="N5" s="363" t="n">
        <v>655922</v>
      </c>
      <c r="O5" s="363" t="n">
        <f aca="false">P5-(F5+G5+J5+K5+L5+M5+N5)</f>
        <v>2527562</v>
      </c>
      <c r="P5" s="363" t="n">
        <v>18976890</v>
      </c>
      <c r="Q5" s="438" t="n">
        <f aca="false">IFERROR(P5/$E5,"")</f>
        <v>0.755786116506517</v>
      </c>
    </row>
    <row r="6" customFormat="false" ht="15" hidden="false" customHeight="true" outlineLevel="0" collapsed="false">
      <c r="B6" s="425" t="n">
        <v>2</v>
      </c>
      <c r="C6" s="362" t="s">
        <v>439</v>
      </c>
      <c r="D6" s="362" t="s">
        <v>464</v>
      </c>
      <c r="E6" s="363" t="n">
        <v>40221277</v>
      </c>
      <c r="F6" s="363" t="n">
        <v>8234159</v>
      </c>
      <c r="G6" s="363" t="n">
        <v>-967806</v>
      </c>
      <c r="H6" s="363" t="n">
        <f aca="false">F6+G6</f>
        <v>7266353</v>
      </c>
      <c r="I6" s="438" t="n">
        <f aca="false">IFERROR(H6/$E6,"")</f>
        <v>0.180659430579492</v>
      </c>
      <c r="J6" s="363" t="n">
        <v>0</v>
      </c>
      <c r="K6" s="363" t="n">
        <v>4826556</v>
      </c>
      <c r="L6" s="363" t="n">
        <v>0</v>
      </c>
      <c r="M6" s="363" t="n">
        <v>1540000</v>
      </c>
      <c r="N6" s="363" t="n">
        <v>110550</v>
      </c>
      <c r="O6" s="363" t="n">
        <f aca="false">P6-(F6+G6+J6+K6+L6+M6+N6)</f>
        <v>428015</v>
      </c>
      <c r="P6" s="363" t="n">
        <v>14171474</v>
      </c>
      <c r="Q6" s="438" t="n">
        <f aca="false">IFERROR(P6/$E6,"")</f>
        <v>0.352337744025382</v>
      </c>
    </row>
    <row r="7" customFormat="false" ht="15" hidden="false" customHeight="true" outlineLevel="0" collapsed="false">
      <c r="B7" s="425" t="n">
        <v>3</v>
      </c>
      <c r="C7" s="362" t="s">
        <v>441</v>
      </c>
      <c r="D7" s="362" t="s">
        <v>464</v>
      </c>
      <c r="E7" s="363" t="n">
        <v>33840444</v>
      </c>
      <c r="F7" s="363" t="n">
        <v>7922592</v>
      </c>
      <c r="G7" s="363" t="n">
        <v>-1058795</v>
      </c>
      <c r="H7" s="363" t="n">
        <f aca="false">F7+G7</f>
        <v>6863797</v>
      </c>
      <c r="I7" s="438" t="n">
        <f aca="false">IFERROR(H7/$E7,"")</f>
        <v>0.202828219393339</v>
      </c>
      <c r="J7" s="363" t="n">
        <v>0</v>
      </c>
      <c r="K7" s="363" t="n">
        <v>4399257</v>
      </c>
      <c r="L7" s="363" t="n">
        <v>0</v>
      </c>
      <c r="M7" s="363" t="n">
        <v>1540000</v>
      </c>
      <c r="N7" s="363" t="n">
        <v>155900</v>
      </c>
      <c r="O7" s="363" t="n">
        <f aca="false">P7-(F7+G7+J7+K7+L7+M7+N7)</f>
        <v>374481</v>
      </c>
      <c r="P7" s="363" t="n">
        <v>13333435</v>
      </c>
      <c r="Q7" s="438" t="n">
        <f aca="false">IFERROR(P7/$E7,"")</f>
        <v>0.39400886702314</v>
      </c>
    </row>
    <row r="8" customFormat="false" ht="15" hidden="false" customHeight="true" outlineLevel="0" collapsed="false">
      <c r="B8" s="425" t="n">
        <v>4</v>
      </c>
      <c r="C8" s="362" t="s">
        <v>446</v>
      </c>
      <c r="D8" s="362" t="s">
        <v>464</v>
      </c>
      <c r="E8" s="363" t="n">
        <v>36963203</v>
      </c>
      <c r="F8" s="363" t="n">
        <v>6677386</v>
      </c>
      <c r="G8" s="363" t="n">
        <v>-709546</v>
      </c>
      <c r="H8" s="363" t="n">
        <f aca="false">F8+G8</f>
        <v>5967840</v>
      </c>
      <c r="I8" s="438" t="n">
        <f aca="false">IFERROR(H8/$E8,"")</f>
        <v>0.161453540701005</v>
      </c>
      <c r="J8" s="363" t="n">
        <v>0</v>
      </c>
      <c r="K8" s="363" t="n">
        <v>0</v>
      </c>
      <c r="L8" s="363" t="n">
        <v>5407317</v>
      </c>
      <c r="M8" s="363" t="n">
        <v>770000</v>
      </c>
      <c r="N8" s="363" t="n">
        <v>1043292</v>
      </c>
      <c r="O8" s="363" t="n">
        <f aca="false">P8-(F8+G8+J8+K8+L8+M8+N8)</f>
        <v>711627</v>
      </c>
      <c r="P8" s="363" t="n">
        <v>13900076</v>
      </c>
      <c r="Q8" s="438" t="n">
        <f aca="false">IFERROR(P8/$E8,"")</f>
        <v>0.376051718245305</v>
      </c>
    </row>
    <row r="9" customFormat="false" ht="15" hidden="false" customHeight="true" outlineLevel="0" collapsed="false">
      <c r="B9" s="425" t="n">
        <v>5</v>
      </c>
      <c r="C9" s="362" t="s">
        <v>450</v>
      </c>
      <c r="D9" s="362" t="s">
        <v>464</v>
      </c>
      <c r="E9" s="363" t="n">
        <v>60022946</v>
      </c>
      <c r="F9" s="363" t="n">
        <v>13862144</v>
      </c>
      <c r="G9" s="363" t="n">
        <v>-1525287</v>
      </c>
      <c r="H9" s="363" t="n">
        <f aca="false">F9+G9</f>
        <v>12336857</v>
      </c>
      <c r="I9" s="438" t="n">
        <f aca="false">IFERROR(H9/$E9,"")</f>
        <v>0.20553567963825</v>
      </c>
      <c r="J9" s="363" t="n">
        <v>0</v>
      </c>
      <c r="K9" s="363" t="n">
        <v>0</v>
      </c>
      <c r="L9" s="363" t="n">
        <v>5160083</v>
      </c>
      <c r="M9" s="363" t="n">
        <v>2459820</v>
      </c>
      <c r="N9" s="363" t="n">
        <v>2012786</v>
      </c>
      <c r="O9" s="363" t="n">
        <f aca="false">P9-(F9+G9+J9+K9+L9+M9+N9)</f>
        <v>754228</v>
      </c>
      <c r="P9" s="363" t="n">
        <v>22723774</v>
      </c>
      <c r="Q9" s="438" t="n">
        <f aca="false">IFERROR(P9/$E9,"")</f>
        <v>0.378584783226068</v>
      </c>
    </row>
    <row r="10" customFormat="false" ht="15" hidden="false" customHeight="true" outlineLevel="0" collapsed="false">
      <c r="B10" s="425" t="n">
        <v>6</v>
      </c>
      <c r="C10" s="362" t="s">
        <v>453</v>
      </c>
      <c r="D10" s="362" t="s">
        <v>464</v>
      </c>
      <c r="E10" s="363" t="n">
        <v>58446704</v>
      </c>
      <c r="F10" s="363" t="n">
        <v>11461033</v>
      </c>
      <c r="G10" s="363" t="n">
        <v>-1133275</v>
      </c>
      <c r="H10" s="363" t="n">
        <f aca="false">F10+G10</f>
        <v>10327758</v>
      </c>
      <c r="I10" s="438" t="n">
        <f aca="false">IFERROR(H10/$E10,"")</f>
        <v>0.176703856559645</v>
      </c>
      <c r="J10" s="363" t="n">
        <v>0</v>
      </c>
      <c r="K10" s="363" t="n">
        <v>0</v>
      </c>
      <c r="L10" s="363" t="n">
        <v>6935929</v>
      </c>
      <c r="M10" s="363" t="n">
        <v>2073500</v>
      </c>
      <c r="N10" s="363" t="n">
        <v>2100129</v>
      </c>
      <c r="O10" s="363" t="n">
        <f aca="false">P10-(F10+G10+J10+K10+L10+M10+N10)</f>
        <v>784289</v>
      </c>
      <c r="P10" s="363" t="n">
        <v>22221605</v>
      </c>
      <c r="Q10" s="438" t="n">
        <f aca="false">IFERROR(P10/$E10,"")</f>
        <v>0.380202876795242</v>
      </c>
    </row>
    <row r="11" customFormat="false" ht="15" hidden="false" customHeight="true" outlineLevel="0" collapsed="false">
      <c r="B11" s="439"/>
      <c r="C11" s="365" t="s">
        <v>465</v>
      </c>
      <c r="D11" s="365" t="s">
        <v>17</v>
      </c>
      <c r="E11" s="366" t="n">
        <f aca="false">SUM(E5:E10)</f>
        <v>254603384</v>
      </c>
      <c r="F11" s="366" t="n">
        <f aca="false">SUM(F5:F10)</f>
        <v>59228094</v>
      </c>
      <c r="G11" s="366" t="n">
        <f aca="false">SUM(G5:G10)</f>
        <v>-6449215</v>
      </c>
      <c r="H11" s="366" t="n">
        <f aca="false">F11+G11</f>
        <v>52778879</v>
      </c>
      <c r="I11" s="440" t="n">
        <f aca="false">IFERROR(H11/$E11,"")</f>
        <v>0.20729841909721</v>
      </c>
      <c r="J11" s="366" t="n">
        <f aca="false">SUM(J5:J10)</f>
        <v>0</v>
      </c>
      <c r="K11" s="366" t="n">
        <f aca="false">SUM(K5:K10)</f>
        <v>12692945</v>
      </c>
      <c r="L11" s="366" t="n">
        <f aca="false">SUM(L5:L10)</f>
        <v>17503329</v>
      </c>
      <c r="M11" s="366" t="n">
        <f aca="false">SUM(M5:M10)</f>
        <v>10693320</v>
      </c>
      <c r="N11" s="366" t="n">
        <f aca="false">SUM(N5:N10)</f>
        <v>6078579</v>
      </c>
      <c r="O11" s="366" t="n">
        <f aca="false">P11-(F11+G11+J11+K11+L11+M11+N11)</f>
        <v>5580202</v>
      </c>
      <c r="P11" s="366" t="n">
        <f aca="false">SUM(P5:P10)</f>
        <v>105327254</v>
      </c>
      <c r="Q11" s="440" t="n">
        <f aca="false">IFERROR(P11/$E11,"")</f>
        <v>0.413691492804353</v>
      </c>
    </row>
    <row r="12" customFormat="false" ht="15" hidden="false" customHeight="true" outlineLevel="0" collapsed="false">
      <c r="B12" s="425" t="n">
        <v>7</v>
      </c>
      <c r="C12" s="362" t="s">
        <v>466</v>
      </c>
      <c r="D12" s="430" t="s">
        <v>467</v>
      </c>
      <c r="E12" s="363" t="n">
        <v>6112430</v>
      </c>
      <c r="F12" s="363" t="n">
        <v>1059512</v>
      </c>
      <c r="G12" s="363" t="n">
        <v>-175480</v>
      </c>
      <c r="H12" s="363" t="n">
        <f aca="false">F12+G12</f>
        <v>884032</v>
      </c>
      <c r="I12" s="438" t="n">
        <f aca="false">IFERROR(H12/$E12,"")</f>
        <v>0.144628568343523</v>
      </c>
      <c r="J12" s="363" t="n">
        <v>0</v>
      </c>
      <c r="K12" s="363" t="n">
        <v>916864</v>
      </c>
      <c r="L12" s="363" t="n">
        <v>30800</v>
      </c>
      <c r="M12" s="363" t="n">
        <v>0</v>
      </c>
      <c r="N12" s="363" t="n">
        <v>203</v>
      </c>
      <c r="O12" s="363" t="n">
        <f aca="false">P12-(F12+G12+J12+K12+L12+M12+N12)</f>
        <v>83007</v>
      </c>
      <c r="P12" s="363" t="n">
        <v>1914906</v>
      </c>
      <c r="Q12" s="438" t="n">
        <f aca="false">IFERROR(P12/$E12,"")</f>
        <v>0.313280642886708</v>
      </c>
    </row>
    <row r="13" customFormat="false" ht="15" hidden="false" customHeight="true" outlineLevel="0" collapsed="false">
      <c r="B13" s="425" t="n">
        <v>8</v>
      </c>
      <c r="C13" s="362" t="s">
        <v>468</v>
      </c>
      <c r="D13" s="430" t="s">
        <v>469</v>
      </c>
      <c r="E13" s="363" t="n">
        <v>1842692</v>
      </c>
      <c r="F13" s="363" t="n">
        <v>1093462</v>
      </c>
      <c r="G13" s="363" t="n">
        <v>-97371</v>
      </c>
      <c r="H13" s="363" t="n">
        <f aca="false">F13+G13</f>
        <v>996091</v>
      </c>
      <c r="I13" s="438" t="n">
        <f aca="false">IFERROR(H13/$E13,"")</f>
        <v>0.540562937267867</v>
      </c>
      <c r="J13" s="363" t="n">
        <v>0</v>
      </c>
      <c r="K13" s="363" t="n">
        <v>583202</v>
      </c>
      <c r="L13" s="363" t="n">
        <v>0</v>
      </c>
      <c r="M13" s="363" t="n">
        <v>0</v>
      </c>
      <c r="N13" s="363" t="n">
        <v>0</v>
      </c>
      <c r="O13" s="363" t="n">
        <f aca="false">P13-(F13+G13+J13+K13+L13+M13+N13)</f>
        <v>176652</v>
      </c>
      <c r="P13" s="363" t="n">
        <v>1755945</v>
      </c>
      <c r="Q13" s="438" t="n">
        <f aca="false">IFERROR(P13/$E13,"")</f>
        <v>0.952923765881656</v>
      </c>
    </row>
    <row r="14" customFormat="false" ht="15" hidden="false" customHeight="true" outlineLevel="0" collapsed="false">
      <c r="B14" s="425"/>
      <c r="C14" s="362" t="s">
        <v>470</v>
      </c>
      <c r="D14" s="362" t="s">
        <v>17</v>
      </c>
      <c r="E14" s="363" t="n">
        <v>2944810</v>
      </c>
      <c r="F14" s="363" t="n">
        <v>0</v>
      </c>
      <c r="G14" s="363" t="n">
        <v>0</v>
      </c>
      <c r="H14" s="363" t="n">
        <f aca="false">F14+G14</f>
        <v>0</v>
      </c>
      <c r="I14" s="438" t="n">
        <f aca="false">IFERROR(H14/$E14,"")</f>
        <v>0</v>
      </c>
      <c r="J14" s="363" t="n">
        <v>0</v>
      </c>
      <c r="K14" s="363" t="n">
        <v>0</v>
      </c>
      <c r="L14" s="363" t="n">
        <v>0</v>
      </c>
      <c r="M14" s="363" t="n">
        <v>0</v>
      </c>
      <c r="N14" s="363" t="n">
        <v>0</v>
      </c>
      <c r="O14" s="363" t="n">
        <f aca="false">P14-(F14+G14+J14+K14+L14+M14+N14)</f>
        <v>0</v>
      </c>
      <c r="P14" s="363" t="n">
        <v>0</v>
      </c>
      <c r="Q14" s="438" t="n">
        <f aca="false">IFERROR(P14/$E14,"")</f>
        <v>0</v>
      </c>
    </row>
    <row r="15" customFormat="false" ht="15" hidden="false" customHeight="true" outlineLevel="0" collapsed="false">
      <c r="B15" s="425"/>
      <c r="C15" s="362" t="s">
        <v>471</v>
      </c>
      <c r="D15" s="430" t="s">
        <v>472</v>
      </c>
      <c r="E15" s="363" t="n">
        <v>0</v>
      </c>
      <c r="F15" s="363" t="n">
        <v>348658</v>
      </c>
      <c r="G15" s="363" t="n">
        <v>-251815</v>
      </c>
      <c r="H15" s="363" t="n">
        <f aca="false">F15+G15</f>
        <v>96843</v>
      </c>
      <c r="I15" s="438" t="str">
        <f aca="false">IFERROR(H15/$E15,"")</f>
        <v/>
      </c>
      <c r="J15" s="363" t="n">
        <v>0</v>
      </c>
      <c r="K15" s="363" t="n">
        <v>0</v>
      </c>
      <c r="L15" s="363" t="n">
        <v>0</v>
      </c>
      <c r="M15" s="363" t="n">
        <v>0</v>
      </c>
      <c r="N15" s="363" t="n">
        <v>0</v>
      </c>
      <c r="O15" s="363" t="n">
        <f aca="false">P15-(F15+G15+J15+K15+L15+M15+N15)</f>
        <v>16320</v>
      </c>
      <c r="P15" s="363" t="n">
        <v>113163</v>
      </c>
      <c r="Q15" s="438" t="str">
        <f aca="false">IFERROR(P15/$E15,"")</f>
        <v/>
      </c>
    </row>
    <row r="16" customFormat="false" ht="15" hidden="false" customHeight="true" outlineLevel="0" collapsed="false">
      <c r="B16" s="425"/>
      <c r="C16" s="362" t="s">
        <v>473</v>
      </c>
      <c r="D16" s="362" t="s">
        <v>17</v>
      </c>
      <c r="E16" s="363" t="n">
        <v>13650127</v>
      </c>
      <c r="F16" s="363" t="n">
        <v>2450000</v>
      </c>
      <c r="G16" s="363" t="n">
        <v>9752797</v>
      </c>
      <c r="H16" s="363" t="n">
        <f aca="false">F16+G16</f>
        <v>12202797</v>
      </c>
      <c r="I16" s="438" t="n">
        <f aca="false">IFERROR(H16/$E16,"")</f>
        <v>0.89396948467952</v>
      </c>
      <c r="J16" s="363" t="n">
        <v>6300000</v>
      </c>
      <c r="K16" s="363" t="n">
        <v>0</v>
      </c>
      <c r="L16" s="363" t="n">
        <v>2345000</v>
      </c>
      <c r="M16" s="363" t="n">
        <v>4469888</v>
      </c>
      <c r="N16" s="363" t="n">
        <v>848821</v>
      </c>
      <c r="O16" s="363" t="n">
        <f aca="false">P16-(F16+G16+J16+K16+L16+M16+N16)</f>
        <v>32476574</v>
      </c>
      <c r="P16" s="363" t="n">
        <v>58643080</v>
      </c>
      <c r="Q16" s="438" t="n">
        <f aca="false">IFERROR(P16/$E16,"")</f>
        <v>4.29615636543162</v>
      </c>
    </row>
    <row r="17" customFormat="false" ht="15" hidden="false" customHeight="true" outlineLevel="0" collapsed="false">
      <c r="B17" s="439"/>
      <c r="C17" s="365" t="s">
        <v>474</v>
      </c>
      <c r="D17" s="365" t="s">
        <v>17</v>
      </c>
      <c r="E17" s="366" t="n">
        <f aca="false">E5+E6+E7+E8+E9+E10+E12+E13+E14+E15+E16</f>
        <v>279153443</v>
      </c>
      <c r="F17" s="366" t="n">
        <f aca="false">F5+F6+F7+F8+F9+F10+F12+F13+F14+F15+F16</f>
        <v>64179726</v>
      </c>
      <c r="G17" s="366" t="n">
        <f aca="false">G5+G6+G7+G8+G9+G10+G12+G13+G14+G15+G16</f>
        <v>2778916</v>
      </c>
      <c r="H17" s="366" t="n">
        <f aca="false">F17+G17</f>
        <v>66958642</v>
      </c>
      <c r="I17" s="440" t="n">
        <f aca="false">IFERROR(H17/$E17,"")</f>
        <v>0.239863213866934</v>
      </c>
      <c r="J17" s="366" t="n">
        <f aca="false">J5+J6+J7+J8+J9+J10+J12+J13+J14+J15+J16</f>
        <v>6300000</v>
      </c>
      <c r="K17" s="366" t="n">
        <f aca="false">K5+K6+K7+K8+K9+K10+K12+K13+K14+K15+K16</f>
        <v>14193011</v>
      </c>
      <c r="L17" s="366" t="n">
        <f aca="false">L5+L6+L7+L8+L9+L10+L12+L13+L14+L15+L16</f>
        <v>19879129</v>
      </c>
      <c r="M17" s="366" t="n">
        <f aca="false">M5+M6+M7+M8+M9+M10+M12+M13+M14+M15+M16</f>
        <v>15163208</v>
      </c>
      <c r="N17" s="366" t="n">
        <f aca="false">N5+N6+N7+N8+N9+N10+N12+N13+N14+N15+N16</f>
        <v>6927603</v>
      </c>
      <c r="O17" s="366" t="n">
        <f aca="false">P17-(F17+G17+J17+K17+L17+M17+N17)</f>
        <v>38332755</v>
      </c>
      <c r="P17" s="366" t="n">
        <f aca="false">P5+P6+P7+P8+P9+P10+P12+P13+P14+P15+P16</f>
        <v>167754348</v>
      </c>
      <c r="Q17" s="440" t="n">
        <f aca="false">IFERROR(P17/$E17,"")</f>
        <v>0.600939562833907</v>
      </c>
    </row>
    <row r="19" customFormat="false" ht="3276.75" hidden="false" customHeight="true" outlineLevel="0" collapsed="false">
      <c r="B19" s="371" t="s">
        <v>481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2" min="2" style="20" width="36"/>
    <col collapsed="false" customWidth="true" hidden="false" outlineLevel="0" max="7" min="3" style="20" width="12"/>
    <col collapsed="false" customWidth="true" hidden="false" outlineLevel="0" max="9" min="8" style="20" width="13"/>
    <col collapsed="false" customWidth="true" hidden="false" outlineLevel="0" max="10" min="10" style="20" width="46"/>
    <col collapsed="false" customWidth="true" hidden="false" outlineLevel="0" max="11" min="11" style="20" width="4"/>
  </cols>
  <sheetData>
    <row r="2" customFormat="false" ht="15" hidden="false" customHeight="true" outlineLevel="0" collapsed="false">
      <c r="B2" s="140" t="s">
        <v>482</v>
      </c>
      <c r="J2" s="359" t="s">
        <v>483</v>
      </c>
    </row>
    <row r="4" customFormat="false" ht="15" hidden="false" customHeight="true" outlineLevel="0" collapsed="false">
      <c r="B4" s="369" t="s">
        <v>484</v>
      </c>
      <c r="C4" s="369" t="s">
        <v>485</v>
      </c>
      <c r="D4" s="369" t="s">
        <v>486</v>
      </c>
      <c r="E4" s="369" t="s">
        <v>487</v>
      </c>
      <c r="F4" s="369" t="s">
        <v>488</v>
      </c>
      <c r="G4" s="369" t="s">
        <v>489</v>
      </c>
      <c r="H4" s="369" t="s">
        <v>119</v>
      </c>
      <c r="I4" s="369" t="s">
        <v>490</v>
      </c>
      <c r="J4" s="369" t="s">
        <v>240</v>
      </c>
    </row>
    <row r="5" customFormat="false" ht="15" hidden="false" customHeight="true" outlineLevel="0" collapsed="false">
      <c r="B5" s="362" t="s">
        <v>436</v>
      </c>
      <c r="C5" s="363" t="n">
        <v>140028</v>
      </c>
      <c r="D5" s="363" t="n">
        <v>47670</v>
      </c>
      <c r="E5" s="363" t="n">
        <v>1295000</v>
      </c>
      <c r="F5" s="363" t="n">
        <v>1482698</v>
      </c>
      <c r="G5" s="363" t="n">
        <v>666878</v>
      </c>
      <c r="H5" s="363" t="n">
        <v>2149576</v>
      </c>
      <c r="I5" s="363" t="n">
        <v>21818576</v>
      </c>
      <c r="J5" s="362" t="s">
        <v>491</v>
      </c>
    </row>
    <row r="6" customFormat="false" ht="15" hidden="false" customHeight="true" outlineLevel="0" collapsed="false">
      <c r="B6" s="362" t="s">
        <v>492</v>
      </c>
      <c r="C6" s="363"/>
      <c r="D6" s="363"/>
      <c r="E6" s="363"/>
      <c r="F6" s="363" t="n">
        <v>19669000</v>
      </c>
      <c r="G6" s="363"/>
      <c r="H6" s="363" t="n">
        <v>19669000</v>
      </c>
      <c r="I6" s="363"/>
      <c r="J6" s="362" t="s">
        <v>493</v>
      </c>
    </row>
    <row r="7" customFormat="false" ht="15" hidden="false" customHeight="true" outlineLevel="0" collapsed="false">
      <c r="B7" s="362" t="s">
        <v>439</v>
      </c>
      <c r="C7" s="363" t="n">
        <v>58416</v>
      </c>
      <c r="D7" s="363" t="n">
        <v>184513</v>
      </c>
      <c r="E7" s="363" t="n">
        <v>1645000</v>
      </c>
      <c r="F7" s="363" t="n">
        <v>1887929</v>
      </c>
      <c r="G7" s="363" t="n">
        <v>1097295</v>
      </c>
      <c r="H7" s="363" t="n">
        <v>2985224</v>
      </c>
      <c r="I7" s="363" t="n">
        <v>2985224</v>
      </c>
      <c r="J7" s="362"/>
    </row>
    <row r="8" customFormat="false" ht="15" hidden="false" customHeight="true" outlineLevel="0" collapsed="false">
      <c r="B8" s="362" t="s">
        <v>441</v>
      </c>
      <c r="C8" s="363"/>
      <c r="D8" s="363"/>
      <c r="E8" s="363" t="n">
        <v>1860000</v>
      </c>
      <c r="F8" s="363" t="n">
        <v>1860000</v>
      </c>
      <c r="G8" s="363" t="n">
        <v>954741</v>
      </c>
      <c r="H8" s="363" t="n">
        <v>2814741</v>
      </c>
      <c r="I8" s="363" t="n">
        <v>2814741</v>
      </c>
      <c r="J8" s="362"/>
    </row>
    <row r="9" customFormat="false" ht="15" hidden="false" customHeight="true" outlineLevel="0" collapsed="false">
      <c r="B9" s="362" t="s">
        <v>466</v>
      </c>
      <c r="C9" s="363"/>
      <c r="D9" s="363"/>
      <c r="E9" s="363" t="n">
        <v>1655000</v>
      </c>
      <c r="F9" s="363" t="n">
        <v>1655000</v>
      </c>
      <c r="G9" s="363" t="n">
        <v>1390850</v>
      </c>
      <c r="H9" s="363" t="n">
        <v>3045850</v>
      </c>
      <c r="I9" s="363" t="n">
        <v>3045850</v>
      </c>
      <c r="J9" s="441" t="s">
        <v>494</v>
      </c>
    </row>
    <row r="10" customFormat="false" ht="15" hidden="false" customHeight="true" outlineLevel="0" collapsed="false">
      <c r="B10" s="362" t="s">
        <v>468</v>
      </c>
      <c r="C10" s="363"/>
      <c r="D10" s="363"/>
      <c r="E10" s="363" t="n">
        <v>1152000</v>
      </c>
      <c r="F10" s="363" t="n">
        <v>1152000</v>
      </c>
      <c r="G10" s="363" t="n">
        <v>1307389</v>
      </c>
      <c r="H10" s="363" t="n">
        <v>2459389</v>
      </c>
      <c r="I10" s="363" t="n">
        <v>2459389</v>
      </c>
      <c r="J10" s="441" t="s">
        <v>495</v>
      </c>
    </row>
    <row r="11" customFormat="false" ht="15" hidden="false" customHeight="true" outlineLevel="0" collapsed="false">
      <c r="B11" s="362" t="s">
        <v>446</v>
      </c>
      <c r="C11" s="363"/>
      <c r="D11" s="363"/>
      <c r="E11" s="363" t="n">
        <v>2125000</v>
      </c>
      <c r="F11" s="363" t="n">
        <v>2125000</v>
      </c>
      <c r="G11" s="363" t="n">
        <v>1514434</v>
      </c>
      <c r="H11" s="363" t="n">
        <v>3639434</v>
      </c>
      <c r="I11" s="363" t="n">
        <v>3747447</v>
      </c>
      <c r="J11" s="362" t="s">
        <v>496</v>
      </c>
    </row>
    <row r="12" customFormat="false" ht="15" hidden="false" customHeight="true" outlineLevel="0" collapsed="false">
      <c r="B12" s="362" t="s">
        <v>497</v>
      </c>
      <c r="C12" s="363" t="n">
        <v>0</v>
      </c>
      <c r="D12" s="363" t="n">
        <v>0</v>
      </c>
      <c r="E12" s="363" t="n">
        <v>0</v>
      </c>
      <c r="F12" s="363" t="n">
        <v>0</v>
      </c>
      <c r="G12" s="363" t="n">
        <v>108013</v>
      </c>
      <c r="H12" s="363" t="n">
        <v>108013</v>
      </c>
      <c r="I12" s="363"/>
      <c r="J12" s="441" t="s">
        <v>498</v>
      </c>
    </row>
    <row r="13" customFormat="false" ht="15" hidden="false" customHeight="true" outlineLevel="0" collapsed="false">
      <c r="B13" s="362" t="s">
        <v>450</v>
      </c>
      <c r="C13" s="363"/>
      <c r="D13" s="363"/>
      <c r="E13" s="363" t="n">
        <v>1620000</v>
      </c>
      <c r="F13" s="363" t="n">
        <v>1620000</v>
      </c>
      <c r="G13" s="363" t="n">
        <v>4946330</v>
      </c>
      <c r="H13" s="363" t="n">
        <v>6566330</v>
      </c>
      <c r="I13" s="363" t="n">
        <v>6566330</v>
      </c>
      <c r="J13" s="362"/>
    </row>
    <row r="14" customFormat="false" ht="15" hidden="false" customHeight="true" outlineLevel="0" collapsed="false">
      <c r="B14" s="362" t="s">
        <v>453</v>
      </c>
      <c r="C14" s="363"/>
      <c r="D14" s="363"/>
      <c r="E14" s="363" t="n">
        <v>1818000</v>
      </c>
      <c r="F14" s="363" t="n">
        <v>1818000</v>
      </c>
      <c r="G14" s="363" t="n">
        <v>6761727</v>
      </c>
      <c r="H14" s="363" t="n">
        <v>8579727</v>
      </c>
      <c r="I14" s="363" t="n">
        <v>8579727</v>
      </c>
      <c r="J14" s="362"/>
    </row>
    <row r="15" customFormat="false" ht="15" hidden="false" customHeight="true" outlineLevel="0" collapsed="false">
      <c r="B15" s="365" t="s">
        <v>499</v>
      </c>
      <c r="C15" s="366"/>
      <c r="D15" s="366"/>
      <c r="E15" s="366"/>
      <c r="F15" s="366" t="n">
        <v>33269627</v>
      </c>
      <c r="G15" s="366" t="n">
        <v>18747657</v>
      </c>
      <c r="H15" s="366" t="n">
        <v>52017284</v>
      </c>
      <c r="I15" s="366"/>
      <c r="J15" s="442"/>
    </row>
    <row r="16" customFormat="false" ht="15" hidden="false" customHeight="true" outlineLevel="0" collapsed="false">
      <c r="B16" s="362" t="s">
        <v>500</v>
      </c>
      <c r="C16" s="363"/>
      <c r="D16" s="363"/>
      <c r="E16" s="363"/>
      <c r="F16" s="363" t="n">
        <v>24000000</v>
      </c>
      <c r="G16" s="363" t="n">
        <v>8000000</v>
      </c>
      <c r="H16" s="363" t="n">
        <v>32000000</v>
      </c>
      <c r="I16" s="363"/>
      <c r="J16" s="441" t="s">
        <v>501</v>
      </c>
    </row>
    <row r="17" customFormat="false" ht="15" hidden="false" customHeight="true" outlineLevel="0" collapsed="false">
      <c r="B17" s="362" t="s">
        <v>502</v>
      </c>
      <c r="C17" s="363"/>
      <c r="D17" s="363"/>
      <c r="E17" s="363"/>
      <c r="F17" s="363" t="n">
        <v>0</v>
      </c>
      <c r="G17" s="363" t="n">
        <v>12000000</v>
      </c>
      <c r="H17" s="363" t="n">
        <v>12000000</v>
      </c>
      <c r="I17" s="363"/>
      <c r="J17" s="441" t="s">
        <v>501</v>
      </c>
    </row>
    <row r="18" customFormat="false" ht="15" hidden="false" customHeight="true" outlineLevel="0" collapsed="false">
      <c r="B18" s="362" t="s">
        <v>503</v>
      </c>
      <c r="C18" s="363"/>
      <c r="D18" s="363"/>
      <c r="E18" s="363"/>
      <c r="F18" s="363" t="n">
        <v>10000000</v>
      </c>
      <c r="G18" s="363" t="n">
        <v>0</v>
      </c>
      <c r="H18" s="363" t="n">
        <v>10000000</v>
      </c>
      <c r="I18" s="363" t="n">
        <v>10000000</v>
      </c>
      <c r="J18" s="362" t="s">
        <v>504</v>
      </c>
    </row>
    <row r="19" customFormat="false" ht="15" hidden="false" customHeight="true" outlineLevel="0" collapsed="false">
      <c r="B19" s="365" t="s">
        <v>505</v>
      </c>
      <c r="C19" s="366"/>
      <c r="D19" s="366"/>
      <c r="E19" s="366"/>
      <c r="F19" s="366" t="n">
        <v>67269627</v>
      </c>
      <c r="G19" s="366" t="n">
        <v>38747657</v>
      </c>
      <c r="H19" s="366" t="n">
        <v>106017284</v>
      </c>
      <c r="I19" s="366"/>
      <c r="J19" s="442"/>
    </row>
    <row r="22" customFormat="false" ht="144.75" hidden="false" customHeight="true" outlineLevel="0" collapsed="false">
      <c r="B22" s="371" t="s">
        <v>506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8.87890625" defaultRowHeight="18.75" zeroHeight="false" outlineLevelRow="0" outlineLevelCol="0"/>
  <cols>
    <col collapsed="false" customWidth="true" hidden="false" outlineLevel="0" max="1" min="1" style="355" width="3.88"/>
    <col collapsed="false" customWidth="true" hidden="false" outlineLevel="0" max="2" min="2" style="355" width="4.38"/>
    <col collapsed="false" customWidth="true" hidden="false" outlineLevel="0" max="4" min="3" style="355" width="30.38"/>
    <col collapsed="false" customWidth="true" hidden="false" outlineLevel="0" max="5" min="5" style="355" width="16.13"/>
    <col collapsed="false" customWidth="true" hidden="false" outlineLevel="0" max="6" min="6" style="355" width="19.13"/>
    <col collapsed="false" customWidth="true" hidden="false" outlineLevel="0" max="7" min="7" style="355" width="11.5"/>
    <col collapsed="false" customWidth="true" hidden="false" outlineLevel="0" max="8" min="8" style="355" width="8.5"/>
    <col collapsed="false" customWidth="true" hidden="false" outlineLevel="0" max="9" min="9" style="355" width="11.5"/>
    <col collapsed="false" customWidth="true" hidden="false" outlineLevel="0" max="10" min="10" style="355" width="8.5"/>
    <col collapsed="false" customWidth="true" hidden="false" outlineLevel="0" max="11" min="11" style="355" width="11.5"/>
    <col collapsed="false" customWidth="true" hidden="false" outlineLevel="0" max="12" min="12" style="355" width="8.5"/>
    <col collapsed="false" customWidth="true" hidden="false" outlineLevel="0" max="13" min="13" style="355" width="31.5"/>
    <col collapsed="false" customWidth="false" hidden="false" outlineLevel="0" max="16384" min="14" style="355" width="8.88"/>
  </cols>
  <sheetData>
    <row r="2" customFormat="false" ht="18.75" hidden="false" customHeight="true" outlineLevel="0" collapsed="false">
      <c r="L2" s="47" t="s">
        <v>49</v>
      </c>
    </row>
    <row r="3" customFormat="false" ht="18.75" hidden="false" customHeight="true" outlineLevel="0" collapsed="false">
      <c r="B3" s="80" t="s">
        <v>227</v>
      </c>
      <c r="C3" s="24" t="s">
        <v>507</v>
      </c>
      <c r="D3" s="24" t="s">
        <v>508</v>
      </c>
      <c r="E3" s="24" t="s">
        <v>338</v>
      </c>
      <c r="F3" s="24" t="s">
        <v>509</v>
      </c>
      <c r="G3" s="80" t="s">
        <v>302</v>
      </c>
      <c r="H3" s="80"/>
      <c r="I3" s="80" t="s">
        <v>303</v>
      </c>
      <c r="J3" s="80"/>
      <c r="K3" s="80" t="s">
        <v>301</v>
      </c>
      <c r="L3" s="80"/>
      <c r="M3" s="110" t="s">
        <v>240</v>
      </c>
    </row>
    <row r="4" customFormat="false" ht="18.75" hidden="false" customHeight="true" outlineLevel="0" collapsed="false">
      <c r="B4" s="80"/>
      <c r="C4" s="80"/>
      <c r="D4" s="80"/>
      <c r="E4" s="80"/>
      <c r="F4" s="80"/>
      <c r="G4" s="112" t="s">
        <v>79</v>
      </c>
      <c r="H4" s="112" t="s">
        <v>426</v>
      </c>
      <c r="I4" s="112" t="s">
        <v>79</v>
      </c>
      <c r="J4" s="112" t="s">
        <v>426</v>
      </c>
      <c r="K4" s="112" t="s">
        <v>79</v>
      </c>
      <c r="L4" s="112" t="s">
        <v>426</v>
      </c>
      <c r="M4" s="110"/>
    </row>
    <row r="5" customFormat="false" ht="23.25" hidden="false" customHeight="true" outlineLevel="0" collapsed="false">
      <c r="B5" s="443" t="n">
        <v>1</v>
      </c>
      <c r="C5" s="357" t="s">
        <v>510</v>
      </c>
      <c r="D5" s="357" t="s">
        <v>511</v>
      </c>
      <c r="E5" s="357" t="s">
        <v>17</v>
      </c>
      <c r="F5" s="357" t="s">
        <v>512</v>
      </c>
      <c r="G5" s="444" t="n">
        <v>461431841</v>
      </c>
      <c r="H5" s="92" t="n">
        <f aca="false">G5/G$16</f>
        <v>0.972606019867014</v>
      </c>
      <c r="I5" s="444" t="n">
        <v>530126419</v>
      </c>
      <c r="J5" s="92" t="n">
        <f aca="false">I5/I$16</f>
        <v>0.983473058918274</v>
      </c>
      <c r="K5" s="444" t="n">
        <v>552881515</v>
      </c>
      <c r="L5" s="92" t="n">
        <f aca="false">K5/K$16</f>
        <v>0.990135529604848</v>
      </c>
      <c r="M5" s="38" t="s">
        <v>513</v>
      </c>
    </row>
    <row r="6" customFormat="false" ht="23.25" hidden="false" customHeight="true" outlineLevel="0" collapsed="false">
      <c r="B6" s="445" t="n">
        <v>2</v>
      </c>
      <c r="C6" s="357" t="s">
        <v>514</v>
      </c>
      <c r="D6" s="357" t="s">
        <v>515</v>
      </c>
      <c r="E6" s="357" t="s">
        <v>17</v>
      </c>
      <c r="F6" s="357" t="s">
        <v>516</v>
      </c>
      <c r="G6" s="444" t="n">
        <v>12996480</v>
      </c>
      <c r="H6" s="92" t="n">
        <f aca="false">G6/G$16</f>
        <v>0.0273939801329862</v>
      </c>
      <c r="I6" s="444" t="n">
        <v>8908600</v>
      </c>
      <c r="J6" s="92" t="n">
        <f aca="false">I6/I$16</f>
        <v>0.0165269410817259</v>
      </c>
      <c r="K6" s="444" t="n">
        <v>5508219</v>
      </c>
      <c r="L6" s="92" t="n">
        <f aca="false">K6/K$16</f>
        <v>0.00986447039515236</v>
      </c>
      <c r="M6" s="446" t="s">
        <v>517</v>
      </c>
    </row>
    <row r="7" customFormat="false" ht="23.25" hidden="false" customHeight="true" outlineLevel="0" collapsed="false">
      <c r="B7" s="447" t="n">
        <v>3</v>
      </c>
      <c r="C7" s="357"/>
      <c r="D7" s="357"/>
      <c r="E7" s="357"/>
      <c r="F7" s="357"/>
      <c r="G7" s="444"/>
      <c r="H7" s="92" t="n">
        <f aca="false">G7/G$16</f>
        <v>0</v>
      </c>
      <c r="I7" s="444"/>
      <c r="J7" s="92" t="n">
        <f aca="false">I7/I$16</f>
        <v>0</v>
      </c>
      <c r="K7" s="444"/>
      <c r="L7" s="92" t="n">
        <f aca="false">K7/K$16</f>
        <v>0</v>
      </c>
      <c r="M7" s="446"/>
    </row>
    <row r="8" customFormat="false" ht="23.25" hidden="false" customHeight="true" outlineLevel="0" collapsed="false">
      <c r="B8" s="445" t="n">
        <v>4</v>
      </c>
      <c r="C8" s="357"/>
      <c r="D8" s="357"/>
      <c r="E8" s="357"/>
      <c r="F8" s="357"/>
      <c r="G8" s="444"/>
      <c r="H8" s="92" t="n">
        <f aca="false">G8/G$16</f>
        <v>0</v>
      </c>
      <c r="I8" s="444"/>
      <c r="J8" s="92" t="n">
        <f aca="false">I8/I$16</f>
        <v>0</v>
      </c>
      <c r="K8" s="444"/>
      <c r="L8" s="92" t="n">
        <f aca="false">K8/K$16</f>
        <v>0</v>
      </c>
      <c r="M8" s="446"/>
    </row>
    <row r="9" customFormat="false" ht="23.25" hidden="false" customHeight="true" outlineLevel="0" collapsed="false">
      <c r="B9" s="447" t="n">
        <v>5</v>
      </c>
      <c r="C9" s="357"/>
      <c r="D9" s="357"/>
      <c r="E9" s="357"/>
      <c r="F9" s="357"/>
      <c r="G9" s="444"/>
      <c r="H9" s="92" t="n">
        <f aca="false">G9/G$16</f>
        <v>0</v>
      </c>
      <c r="I9" s="444"/>
      <c r="J9" s="92" t="n">
        <f aca="false">I9/I$16</f>
        <v>0</v>
      </c>
      <c r="K9" s="444"/>
      <c r="L9" s="92" t="n">
        <f aca="false">K9/K$16</f>
        <v>0</v>
      </c>
      <c r="M9" s="446"/>
    </row>
    <row r="10" customFormat="false" ht="23.25" hidden="false" customHeight="true" outlineLevel="0" collapsed="false">
      <c r="B10" s="445" t="n">
        <v>6</v>
      </c>
      <c r="C10" s="357"/>
      <c r="D10" s="357"/>
      <c r="E10" s="357"/>
      <c r="F10" s="357"/>
      <c r="G10" s="444"/>
      <c r="H10" s="92" t="n">
        <f aca="false">G10/G$16</f>
        <v>0</v>
      </c>
      <c r="I10" s="444"/>
      <c r="J10" s="92" t="n">
        <f aca="false">I10/I$16</f>
        <v>0</v>
      </c>
      <c r="K10" s="444"/>
      <c r="L10" s="92" t="n">
        <f aca="false">K10/K$16</f>
        <v>0</v>
      </c>
      <c r="M10" s="446"/>
    </row>
    <row r="11" customFormat="false" ht="23.25" hidden="false" customHeight="true" outlineLevel="0" collapsed="false">
      <c r="B11" s="447" t="n">
        <v>7</v>
      </c>
      <c r="C11" s="357"/>
      <c r="D11" s="357"/>
      <c r="E11" s="357"/>
      <c r="F11" s="357"/>
      <c r="G11" s="444"/>
      <c r="H11" s="92" t="n">
        <f aca="false">G11/G$16</f>
        <v>0</v>
      </c>
      <c r="I11" s="444"/>
      <c r="J11" s="92" t="n">
        <f aca="false">I11/I$16</f>
        <v>0</v>
      </c>
      <c r="K11" s="444"/>
      <c r="L11" s="92" t="n">
        <f aca="false">K11/K$16</f>
        <v>0</v>
      </c>
      <c r="M11" s="446"/>
    </row>
    <row r="12" customFormat="false" ht="23.25" hidden="false" customHeight="true" outlineLevel="0" collapsed="false">
      <c r="B12" s="445" t="n">
        <v>8</v>
      </c>
      <c r="C12" s="357"/>
      <c r="D12" s="357"/>
      <c r="E12" s="357"/>
      <c r="F12" s="357"/>
      <c r="G12" s="444"/>
      <c r="H12" s="92" t="n">
        <f aca="false">G12/G$16</f>
        <v>0</v>
      </c>
      <c r="I12" s="444"/>
      <c r="J12" s="92" t="n">
        <f aca="false">I12/I$16</f>
        <v>0</v>
      </c>
      <c r="K12" s="444"/>
      <c r="L12" s="92" t="n">
        <f aca="false">K12/K$16</f>
        <v>0</v>
      </c>
      <c r="M12" s="446"/>
    </row>
    <row r="13" customFormat="false" ht="23.25" hidden="false" customHeight="true" outlineLevel="0" collapsed="false">
      <c r="B13" s="447" t="n">
        <v>9</v>
      </c>
      <c r="C13" s="357"/>
      <c r="D13" s="357"/>
      <c r="E13" s="357"/>
      <c r="F13" s="357"/>
      <c r="G13" s="444"/>
      <c r="H13" s="92" t="n">
        <f aca="false">G13/G$16</f>
        <v>0</v>
      </c>
      <c r="I13" s="444"/>
      <c r="J13" s="92" t="n">
        <f aca="false">I13/I$16</f>
        <v>0</v>
      </c>
      <c r="K13" s="444"/>
      <c r="L13" s="92" t="n">
        <f aca="false">K13/K$16</f>
        <v>0</v>
      </c>
      <c r="M13" s="446"/>
    </row>
    <row r="14" customFormat="false" ht="23.25" hidden="false" customHeight="true" outlineLevel="0" collapsed="false">
      <c r="B14" s="445" t="n">
        <v>10</v>
      </c>
      <c r="C14" s="357"/>
      <c r="D14" s="357"/>
      <c r="E14" s="357"/>
      <c r="F14" s="357"/>
      <c r="G14" s="444"/>
      <c r="H14" s="92" t="n">
        <f aca="false">G14/G$16</f>
        <v>0</v>
      </c>
      <c r="I14" s="444"/>
      <c r="J14" s="92" t="n">
        <f aca="false">I14/I$16</f>
        <v>0</v>
      </c>
      <c r="K14" s="444"/>
      <c r="L14" s="92" t="n">
        <f aca="false">K14/K$16</f>
        <v>0</v>
      </c>
      <c r="M14" s="446"/>
    </row>
    <row r="15" customFormat="false" ht="23.25" hidden="false" customHeight="true" outlineLevel="0" collapsed="false">
      <c r="B15" s="448"/>
      <c r="C15" s="449" t="s">
        <v>17</v>
      </c>
      <c r="D15" s="449"/>
      <c r="E15" s="449"/>
      <c r="F15" s="449"/>
      <c r="G15" s="444"/>
      <c r="H15" s="92" t="n">
        <f aca="false">G15/G$16</f>
        <v>0</v>
      </c>
      <c r="I15" s="444"/>
      <c r="J15" s="92" t="n">
        <f aca="false">I15/I$16</f>
        <v>0</v>
      </c>
      <c r="K15" s="444"/>
      <c r="L15" s="92" t="n">
        <f aca="false">K15/K$16</f>
        <v>0</v>
      </c>
      <c r="M15" s="446"/>
    </row>
    <row r="16" customFormat="false" ht="23.25" hidden="false" customHeight="true" outlineLevel="0" collapsed="false">
      <c r="B16" s="450"/>
      <c r="C16" s="451" t="s">
        <v>119</v>
      </c>
      <c r="D16" s="451"/>
      <c r="E16" s="451"/>
      <c r="F16" s="451"/>
      <c r="G16" s="452" t="n">
        <f aca="false">SUM(G5:G15)</f>
        <v>474428321</v>
      </c>
      <c r="H16" s="453" t="s">
        <v>108</v>
      </c>
      <c r="I16" s="452" t="n">
        <f aca="false">SUM(I5:I15)</f>
        <v>539035019</v>
      </c>
      <c r="J16" s="453" t="s">
        <v>108</v>
      </c>
      <c r="K16" s="452" t="n">
        <f aca="false">SUM(K5:K15)</f>
        <v>558389734</v>
      </c>
      <c r="L16" s="453" t="s">
        <v>108</v>
      </c>
      <c r="M16" s="50"/>
    </row>
    <row r="18" customFormat="false" ht="18.75" hidden="false" customHeight="true" outlineLevel="0" collapsed="false">
      <c r="B18" s="141" t="s">
        <v>518</v>
      </c>
    </row>
  </sheetData>
  <mergeCells count="11">
    <mergeCell ref="B3:B4"/>
    <mergeCell ref="C3:C4"/>
    <mergeCell ref="D3:D4"/>
    <mergeCell ref="E3:E4"/>
    <mergeCell ref="F3:F4"/>
    <mergeCell ref="G3:H3"/>
    <mergeCell ref="I3:J3"/>
    <mergeCell ref="K3:L3"/>
    <mergeCell ref="M3:M4"/>
    <mergeCell ref="C15:F15"/>
    <mergeCell ref="C16:F1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8.87890625" defaultRowHeight="18.75" zeroHeight="false" outlineLevelRow="0" outlineLevelCol="0"/>
  <cols>
    <col collapsed="false" customWidth="true" hidden="false" outlineLevel="0" max="1" min="1" style="355" width="3.88"/>
    <col collapsed="false" customWidth="true" hidden="false" outlineLevel="0" max="2" min="2" style="355" width="4.38"/>
    <col collapsed="false" customWidth="true" hidden="false" outlineLevel="0" max="4" min="3" style="355" width="30.38"/>
    <col collapsed="false" customWidth="true" hidden="false" outlineLevel="0" max="5" min="5" style="355" width="16.13"/>
    <col collapsed="false" customWidth="true" hidden="false" outlineLevel="0" max="6" min="6" style="355" width="11.5"/>
    <col collapsed="false" customWidth="true" hidden="false" outlineLevel="0" max="7" min="7" style="355" width="8.5"/>
    <col collapsed="false" customWidth="true" hidden="false" outlineLevel="0" max="8" min="8" style="355" width="11.5"/>
    <col collapsed="false" customWidth="true" hidden="false" outlineLevel="0" max="9" min="9" style="355" width="8.5"/>
    <col collapsed="false" customWidth="true" hidden="false" outlineLevel="0" max="10" min="10" style="355" width="11.5"/>
    <col collapsed="false" customWidth="true" hidden="false" outlineLevel="0" max="11" min="11" style="355" width="8.5"/>
    <col collapsed="false" customWidth="true" hidden="false" outlineLevel="0" max="12" min="12" style="355" width="31.5"/>
    <col collapsed="false" customWidth="false" hidden="false" outlineLevel="0" max="16384" min="13" style="355" width="8.88"/>
  </cols>
  <sheetData>
    <row r="2" customFormat="false" ht="18.75" hidden="false" customHeight="true" outlineLevel="0" collapsed="false">
      <c r="K2" s="47" t="s">
        <v>49</v>
      </c>
    </row>
    <row r="3" customFormat="false" ht="18.75" hidden="false" customHeight="true" outlineLevel="0" collapsed="false">
      <c r="B3" s="80" t="s">
        <v>227</v>
      </c>
      <c r="C3" s="24" t="s">
        <v>519</v>
      </c>
      <c r="D3" s="24" t="s">
        <v>520</v>
      </c>
      <c r="E3" s="24" t="s">
        <v>338</v>
      </c>
      <c r="F3" s="80" t="s">
        <v>302</v>
      </c>
      <c r="G3" s="80"/>
      <c r="H3" s="80" t="s">
        <v>303</v>
      </c>
      <c r="I3" s="80"/>
      <c r="J3" s="80" t="s">
        <v>301</v>
      </c>
      <c r="K3" s="80"/>
      <c r="L3" s="110" t="s">
        <v>240</v>
      </c>
    </row>
    <row r="4" customFormat="false" ht="18.75" hidden="false" customHeight="true" outlineLevel="0" collapsed="false">
      <c r="B4" s="80"/>
      <c r="C4" s="80"/>
      <c r="D4" s="80"/>
      <c r="E4" s="80"/>
      <c r="F4" s="112" t="s">
        <v>521</v>
      </c>
      <c r="G4" s="112" t="s">
        <v>426</v>
      </c>
      <c r="H4" s="112" t="s">
        <v>521</v>
      </c>
      <c r="I4" s="112" t="s">
        <v>426</v>
      </c>
      <c r="J4" s="112" t="s">
        <v>521</v>
      </c>
      <c r="K4" s="112" t="s">
        <v>426</v>
      </c>
      <c r="L4" s="110"/>
    </row>
    <row r="5" customFormat="false" ht="23.25" hidden="false" customHeight="true" outlineLevel="0" collapsed="false">
      <c r="B5" s="443" t="n">
        <v>1</v>
      </c>
      <c r="C5" s="357" t="s">
        <v>522</v>
      </c>
      <c r="D5" s="357" t="s">
        <v>523</v>
      </c>
      <c r="E5" s="357" t="s">
        <v>524</v>
      </c>
      <c r="F5" s="444" t="n">
        <v>91166000</v>
      </c>
      <c r="G5" s="92" t="n">
        <f aca="false">F5/F$16</f>
        <v>0.495860846106149</v>
      </c>
      <c r="H5" s="444" t="n">
        <v>109451000</v>
      </c>
      <c r="I5" s="92" t="n">
        <f aca="false">H5/H$16</f>
        <v>0.49569974773665</v>
      </c>
      <c r="J5" s="444" t="n">
        <v>107140000</v>
      </c>
      <c r="K5" s="92" t="n">
        <f aca="false">J5/J$16</f>
        <v>0.587893154232787</v>
      </c>
      <c r="L5" s="38" t="s">
        <v>525</v>
      </c>
    </row>
    <row r="6" customFormat="false" ht="23.25" hidden="false" customHeight="true" outlineLevel="0" collapsed="false">
      <c r="B6" s="445" t="n">
        <v>2</v>
      </c>
      <c r="C6" s="357" t="s">
        <v>526</v>
      </c>
      <c r="D6" s="357" t="s">
        <v>523</v>
      </c>
      <c r="E6" s="357" t="s">
        <v>527</v>
      </c>
      <c r="F6" s="444" t="n">
        <v>44927000</v>
      </c>
      <c r="G6" s="92" t="n">
        <f aca="false">F6/F$16</f>
        <v>0.244362374492804</v>
      </c>
      <c r="H6" s="444" t="n">
        <v>50158000</v>
      </c>
      <c r="I6" s="92" t="n">
        <f aca="false">H6/H$16</f>
        <v>0.227163826250787</v>
      </c>
      <c r="J6" s="444" t="n">
        <v>29244000</v>
      </c>
      <c r="K6" s="92" t="n">
        <f aca="false">J6/J$16</f>
        <v>0.160466188187265</v>
      </c>
      <c r="L6" s="446" t="s">
        <v>528</v>
      </c>
    </row>
    <row r="7" customFormat="false" ht="23.25" hidden="false" customHeight="true" outlineLevel="0" collapsed="false">
      <c r="B7" s="447" t="n">
        <v>3</v>
      </c>
      <c r="C7" s="357" t="s">
        <v>529</v>
      </c>
      <c r="D7" s="357" t="s">
        <v>530</v>
      </c>
      <c r="E7" s="357" t="s">
        <v>17</v>
      </c>
      <c r="F7" s="444"/>
      <c r="G7" s="92" t="n">
        <f aca="false">F7/F$16</f>
        <v>0</v>
      </c>
      <c r="H7" s="444" t="n">
        <v>9184000</v>
      </c>
      <c r="I7" s="92" t="n">
        <f aca="false">H7/H$16</f>
        <v>0.0415940145198618</v>
      </c>
      <c r="J7" s="444" t="n">
        <v>17561000</v>
      </c>
      <c r="K7" s="92" t="n">
        <f aca="false">J7/J$16</f>
        <v>0.0963598252891728</v>
      </c>
      <c r="L7" s="446" t="s">
        <v>531</v>
      </c>
    </row>
    <row r="8" customFormat="false" ht="23.25" hidden="false" customHeight="true" outlineLevel="0" collapsed="false">
      <c r="B8" s="445" t="n">
        <v>4</v>
      </c>
      <c r="C8" s="357" t="s">
        <v>532</v>
      </c>
      <c r="D8" s="357" t="s">
        <v>530</v>
      </c>
      <c r="E8" s="357" t="s">
        <v>456</v>
      </c>
      <c r="F8" s="444" t="n">
        <v>10500000</v>
      </c>
      <c r="G8" s="92" t="n">
        <f aca="false">F8/F$16</f>
        <v>0.0571105333579906</v>
      </c>
      <c r="H8" s="444" t="n">
        <v>12280000</v>
      </c>
      <c r="I8" s="92" t="n">
        <f aca="false">H8/H$16</f>
        <v>0.0556156901463309</v>
      </c>
      <c r="J8" s="444" t="n">
        <v>9400000</v>
      </c>
      <c r="K8" s="92" t="n">
        <f aca="false">J8/J$16</f>
        <v>0.0515792015100634</v>
      </c>
      <c r="L8" s="446" t="s">
        <v>533</v>
      </c>
    </row>
    <row r="9" customFormat="false" ht="23.25" hidden="false" customHeight="true" outlineLevel="0" collapsed="false">
      <c r="B9" s="447" t="n">
        <v>5</v>
      </c>
      <c r="C9" s="357"/>
      <c r="D9" s="357"/>
      <c r="E9" s="357"/>
      <c r="F9" s="444"/>
      <c r="G9" s="92" t="n">
        <f aca="false">F9/F$16</f>
        <v>0</v>
      </c>
      <c r="H9" s="444"/>
      <c r="I9" s="92" t="n">
        <f aca="false">H9/H$16</f>
        <v>0</v>
      </c>
      <c r="J9" s="444"/>
      <c r="K9" s="92" t="n">
        <f aca="false">J9/J$16</f>
        <v>0</v>
      </c>
      <c r="L9" s="446"/>
    </row>
    <row r="10" customFormat="false" ht="23.25" hidden="false" customHeight="true" outlineLevel="0" collapsed="false">
      <c r="B10" s="445" t="n">
        <v>6</v>
      </c>
      <c r="C10" s="357"/>
      <c r="D10" s="357"/>
      <c r="E10" s="357"/>
      <c r="F10" s="444"/>
      <c r="G10" s="92" t="n">
        <f aca="false">F10/F$16</f>
        <v>0</v>
      </c>
      <c r="H10" s="444"/>
      <c r="I10" s="92" t="n">
        <f aca="false">H10/H$16</f>
        <v>0</v>
      </c>
      <c r="J10" s="444"/>
      <c r="K10" s="92" t="n">
        <f aca="false">J10/J$16</f>
        <v>0</v>
      </c>
      <c r="L10" s="446"/>
    </row>
    <row r="11" customFormat="false" ht="23.25" hidden="false" customHeight="true" outlineLevel="0" collapsed="false">
      <c r="B11" s="447" t="n">
        <v>7</v>
      </c>
      <c r="C11" s="357"/>
      <c r="D11" s="357"/>
      <c r="E11" s="357"/>
      <c r="F11" s="444"/>
      <c r="G11" s="92" t="n">
        <f aca="false">F11/F$16</f>
        <v>0</v>
      </c>
      <c r="H11" s="444"/>
      <c r="I11" s="92" t="n">
        <f aca="false">H11/H$16</f>
        <v>0</v>
      </c>
      <c r="J11" s="444"/>
      <c r="K11" s="92" t="n">
        <f aca="false">J11/J$16</f>
        <v>0</v>
      </c>
      <c r="L11" s="446"/>
    </row>
    <row r="12" customFormat="false" ht="23.25" hidden="false" customHeight="true" outlineLevel="0" collapsed="false">
      <c r="B12" s="445" t="n">
        <v>8</v>
      </c>
      <c r="C12" s="357"/>
      <c r="D12" s="357"/>
      <c r="E12" s="357"/>
      <c r="F12" s="444"/>
      <c r="G12" s="92" t="n">
        <f aca="false">F12/F$16</f>
        <v>0</v>
      </c>
      <c r="H12" s="444"/>
      <c r="I12" s="92" t="n">
        <f aca="false">H12/H$16</f>
        <v>0</v>
      </c>
      <c r="J12" s="444"/>
      <c r="K12" s="92" t="n">
        <f aca="false">J12/J$16</f>
        <v>0</v>
      </c>
      <c r="L12" s="446"/>
    </row>
    <row r="13" customFormat="false" ht="23.25" hidden="false" customHeight="true" outlineLevel="0" collapsed="false">
      <c r="B13" s="447" t="n">
        <v>9</v>
      </c>
      <c r="C13" s="357"/>
      <c r="D13" s="357"/>
      <c r="E13" s="357"/>
      <c r="F13" s="444"/>
      <c r="G13" s="92" t="n">
        <f aca="false">F13/F$16</f>
        <v>0</v>
      </c>
      <c r="H13" s="444"/>
      <c r="I13" s="92" t="n">
        <f aca="false">H13/H$16</f>
        <v>0</v>
      </c>
      <c r="J13" s="444"/>
      <c r="K13" s="92" t="n">
        <f aca="false">J13/J$16</f>
        <v>0</v>
      </c>
      <c r="L13" s="446"/>
    </row>
    <row r="14" customFormat="false" ht="23.25" hidden="false" customHeight="true" outlineLevel="0" collapsed="false">
      <c r="B14" s="445" t="n">
        <v>10</v>
      </c>
      <c r="C14" s="357"/>
      <c r="D14" s="357"/>
      <c r="E14" s="357"/>
      <c r="F14" s="444"/>
      <c r="G14" s="92" t="n">
        <f aca="false">F14/F$16</f>
        <v>0</v>
      </c>
      <c r="H14" s="444"/>
      <c r="I14" s="92" t="n">
        <f aca="false">H14/H$16</f>
        <v>0</v>
      </c>
      <c r="J14" s="444"/>
      <c r="K14" s="92" t="n">
        <f aca="false">J14/J$16</f>
        <v>0</v>
      </c>
      <c r="L14" s="446"/>
    </row>
    <row r="15" customFormat="false" ht="23.25" hidden="false" customHeight="true" outlineLevel="0" collapsed="false">
      <c r="B15" s="320"/>
      <c r="C15" s="449" t="s">
        <v>534</v>
      </c>
      <c r="D15" s="449"/>
      <c r="E15" s="449"/>
      <c r="F15" s="444" t="n">
        <v>37261000</v>
      </c>
      <c r="G15" s="92" t="n">
        <f aca="false">F15/F$16</f>
        <v>0.202666246043056</v>
      </c>
      <c r="H15" s="444" t="n">
        <v>39728000</v>
      </c>
      <c r="I15" s="92" t="n">
        <f aca="false">H15/H$16</f>
        <v>0.179926721346371</v>
      </c>
      <c r="J15" s="444" t="n">
        <v>18899000</v>
      </c>
      <c r="K15" s="92" t="n">
        <f aca="false">J15/J$16</f>
        <v>0.103701630780712</v>
      </c>
      <c r="L15" s="446"/>
    </row>
    <row r="16" customFormat="false" ht="23.25" hidden="false" customHeight="true" outlineLevel="0" collapsed="false">
      <c r="B16" s="450"/>
      <c r="C16" s="451" t="s">
        <v>119</v>
      </c>
      <c r="D16" s="451"/>
      <c r="E16" s="451"/>
      <c r="F16" s="452" t="n">
        <f aca="false">SUM(F5:F15)</f>
        <v>183854000</v>
      </c>
      <c r="G16" s="453" t="s">
        <v>108</v>
      </c>
      <c r="H16" s="452" t="n">
        <f aca="false">SUM(H5:H15)</f>
        <v>220801000</v>
      </c>
      <c r="I16" s="453" t="s">
        <v>108</v>
      </c>
      <c r="J16" s="452" t="n">
        <f aca="false">SUM(J5:J15)</f>
        <v>182244000</v>
      </c>
      <c r="K16" s="453" t="s">
        <v>108</v>
      </c>
      <c r="L16" s="50"/>
    </row>
    <row r="18" customFormat="false" ht="18.75" hidden="false" customHeight="true" outlineLevel="0" collapsed="false">
      <c r="B18" s="141" t="s">
        <v>535</v>
      </c>
    </row>
  </sheetData>
  <mergeCells count="10">
    <mergeCell ref="B3:B4"/>
    <mergeCell ref="C3:C4"/>
    <mergeCell ref="D3:D4"/>
    <mergeCell ref="E3:E4"/>
    <mergeCell ref="F3:G3"/>
    <mergeCell ref="H3:I3"/>
    <mergeCell ref="J3:K3"/>
    <mergeCell ref="L3:L4"/>
    <mergeCell ref="C15:E15"/>
    <mergeCell ref="C16:E1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8.87890625" defaultRowHeight="18.75" zeroHeight="false" outlineLevelRow="0" outlineLevelCol="0"/>
  <cols>
    <col collapsed="false" customWidth="true" hidden="false" outlineLevel="0" max="1" min="1" style="355" width="3.88"/>
    <col collapsed="false" customWidth="true" hidden="false" outlineLevel="0" max="2" min="2" style="355" width="4.38"/>
    <col collapsed="false" customWidth="true" hidden="false" outlineLevel="0" max="4" min="3" style="355" width="30.38"/>
    <col collapsed="false" customWidth="true" hidden="false" outlineLevel="0" max="5" min="5" style="355" width="16.13"/>
    <col collapsed="false" customWidth="true" hidden="false" outlineLevel="0" max="6" min="6" style="355" width="19.13"/>
    <col collapsed="false" customWidth="true" hidden="false" outlineLevel="0" max="7" min="7" style="355" width="11.5"/>
    <col collapsed="false" customWidth="true" hidden="false" outlineLevel="0" max="8" min="8" style="355" width="8.5"/>
    <col collapsed="false" customWidth="true" hidden="false" outlineLevel="0" max="9" min="9" style="355" width="11.5"/>
    <col collapsed="false" customWidth="true" hidden="false" outlineLevel="0" max="10" min="10" style="355" width="8.5"/>
    <col collapsed="false" customWidth="true" hidden="false" outlineLevel="0" max="11" min="11" style="355" width="11.5"/>
    <col collapsed="false" customWidth="true" hidden="false" outlineLevel="0" max="12" min="12" style="355" width="8.5"/>
    <col collapsed="false" customWidth="true" hidden="false" outlineLevel="0" max="13" min="13" style="355" width="31.5"/>
    <col collapsed="false" customWidth="false" hidden="false" outlineLevel="0" max="16384" min="14" style="355" width="8.88"/>
  </cols>
  <sheetData>
    <row r="2" customFormat="false" ht="18.75" hidden="false" customHeight="true" outlineLevel="0" collapsed="false">
      <c r="L2" s="47" t="s">
        <v>49</v>
      </c>
    </row>
    <row r="3" customFormat="false" ht="18.75" hidden="false" customHeight="true" outlineLevel="0" collapsed="false">
      <c r="B3" s="80" t="s">
        <v>227</v>
      </c>
      <c r="C3" s="24" t="s">
        <v>536</v>
      </c>
      <c r="D3" s="24" t="s">
        <v>537</v>
      </c>
      <c r="E3" s="24" t="s">
        <v>338</v>
      </c>
      <c r="F3" s="24" t="s">
        <v>509</v>
      </c>
      <c r="G3" s="80" t="s">
        <v>302</v>
      </c>
      <c r="H3" s="80"/>
      <c r="I3" s="80" t="s">
        <v>303</v>
      </c>
      <c r="J3" s="80"/>
      <c r="K3" s="80" t="s">
        <v>301</v>
      </c>
      <c r="L3" s="80"/>
      <c r="M3" s="110" t="s">
        <v>240</v>
      </c>
    </row>
    <row r="4" customFormat="false" ht="18.75" hidden="false" customHeight="true" outlineLevel="0" collapsed="false">
      <c r="B4" s="80"/>
      <c r="C4" s="80"/>
      <c r="D4" s="80"/>
      <c r="E4" s="80"/>
      <c r="F4" s="80"/>
      <c r="G4" s="112" t="s">
        <v>82</v>
      </c>
      <c r="H4" s="112" t="s">
        <v>426</v>
      </c>
      <c r="I4" s="112" t="s">
        <v>82</v>
      </c>
      <c r="J4" s="112" t="s">
        <v>426</v>
      </c>
      <c r="K4" s="112" t="s">
        <v>82</v>
      </c>
      <c r="L4" s="112" t="s">
        <v>426</v>
      </c>
      <c r="M4" s="110"/>
    </row>
    <row r="5" customFormat="false" ht="23.25" hidden="false" customHeight="true" outlineLevel="0" collapsed="false">
      <c r="B5" s="443" t="n">
        <v>1</v>
      </c>
      <c r="C5" s="357" t="s">
        <v>538</v>
      </c>
      <c r="D5" s="357" t="s">
        <v>539</v>
      </c>
      <c r="E5" s="357" t="s">
        <v>17</v>
      </c>
      <c r="F5" s="357" t="s">
        <v>17</v>
      </c>
      <c r="G5" s="444" t="n">
        <v>29627732</v>
      </c>
      <c r="H5" s="92" t="n">
        <f aca="false">G5/G$16</f>
        <v>1</v>
      </c>
      <c r="I5" s="444" t="n">
        <v>31465971</v>
      </c>
      <c r="J5" s="92" t="n">
        <f aca="false">I5/I$16</f>
        <v>1</v>
      </c>
      <c r="K5" s="444" t="n">
        <v>25058151</v>
      </c>
      <c r="L5" s="92" t="n">
        <f aca="false">K5/K$16</f>
        <v>1</v>
      </c>
      <c r="M5" s="38" t="s">
        <v>540</v>
      </c>
    </row>
    <row r="6" customFormat="false" ht="23.25" hidden="false" customHeight="true" outlineLevel="0" collapsed="false">
      <c r="B6" s="445" t="n">
        <v>2</v>
      </c>
      <c r="C6" s="357"/>
      <c r="D6" s="357"/>
      <c r="E6" s="357"/>
      <c r="F6" s="357"/>
      <c r="G6" s="444"/>
      <c r="H6" s="92" t="n">
        <f aca="false">G6/G$16</f>
        <v>0</v>
      </c>
      <c r="I6" s="444"/>
      <c r="J6" s="92" t="n">
        <f aca="false">I6/I$16</f>
        <v>0</v>
      </c>
      <c r="K6" s="444"/>
      <c r="L6" s="92" t="n">
        <f aca="false">K6/K$16</f>
        <v>0</v>
      </c>
      <c r="M6" s="446"/>
    </row>
    <row r="7" customFormat="false" ht="23.25" hidden="false" customHeight="true" outlineLevel="0" collapsed="false">
      <c r="B7" s="447" t="n">
        <v>3</v>
      </c>
      <c r="C7" s="357"/>
      <c r="D7" s="357"/>
      <c r="E7" s="357"/>
      <c r="F7" s="357"/>
      <c r="G7" s="444"/>
      <c r="H7" s="92" t="n">
        <f aca="false">G7/G$16</f>
        <v>0</v>
      </c>
      <c r="I7" s="444"/>
      <c r="J7" s="92" t="n">
        <f aca="false">I7/I$16</f>
        <v>0</v>
      </c>
      <c r="K7" s="444"/>
      <c r="L7" s="92" t="n">
        <f aca="false">K7/K$16</f>
        <v>0</v>
      </c>
      <c r="M7" s="446"/>
    </row>
    <row r="8" customFormat="false" ht="23.25" hidden="false" customHeight="true" outlineLevel="0" collapsed="false">
      <c r="B8" s="445" t="n">
        <v>4</v>
      </c>
      <c r="C8" s="357"/>
      <c r="D8" s="357"/>
      <c r="E8" s="357"/>
      <c r="F8" s="357"/>
      <c r="G8" s="444"/>
      <c r="H8" s="92" t="n">
        <f aca="false">G8/G$16</f>
        <v>0</v>
      </c>
      <c r="I8" s="444"/>
      <c r="J8" s="92" t="n">
        <f aca="false">I8/I$16</f>
        <v>0</v>
      </c>
      <c r="K8" s="444"/>
      <c r="L8" s="92" t="n">
        <f aca="false">K8/K$16</f>
        <v>0</v>
      </c>
      <c r="M8" s="446"/>
    </row>
    <row r="9" customFormat="false" ht="23.25" hidden="false" customHeight="true" outlineLevel="0" collapsed="false">
      <c r="B9" s="447" t="n">
        <v>5</v>
      </c>
      <c r="C9" s="357"/>
      <c r="D9" s="357"/>
      <c r="E9" s="357"/>
      <c r="F9" s="357"/>
      <c r="G9" s="444"/>
      <c r="H9" s="92" t="n">
        <f aca="false">G9/G$16</f>
        <v>0</v>
      </c>
      <c r="I9" s="444"/>
      <c r="J9" s="92" t="n">
        <f aca="false">I9/I$16</f>
        <v>0</v>
      </c>
      <c r="K9" s="444"/>
      <c r="L9" s="92" t="n">
        <f aca="false">K9/K$16</f>
        <v>0</v>
      </c>
      <c r="M9" s="446"/>
    </row>
    <row r="10" customFormat="false" ht="23.25" hidden="false" customHeight="true" outlineLevel="0" collapsed="false">
      <c r="B10" s="445" t="n">
        <v>6</v>
      </c>
      <c r="C10" s="357"/>
      <c r="D10" s="357"/>
      <c r="E10" s="357"/>
      <c r="F10" s="357"/>
      <c r="G10" s="444"/>
      <c r="H10" s="92" t="n">
        <f aca="false">G10/G$16</f>
        <v>0</v>
      </c>
      <c r="I10" s="444"/>
      <c r="J10" s="92" t="n">
        <f aca="false">I10/I$16</f>
        <v>0</v>
      </c>
      <c r="K10" s="444"/>
      <c r="L10" s="92" t="n">
        <f aca="false">K10/K$16</f>
        <v>0</v>
      </c>
      <c r="M10" s="446"/>
    </row>
    <row r="11" customFormat="false" ht="23.25" hidden="false" customHeight="true" outlineLevel="0" collapsed="false">
      <c r="B11" s="447" t="n">
        <v>7</v>
      </c>
      <c r="C11" s="357"/>
      <c r="D11" s="357"/>
      <c r="E11" s="357"/>
      <c r="F11" s="357"/>
      <c r="G11" s="444"/>
      <c r="H11" s="92" t="n">
        <f aca="false">G11/G$16</f>
        <v>0</v>
      </c>
      <c r="I11" s="444"/>
      <c r="J11" s="92" t="n">
        <f aca="false">I11/I$16</f>
        <v>0</v>
      </c>
      <c r="K11" s="444"/>
      <c r="L11" s="92" t="n">
        <f aca="false">K11/K$16</f>
        <v>0</v>
      </c>
      <c r="M11" s="446"/>
    </row>
    <row r="12" customFormat="false" ht="23.25" hidden="false" customHeight="true" outlineLevel="0" collapsed="false">
      <c r="B12" s="445" t="n">
        <v>8</v>
      </c>
      <c r="C12" s="357"/>
      <c r="D12" s="357"/>
      <c r="E12" s="357"/>
      <c r="F12" s="357"/>
      <c r="G12" s="444"/>
      <c r="H12" s="92" t="n">
        <f aca="false">G12/G$16</f>
        <v>0</v>
      </c>
      <c r="I12" s="444"/>
      <c r="J12" s="92" t="n">
        <f aca="false">I12/I$16</f>
        <v>0</v>
      </c>
      <c r="K12" s="444"/>
      <c r="L12" s="92" t="n">
        <f aca="false">K12/K$16</f>
        <v>0</v>
      </c>
      <c r="M12" s="446"/>
    </row>
    <row r="13" customFormat="false" ht="23.25" hidden="false" customHeight="true" outlineLevel="0" collapsed="false">
      <c r="B13" s="447" t="n">
        <v>9</v>
      </c>
      <c r="C13" s="357"/>
      <c r="D13" s="357"/>
      <c r="E13" s="357"/>
      <c r="F13" s="357"/>
      <c r="G13" s="444"/>
      <c r="H13" s="92" t="n">
        <f aca="false">G13/G$16</f>
        <v>0</v>
      </c>
      <c r="I13" s="444"/>
      <c r="J13" s="92" t="n">
        <f aca="false">I13/I$16</f>
        <v>0</v>
      </c>
      <c r="K13" s="444"/>
      <c r="L13" s="92" t="n">
        <f aca="false">K13/K$16</f>
        <v>0</v>
      </c>
      <c r="M13" s="446"/>
    </row>
    <row r="14" customFormat="false" ht="23.25" hidden="false" customHeight="true" outlineLevel="0" collapsed="false">
      <c r="B14" s="445" t="n">
        <v>10</v>
      </c>
      <c r="C14" s="357"/>
      <c r="D14" s="357"/>
      <c r="E14" s="357"/>
      <c r="F14" s="357"/>
      <c r="G14" s="444"/>
      <c r="H14" s="92" t="n">
        <f aca="false">G14/G$16</f>
        <v>0</v>
      </c>
      <c r="I14" s="444"/>
      <c r="J14" s="92" t="n">
        <f aca="false">I14/I$16</f>
        <v>0</v>
      </c>
      <c r="K14" s="444"/>
      <c r="L14" s="92" t="n">
        <f aca="false">K14/K$16</f>
        <v>0</v>
      </c>
      <c r="M14" s="446"/>
    </row>
    <row r="15" customFormat="false" ht="23.25" hidden="false" customHeight="true" outlineLevel="0" collapsed="false">
      <c r="B15" s="448"/>
      <c r="C15" s="449" t="s">
        <v>17</v>
      </c>
      <c r="D15" s="449"/>
      <c r="E15" s="449"/>
      <c r="F15" s="449"/>
      <c r="G15" s="444"/>
      <c r="H15" s="92" t="n">
        <f aca="false">G15/G$16</f>
        <v>0</v>
      </c>
      <c r="I15" s="444"/>
      <c r="J15" s="92" t="n">
        <f aca="false">I15/I$16</f>
        <v>0</v>
      </c>
      <c r="K15" s="444"/>
      <c r="L15" s="92" t="n">
        <f aca="false">K15/K$16</f>
        <v>0</v>
      </c>
      <c r="M15" s="446"/>
    </row>
    <row r="16" customFormat="false" ht="23.25" hidden="false" customHeight="true" outlineLevel="0" collapsed="false">
      <c r="B16" s="450"/>
      <c r="C16" s="451" t="s">
        <v>119</v>
      </c>
      <c r="D16" s="451"/>
      <c r="E16" s="451"/>
      <c r="F16" s="451"/>
      <c r="G16" s="452" t="n">
        <f aca="false">SUM(G5:G15)</f>
        <v>29627732</v>
      </c>
      <c r="H16" s="453" t="s">
        <v>108</v>
      </c>
      <c r="I16" s="452" t="n">
        <f aca="false">SUM(I5:I15)</f>
        <v>31465971</v>
      </c>
      <c r="J16" s="453" t="s">
        <v>108</v>
      </c>
      <c r="K16" s="452" t="n">
        <f aca="false">SUM(K5:K15)</f>
        <v>25058151</v>
      </c>
      <c r="L16" s="453" t="s">
        <v>108</v>
      </c>
      <c r="M16" s="50"/>
    </row>
  </sheetData>
  <mergeCells count="11">
    <mergeCell ref="B3:B4"/>
    <mergeCell ref="C3:C4"/>
    <mergeCell ref="D3:D4"/>
    <mergeCell ref="E3:E4"/>
    <mergeCell ref="F3:F4"/>
    <mergeCell ref="G3:H3"/>
    <mergeCell ref="I3:J3"/>
    <mergeCell ref="K3:L3"/>
    <mergeCell ref="M3:M4"/>
    <mergeCell ref="C15:F15"/>
    <mergeCell ref="C16:F1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8.87890625" defaultRowHeight="18.75" zeroHeight="false" outlineLevelRow="0" outlineLevelCol="0"/>
  <cols>
    <col collapsed="false" customWidth="true" hidden="false" outlineLevel="0" max="1" min="1" style="355" width="3.88"/>
    <col collapsed="false" customWidth="true" hidden="false" outlineLevel="0" max="2" min="2" style="355" width="4.38"/>
    <col collapsed="false" customWidth="true" hidden="false" outlineLevel="0" max="3" min="3" style="355" width="21.63"/>
    <col collapsed="false" customWidth="true" hidden="false" outlineLevel="0" max="7" min="4" style="355" width="19"/>
    <col collapsed="false" customWidth="true" hidden="false" outlineLevel="0" max="8" min="8" style="355" width="31.5"/>
    <col collapsed="false" customWidth="false" hidden="false" outlineLevel="0" max="16384" min="9" style="355" width="8.88"/>
  </cols>
  <sheetData>
    <row r="2" customFormat="false" ht="18.75" hidden="false" customHeight="true" outlineLevel="0" collapsed="false">
      <c r="E2" s="47" t="s">
        <v>49</v>
      </c>
    </row>
    <row r="3" customFormat="false" ht="18.75" hidden="false" customHeight="true" outlineLevel="0" collapsed="false">
      <c r="B3" s="80" t="s">
        <v>227</v>
      </c>
      <c r="C3" s="24" t="s">
        <v>228</v>
      </c>
      <c r="D3" s="24" t="s">
        <v>541</v>
      </c>
      <c r="E3" s="454" t="s">
        <v>542</v>
      </c>
      <c r="F3" s="24" t="s">
        <v>543</v>
      </c>
      <c r="G3" s="24" t="s">
        <v>544</v>
      </c>
      <c r="H3" s="110" t="s">
        <v>240</v>
      </c>
    </row>
    <row r="4" customFormat="false" ht="18.75" hidden="false" customHeight="true" outlineLevel="0" collapsed="false">
      <c r="B4" s="80"/>
      <c r="C4" s="80"/>
      <c r="D4" s="80"/>
      <c r="E4" s="80"/>
      <c r="F4" s="80"/>
      <c r="G4" s="80"/>
      <c r="H4" s="110"/>
    </row>
    <row r="5" customFormat="false" ht="23.25" hidden="false" customHeight="true" outlineLevel="0" collapsed="false">
      <c r="B5" s="443" t="n">
        <v>1</v>
      </c>
      <c r="C5" s="357" t="s">
        <v>545</v>
      </c>
      <c r="D5" s="357" t="s">
        <v>546</v>
      </c>
      <c r="E5" s="31" t="n">
        <v>14400000</v>
      </c>
      <c r="F5" s="455" t="n">
        <v>100</v>
      </c>
      <c r="G5" s="92" t="n">
        <f aca="false">F5/$F$15</f>
        <v>1</v>
      </c>
      <c r="H5" s="38" t="s">
        <v>547</v>
      </c>
    </row>
    <row r="6" customFormat="false" ht="23.25" hidden="false" customHeight="true" outlineLevel="0" collapsed="false">
      <c r="B6" s="445" t="n">
        <v>2</v>
      </c>
      <c r="C6" s="357"/>
      <c r="D6" s="357"/>
      <c r="E6" s="31"/>
      <c r="F6" s="455"/>
      <c r="G6" s="92" t="n">
        <f aca="false">F6/$F$15</f>
        <v>0</v>
      </c>
      <c r="H6" s="446"/>
    </row>
    <row r="7" customFormat="false" ht="23.25" hidden="false" customHeight="true" outlineLevel="0" collapsed="false">
      <c r="B7" s="447" t="n">
        <v>3</v>
      </c>
      <c r="C7" s="357"/>
      <c r="D7" s="357"/>
      <c r="E7" s="31"/>
      <c r="F7" s="455"/>
      <c r="G7" s="92" t="n">
        <f aca="false">F7/$F$15</f>
        <v>0</v>
      </c>
      <c r="H7" s="446"/>
    </row>
    <row r="8" customFormat="false" ht="23.25" hidden="false" customHeight="true" outlineLevel="0" collapsed="false">
      <c r="B8" s="445" t="n">
        <v>4</v>
      </c>
      <c r="C8" s="357"/>
      <c r="D8" s="357"/>
      <c r="E8" s="31"/>
      <c r="F8" s="455"/>
      <c r="G8" s="92" t="n">
        <f aca="false">F8/$F$15</f>
        <v>0</v>
      </c>
      <c r="H8" s="446"/>
    </row>
    <row r="9" customFormat="false" ht="23.25" hidden="false" customHeight="true" outlineLevel="0" collapsed="false">
      <c r="B9" s="447" t="n">
        <v>5</v>
      </c>
      <c r="C9" s="357"/>
      <c r="D9" s="357"/>
      <c r="E9" s="31"/>
      <c r="F9" s="455"/>
      <c r="G9" s="92" t="n">
        <f aca="false">F9/$F$15</f>
        <v>0</v>
      </c>
      <c r="H9" s="446"/>
    </row>
    <row r="10" customFormat="false" ht="23.25" hidden="false" customHeight="true" outlineLevel="0" collapsed="false">
      <c r="B10" s="445" t="n">
        <v>6</v>
      </c>
      <c r="C10" s="357"/>
      <c r="D10" s="357"/>
      <c r="E10" s="31"/>
      <c r="F10" s="455"/>
      <c r="G10" s="92" t="n">
        <f aca="false">F10/$F$15</f>
        <v>0</v>
      </c>
      <c r="H10" s="446"/>
    </row>
    <row r="11" customFormat="false" ht="23.25" hidden="false" customHeight="true" outlineLevel="0" collapsed="false">
      <c r="B11" s="447" t="n">
        <v>7</v>
      </c>
      <c r="C11" s="357"/>
      <c r="D11" s="357"/>
      <c r="E11" s="31"/>
      <c r="F11" s="455"/>
      <c r="G11" s="92" t="n">
        <f aca="false">F11/$F$15</f>
        <v>0</v>
      </c>
      <c r="H11" s="446"/>
    </row>
    <row r="12" customFormat="false" ht="23.25" hidden="false" customHeight="true" outlineLevel="0" collapsed="false">
      <c r="B12" s="445" t="n">
        <v>8</v>
      </c>
      <c r="C12" s="357"/>
      <c r="D12" s="357"/>
      <c r="E12" s="31"/>
      <c r="F12" s="455"/>
      <c r="G12" s="92" t="n">
        <f aca="false">F12/$F$15</f>
        <v>0</v>
      </c>
      <c r="H12" s="446"/>
    </row>
    <row r="13" customFormat="false" ht="23.25" hidden="false" customHeight="true" outlineLevel="0" collapsed="false">
      <c r="B13" s="447" t="n">
        <v>9</v>
      </c>
      <c r="C13" s="357"/>
      <c r="D13" s="357"/>
      <c r="E13" s="31"/>
      <c r="F13" s="455"/>
      <c r="G13" s="92" t="n">
        <f aca="false">F13/$F$15</f>
        <v>0</v>
      </c>
      <c r="H13" s="446"/>
    </row>
    <row r="14" customFormat="false" ht="23.25" hidden="false" customHeight="true" outlineLevel="0" collapsed="false">
      <c r="B14" s="445" t="n">
        <v>10</v>
      </c>
      <c r="C14" s="357"/>
      <c r="D14" s="357"/>
      <c r="E14" s="31"/>
      <c r="F14" s="455"/>
      <c r="G14" s="92" t="n">
        <f aca="false">F14/$F$15</f>
        <v>0</v>
      </c>
      <c r="H14" s="446"/>
    </row>
    <row r="15" customFormat="false" ht="23.25" hidden="false" customHeight="true" outlineLevel="0" collapsed="false">
      <c r="B15" s="456"/>
      <c r="C15" s="457" t="s">
        <v>119</v>
      </c>
      <c r="D15" s="457"/>
      <c r="E15" s="458" t="n">
        <f aca="false">SUM(E5:E14)</f>
        <v>14400000</v>
      </c>
      <c r="F15" s="459" t="n">
        <f aca="false">SUM(F5:F14)</f>
        <v>100</v>
      </c>
      <c r="G15" s="95" t="n">
        <f aca="false">F15/$F$15</f>
        <v>1</v>
      </c>
      <c r="H15" s="50"/>
    </row>
    <row r="17" customFormat="false" ht="18.75" hidden="false" customHeight="true" outlineLevel="0" collapsed="false">
      <c r="B17" s="141" t="s">
        <v>548</v>
      </c>
    </row>
  </sheetData>
  <mergeCells count="8">
    <mergeCell ref="B3:B4"/>
    <mergeCell ref="C3:C4"/>
    <mergeCell ref="D3:D4"/>
    <mergeCell ref="E3:E4"/>
    <mergeCell ref="F3:F4"/>
    <mergeCell ref="G3:G4"/>
    <mergeCell ref="H3:H4"/>
    <mergeCell ref="C15:D1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H8" activeCellId="0" sqref="H8"/>
    </sheetView>
  </sheetViews>
  <sheetFormatPr defaultColWidth="8.87890625" defaultRowHeight="18.75" zeroHeight="false" outlineLevelRow="0" outlineLevelCol="0"/>
  <cols>
    <col collapsed="false" customWidth="true" hidden="false" outlineLevel="0" max="1" min="1" style="355" width="3.88"/>
    <col collapsed="false" customWidth="true" hidden="false" outlineLevel="0" max="2" min="2" style="355" width="4.38"/>
    <col collapsed="false" customWidth="true" hidden="false" outlineLevel="0" max="3" min="3" style="355" width="21.63"/>
    <col collapsed="false" customWidth="true" hidden="false" outlineLevel="0" max="6" min="4" style="355" width="16.38"/>
    <col collapsed="false" customWidth="true" hidden="false" outlineLevel="0" max="8" min="7" style="355" width="36.63"/>
    <col collapsed="false" customWidth="false" hidden="false" outlineLevel="0" max="16384" min="9" style="355" width="8.88"/>
  </cols>
  <sheetData>
    <row r="2" customFormat="false" ht="18.75" hidden="false" customHeight="true" outlineLevel="0" collapsed="false">
      <c r="F2" s="47" t="s">
        <v>49</v>
      </c>
      <c r="G2" s="47"/>
    </row>
    <row r="3" customFormat="false" ht="18.75" hidden="false" customHeight="true" outlineLevel="0" collapsed="false">
      <c r="B3" s="80" t="s">
        <v>227</v>
      </c>
      <c r="C3" s="24" t="s">
        <v>228</v>
      </c>
      <c r="D3" s="24" t="s">
        <v>541</v>
      </c>
      <c r="E3" s="24" t="s">
        <v>549</v>
      </c>
      <c r="F3" s="454" t="s">
        <v>542</v>
      </c>
      <c r="G3" s="454" t="s">
        <v>550</v>
      </c>
      <c r="H3" s="110" t="s">
        <v>240</v>
      </c>
    </row>
    <row r="4" customFormat="false" ht="18.75" hidden="false" customHeight="true" outlineLevel="0" collapsed="false">
      <c r="B4" s="80"/>
      <c r="C4" s="80"/>
      <c r="D4" s="80"/>
      <c r="E4" s="80"/>
      <c r="F4" s="80"/>
      <c r="G4" s="80"/>
      <c r="H4" s="110"/>
    </row>
    <row r="5" customFormat="false" ht="23.25" hidden="false" customHeight="true" outlineLevel="0" collapsed="false">
      <c r="B5" s="443" t="n">
        <v>1</v>
      </c>
      <c r="C5" s="357" t="s">
        <v>545</v>
      </c>
      <c r="D5" s="357" t="s">
        <v>546</v>
      </c>
      <c r="E5" s="357" t="s">
        <v>551</v>
      </c>
      <c r="F5" s="31" t="n">
        <v>14400000</v>
      </c>
      <c r="G5" s="460" t="s">
        <v>552</v>
      </c>
      <c r="H5" s="38" t="s">
        <v>553</v>
      </c>
    </row>
    <row r="6" customFormat="false" ht="23.25" hidden="false" customHeight="true" outlineLevel="0" collapsed="false">
      <c r="B6" s="445" t="n">
        <v>2</v>
      </c>
      <c r="C6" s="357"/>
      <c r="D6" s="357"/>
      <c r="E6" s="357"/>
      <c r="F6" s="31"/>
      <c r="G6" s="461"/>
      <c r="H6" s="446"/>
    </row>
    <row r="7" customFormat="false" ht="23.25" hidden="false" customHeight="true" outlineLevel="0" collapsed="false">
      <c r="B7" s="447" t="n">
        <v>3</v>
      </c>
      <c r="C7" s="357"/>
      <c r="D7" s="357"/>
      <c r="E7" s="357"/>
      <c r="F7" s="31"/>
      <c r="G7" s="461"/>
      <c r="H7" s="446"/>
    </row>
    <row r="8" customFormat="false" ht="23.25" hidden="false" customHeight="true" outlineLevel="0" collapsed="false">
      <c r="B8" s="445" t="n">
        <v>4</v>
      </c>
      <c r="C8" s="357"/>
      <c r="D8" s="357"/>
      <c r="E8" s="357"/>
      <c r="F8" s="462"/>
      <c r="G8" s="461"/>
      <c r="H8" s="446"/>
    </row>
    <row r="9" customFormat="false" ht="23.25" hidden="true" customHeight="true" outlineLevel="0" collapsed="false">
      <c r="B9" s="463" t="n">
        <v>5</v>
      </c>
      <c r="C9" s="357"/>
      <c r="D9" s="357"/>
      <c r="E9" s="357"/>
      <c r="F9" s="31"/>
      <c r="G9" s="461"/>
      <c r="H9" s="446"/>
    </row>
    <row r="10" customFormat="false" ht="23.25" hidden="true" customHeight="true" outlineLevel="0" collapsed="false">
      <c r="B10" s="464" t="n">
        <v>6</v>
      </c>
      <c r="C10" s="357"/>
      <c r="D10" s="357"/>
      <c r="E10" s="357"/>
      <c r="F10" s="31"/>
      <c r="G10" s="461"/>
      <c r="H10" s="446"/>
    </row>
    <row r="11" customFormat="false" ht="23.25" hidden="true" customHeight="true" outlineLevel="0" collapsed="false">
      <c r="B11" s="463" t="n">
        <v>7</v>
      </c>
      <c r="C11" s="357"/>
      <c r="D11" s="357"/>
      <c r="E11" s="357"/>
      <c r="F11" s="31"/>
      <c r="G11" s="461"/>
      <c r="H11" s="446"/>
    </row>
    <row r="12" customFormat="false" ht="23.25" hidden="true" customHeight="true" outlineLevel="0" collapsed="false">
      <c r="B12" s="464" t="n">
        <v>8</v>
      </c>
      <c r="C12" s="357"/>
      <c r="D12" s="357"/>
      <c r="E12" s="357"/>
      <c r="F12" s="31"/>
      <c r="G12" s="461"/>
      <c r="H12" s="446"/>
    </row>
    <row r="13" customFormat="false" ht="23.25" hidden="true" customHeight="true" outlineLevel="0" collapsed="false">
      <c r="B13" s="463" t="n">
        <v>9</v>
      </c>
      <c r="C13" s="357"/>
      <c r="D13" s="357"/>
      <c r="E13" s="357"/>
      <c r="F13" s="31"/>
      <c r="G13" s="461"/>
      <c r="H13" s="446"/>
    </row>
    <row r="14" customFormat="false" ht="23.25" hidden="true" customHeight="true" outlineLevel="0" collapsed="false">
      <c r="B14" s="464" t="n">
        <v>10</v>
      </c>
      <c r="C14" s="357"/>
      <c r="D14" s="357"/>
      <c r="E14" s="357"/>
      <c r="F14" s="31"/>
      <c r="G14" s="461"/>
      <c r="H14" s="446"/>
    </row>
    <row r="15" customFormat="false" ht="23.25" hidden="false" customHeight="true" outlineLevel="0" collapsed="false">
      <c r="B15" s="456"/>
      <c r="C15" s="457" t="s">
        <v>119</v>
      </c>
      <c r="D15" s="457"/>
      <c r="E15" s="457"/>
      <c r="F15" s="458" t="n">
        <f aca="false">SUM(F5:F14)</f>
        <v>14400000</v>
      </c>
      <c r="G15" s="465"/>
      <c r="H15" s="50"/>
    </row>
    <row r="17" customFormat="false" ht="1026.75" hidden="false" customHeight="true" outlineLevel="0" collapsed="false">
      <c r="B17" s="334" t="s">
        <v>554</v>
      </c>
    </row>
  </sheetData>
  <mergeCells count="8">
    <mergeCell ref="B3:B4"/>
    <mergeCell ref="C3:C4"/>
    <mergeCell ref="D3:D4"/>
    <mergeCell ref="E3:E4"/>
    <mergeCell ref="F3:F4"/>
    <mergeCell ref="G3:G4"/>
    <mergeCell ref="H3:H4"/>
    <mergeCell ref="C15:E1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Q73"/>
  <sheetViews>
    <sheetView showFormulas="false" showGridLines="false" showRowColHeaders="true" showZeros="true" rightToLeft="false" tabSelected="false" showOutlineSymbols="true" defaultGridColor="true" view="normal" topLeftCell="G1" colorId="64" zoomScale="100" zoomScaleNormal="100" zoomScalePageLayoutView="100" workbookViewId="0">
      <selection pane="topLeft" activeCell="D7" activeCellId="0" sqref="D7"/>
    </sheetView>
  </sheetViews>
  <sheetFormatPr defaultColWidth="8.5390625" defaultRowHeight="18" zeroHeight="false" outlineLevelRow="0" outlineLevelCol="0"/>
  <cols>
    <col collapsed="false" customWidth="true" hidden="false" outlineLevel="0" max="2" min="2" style="1" width="5"/>
    <col collapsed="false" customWidth="true" hidden="false" outlineLevel="0" max="5" min="3" style="466" width="11"/>
    <col collapsed="false" customWidth="true" hidden="false" outlineLevel="0" max="6" min="6" style="466" width="6"/>
    <col collapsed="false" customWidth="true" hidden="false" outlineLevel="0" max="7" min="7" style="467" width="11"/>
    <col collapsed="false" customWidth="true" hidden="false" outlineLevel="0" max="8" min="8" style="467" width="30"/>
    <col collapsed="false" customWidth="true" hidden="false" outlineLevel="0" max="9" min="9" style="468" width="13"/>
    <col collapsed="false" customWidth="true" hidden="false" outlineLevel="0" max="10" min="10" style="468" width="52"/>
    <col collapsed="false" customWidth="true" hidden="false" outlineLevel="0" max="12" min="11" style="469" width="13.5"/>
    <col collapsed="false" customWidth="true" hidden="false" outlineLevel="0" max="16" min="13" style="20" width="16.13"/>
    <col collapsed="false" customWidth="true" hidden="false" outlineLevel="0" max="17" min="17" style="20" width="55.5"/>
  </cols>
  <sheetData>
    <row r="1" customFormat="false" ht="18" hidden="false" customHeight="true" outlineLevel="0" collapsed="false">
      <c r="K1" s="2"/>
      <c r="L1" s="2"/>
    </row>
    <row r="2" customFormat="false" ht="18" hidden="false" customHeight="true" outlineLevel="0" collapsed="false">
      <c r="F2" s="470"/>
      <c r="G2" s="471"/>
      <c r="K2" s="2"/>
      <c r="L2" s="2"/>
    </row>
    <row r="3" customFormat="false" ht="18" hidden="false" customHeight="true" outlineLevel="0" collapsed="false">
      <c r="I3" s="467"/>
      <c r="K3" s="2"/>
      <c r="L3" s="2"/>
    </row>
    <row r="4" customFormat="false" ht="39" hidden="false" customHeight="true" outlineLevel="0" collapsed="false">
      <c r="B4" s="472" t="s">
        <v>227</v>
      </c>
      <c r="C4" s="473" t="s">
        <v>555</v>
      </c>
      <c r="D4" s="473" t="s">
        <v>556</v>
      </c>
      <c r="E4" s="473" t="s">
        <v>557</v>
      </c>
      <c r="F4" s="473" t="s">
        <v>558</v>
      </c>
      <c r="G4" s="473" t="s">
        <v>559</v>
      </c>
      <c r="H4" s="473" t="s">
        <v>560</v>
      </c>
      <c r="I4" s="474" t="s">
        <v>541</v>
      </c>
      <c r="J4" s="474" t="s">
        <v>240</v>
      </c>
      <c r="K4" s="179"/>
      <c r="L4" s="179"/>
      <c r="M4" s="179"/>
      <c r="N4" s="179"/>
      <c r="O4" s="179"/>
      <c r="P4" s="179"/>
      <c r="Q4" s="180"/>
    </row>
    <row r="5" customFormat="false" ht="22.5" hidden="false" customHeight="true" outlineLevel="0" collapsed="false">
      <c r="B5" s="475" t="n">
        <v>1</v>
      </c>
      <c r="C5" s="476" t="s">
        <v>561</v>
      </c>
      <c r="D5" s="477" t="s">
        <v>562</v>
      </c>
      <c r="E5" s="477" t="s">
        <v>563</v>
      </c>
      <c r="F5" s="478" t="s">
        <v>564</v>
      </c>
      <c r="G5" s="479" t="s">
        <v>17</v>
      </c>
      <c r="H5" s="480" t="s">
        <v>500</v>
      </c>
      <c r="I5" s="481" t="s">
        <v>546</v>
      </c>
      <c r="J5" s="482" t="s">
        <v>565</v>
      </c>
      <c r="K5" s="483"/>
      <c r="L5" s="483"/>
      <c r="M5" s="484"/>
      <c r="N5" s="484"/>
      <c r="O5" s="484"/>
      <c r="P5" s="485"/>
      <c r="Q5" s="486"/>
    </row>
    <row r="6" customFormat="false" ht="22.5" hidden="false" customHeight="true" outlineLevel="0" collapsed="false">
      <c r="B6" s="475" t="n">
        <v>2</v>
      </c>
      <c r="C6" s="476" t="s">
        <v>566</v>
      </c>
      <c r="D6" s="477" t="s">
        <v>562</v>
      </c>
      <c r="E6" s="477" t="s">
        <v>567</v>
      </c>
      <c r="F6" s="478" t="s">
        <v>568</v>
      </c>
      <c r="G6" s="479" t="s">
        <v>17</v>
      </c>
      <c r="H6" s="480" t="s">
        <v>500</v>
      </c>
      <c r="I6" s="487" t="s">
        <v>569</v>
      </c>
      <c r="J6" s="482" t="s">
        <v>570</v>
      </c>
      <c r="K6" s="488"/>
      <c r="L6" s="488"/>
      <c r="M6" s="489"/>
      <c r="N6" s="489"/>
      <c r="O6" s="489"/>
      <c r="P6" s="455"/>
      <c r="Q6" s="490"/>
    </row>
    <row r="7" customFormat="false" ht="22.5" hidden="false" customHeight="true" outlineLevel="0" collapsed="false">
      <c r="B7" s="475" t="n">
        <v>3</v>
      </c>
      <c r="C7" s="491" t="s">
        <v>571</v>
      </c>
      <c r="D7" s="477" t="s">
        <v>572</v>
      </c>
      <c r="E7" s="477" t="s">
        <v>567</v>
      </c>
      <c r="F7" s="478" t="s">
        <v>573</v>
      </c>
      <c r="G7" s="492" t="s">
        <v>574</v>
      </c>
      <c r="H7" s="480" t="s">
        <v>436</v>
      </c>
      <c r="I7" s="487" t="s">
        <v>17</v>
      </c>
      <c r="J7" s="482" t="s">
        <v>17</v>
      </c>
      <c r="K7" s="488"/>
      <c r="L7" s="488"/>
      <c r="M7" s="489"/>
      <c r="N7" s="489"/>
      <c r="O7" s="489"/>
      <c r="P7" s="455"/>
      <c r="Q7" s="490"/>
    </row>
    <row r="8" customFormat="false" ht="22.5" hidden="false" customHeight="true" outlineLevel="0" collapsed="false">
      <c r="B8" s="475" t="n">
        <v>4</v>
      </c>
      <c r="C8" s="491" t="s">
        <v>575</v>
      </c>
      <c r="D8" s="477" t="s">
        <v>572</v>
      </c>
      <c r="E8" s="477" t="s">
        <v>563</v>
      </c>
      <c r="F8" s="478" t="s">
        <v>576</v>
      </c>
      <c r="G8" s="492" t="s">
        <v>574</v>
      </c>
      <c r="H8" s="480" t="s">
        <v>436</v>
      </c>
      <c r="I8" s="487" t="s">
        <v>17</v>
      </c>
      <c r="J8" s="482" t="s">
        <v>17</v>
      </c>
      <c r="K8" s="488"/>
      <c r="L8" s="488"/>
      <c r="M8" s="489"/>
      <c r="N8" s="489"/>
      <c r="O8" s="489"/>
      <c r="P8" s="455"/>
      <c r="Q8" s="490"/>
    </row>
    <row r="9" customFormat="false" ht="22.5" hidden="false" customHeight="true" outlineLevel="0" collapsed="false">
      <c r="B9" s="475" t="n">
        <v>5</v>
      </c>
      <c r="C9" s="491" t="s">
        <v>577</v>
      </c>
      <c r="D9" s="477" t="s">
        <v>572</v>
      </c>
      <c r="E9" s="477" t="s">
        <v>563</v>
      </c>
      <c r="F9" s="478" t="s">
        <v>578</v>
      </c>
      <c r="G9" s="492" t="s">
        <v>579</v>
      </c>
      <c r="H9" s="480" t="s">
        <v>436</v>
      </c>
      <c r="I9" s="487" t="s">
        <v>17</v>
      </c>
      <c r="J9" s="482" t="s">
        <v>17</v>
      </c>
      <c r="K9" s="488"/>
      <c r="L9" s="488"/>
      <c r="M9" s="489"/>
      <c r="N9" s="489"/>
      <c r="O9" s="489"/>
      <c r="P9" s="455"/>
      <c r="Q9" s="490"/>
    </row>
    <row r="10" customFormat="false" ht="22.5" hidden="false" customHeight="true" outlineLevel="0" collapsed="false">
      <c r="B10" s="475" t="n">
        <v>6</v>
      </c>
      <c r="C10" s="491" t="s">
        <v>580</v>
      </c>
      <c r="D10" s="477" t="s">
        <v>581</v>
      </c>
      <c r="E10" s="477" t="s">
        <v>563</v>
      </c>
      <c r="F10" s="478" t="s">
        <v>582</v>
      </c>
      <c r="G10" s="492" t="s">
        <v>583</v>
      </c>
      <c r="H10" s="480" t="s">
        <v>436</v>
      </c>
      <c r="I10" s="487" t="s">
        <v>17</v>
      </c>
      <c r="J10" s="482" t="s">
        <v>17</v>
      </c>
      <c r="K10" s="488"/>
      <c r="L10" s="488"/>
      <c r="M10" s="489"/>
      <c r="N10" s="489"/>
      <c r="O10" s="489"/>
      <c r="P10" s="455"/>
      <c r="Q10" s="490"/>
    </row>
    <row r="11" customFormat="false" ht="22.5" hidden="false" customHeight="true" outlineLevel="0" collapsed="false">
      <c r="B11" s="475" t="n">
        <v>7</v>
      </c>
      <c r="C11" s="491" t="s">
        <v>584</v>
      </c>
      <c r="D11" s="477" t="s">
        <v>581</v>
      </c>
      <c r="E11" s="477" t="s">
        <v>563</v>
      </c>
      <c r="F11" s="478" t="s">
        <v>585</v>
      </c>
      <c r="G11" s="492" t="s">
        <v>586</v>
      </c>
      <c r="H11" s="480" t="s">
        <v>436</v>
      </c>
      <c r="I11" s="487" t="s">
        <v>17</v>
      </c>
      <c r="J11" s="482" t="s">
        <v>17</v>
      </c>
      <c r="K11" s="488"/>
      <c r="L11" s="488"/>
      <c r="M11" s="489"/>
      <c r="N11" s="489"/>
      <c r="O11" s="489"/>
      <c r="P11" s="455"/>
      <c r="Q11" s="490"/>
    </row>
    <row r="12" customFormat="false" ht="22.5" hidden="false" customHeight="true" outlineLevel="0" collapsed="false">
      <c r="B12" s="475" t="n">
        <v>8</v>
      </c>
      <c r="C12" s="491" t="s">
        <v>587</v>
      </c>
      <c r="D12" s="477" t="s">
        <v>581</v>
      </c>
      <c r="E12" s="477" t="s">
        <v>563</v>
      </c>
      <c r="F12" s="478" t="s">
        <v>588</v>
      </c>
      <c r="G12" s="492" t="s">
        <v>589</v>
      </c>
      <c r="H12" s="480" t="s">
        <v>436</v>
      </c>
      <c r="I12" s="487" t="s">
        <v>17</v>
      </c>
      <c r="J12" s="482" t="s">
        <v>17</v>
      </c>
      <c r="K12" s="488"/>
      <c r="L12" s="488"/>
      <c r="M12" s="489"/>
      <c r="N12" s="489"/>
      <c r="O12" s="489"/>
      <c r="P12" s="455"/>
      <c r="Q12" s="490"/>
    </row>
    <row r="13" customFormat="false" ht="22.5" hidden="false" customHeight="true" outlineLevel="0" collapsed="false">
      <c r="B13" s="475" t="n">
        <v>9</v>
      </c>
      <c r="C13" s="491" t="s">
        <v>590</v>
      </c>
      <c r="D13" s="477" t="s">
        <v>572</v>
      </c>
      <c r="E13" s="477" t="s">
        <v>563</v>
      </c>
      <c r="F13" s="478" t="s">
        <v>591</v>
      </c>
      <c r="G13" s="492" t="s">
        <v>592</v>
      </c>
      <c r="H13" s="480" t="s">
        <v>439</v>
      </c>
      <c r="I13" s="487" t="s">
        <v>17</v>
      </c>
      <c r="J13" s="482" t="s">
        <v>17</v>
      </c>
      <c r="K13" s="488"/>
      <c r="L13" s="488"/>
      <c r="M13" s="489"/>
      <c r="N13" s="489"/>
      <c r="O13" s="489"/>
      <c r="P13" s="455"/>
      <c r="Q13" s="490"/>
    </row>
    <row r="14" customFormat="false" ht="22.5" hidden="false" customHeight="true" outlineLevel="0" collapsed="false">
      <c r="B14" s="475" t="n">
        <v>10</v>
      </c>
      <c r="C14" s="491" t="s">
        <v>593</v>
      </c>
      <c r="D14" s="477" t="s">
        <v>572</v>
      </c>
      <c r="E14" s="477" t="s">
        <v>563</v>
      </c>
      <c r="F14" s="478" t="s">
        <v>594</v>
      </c>
      <c r="G14" s="492" t="s">
        <v>595</v>
      </c>
      <c r="H14" s="480" t="s">
        <v>439</v>
      </c>
      <c r="I14" s="487" t="s">
        <v>17</v>
      </c>
      <c r="J14" s="482" t="s">
        <v>17</v>
      </c>
      <c r="K14" s="488"/>
      <c r="L14" s="488"/>
      <c r="M14" s="489"/>
      <c r="N14" s="489"/>
      <c r="O14" s="489"/>
      <c r="P14" s="455"/>
      <c r="Q14" s="490"/>
    </row>
    <row r="15" customFormat="false" ht="22.5" hidden="false" customHeight="true" outlineLevel="0" collapsed="false">
      <c r="B15" s="475" t="n">
        <v>11</v>
      </c>
      <c r="C15" s="491" t="s">
        <v>596</v>
      </c>
      <c r="D15" s="477" t="s">
        <v>581</v>
      </c>
      <c r="E15" s="477" t="s">
        <v>563</v>
      </c>
      <c r="F15" s="478" t="s">
        <v>597</v>
      </c>
      <c r="G15" s="492" t="s">
        <v>592</v>
      </c>
      <c r="H15" s="480" t="s">
        <v>439</v>
      </c>
      <c r="I15" s="487" t="s">
        <v>17</v>
      </c>
      <c r="J15" s="482" t="s">
        <v>17</v>
      </c>
      <c r="K15" s="488"/>
      <c r="L15" s="488"/>
      <c r="M15" s="489"/>
      <c r="N15" s="489"/>
      <c r="O15" s="489"/>
      <c r="P15" s="455"/>
      <c r="Q15" s="490"/>
    </row>
    <row r="16" customFormat="false" ht="22.5" hidden="false" customHeight="true" outlineLevel="0" collapsed="false">
      <c r="B16" s="475" t="n">
        <v>12</v>
      </c>
      <c r="C16" s="491" t="s">
        <v>598</v>
      </c>
      <c r="D16" s="477" t="s">
        <v>581</v>
      </c>
      <c r="E16" s="477" t="s">
        <v>563</v>
      </c>
      <c r="F16" s="478" t="s">
        <v>599</v>
      </c>
      <c r="G16" s="492" t="s">
        <v>592</v>
      </c>
      <c r="H16" s="480" t="s">
        <v>439</v>
      </c>
      <c r="I16" s="487" t="s">
        <v>17</v>
      </c>
      <c r="J16" s="482" t="s">
        <v>17</v>
      </c>
      <c r="K16" s="488"/>
      <c r="L16" s="488"/>
      <c r="M16" s="489"/>
      <c r="N16" s="489"/>
      <c r="O16" s="489"/>
      <c r="P16" s="455"/>
      <c r="Q16" s="490"/>
    </row>
    <row r="17" customFormat="false" ht="22.5" hidden="false" customHeight="true" outlineLevel="0" collapsed="false">
      <c r="B17" s="475" t="n">
        <v>13</v>
      </c>
      <c r="C17" s="491" t="s">
        <v>590</v>
      </c>
      <c r="D17" s="477" t="s">
        <v>581</v>
      </c>
      <c r="E17" s="477" t="s">
        <v>563</v>
      </c>
      <c r="F17" s="478" t="s">
        <v>582</v>
      </c>
      <c r="G17" s="492" t="s">
        <v>600</v>
      </c>
      <c r="H17" s="480" t="s">
        <v>439</v>
      </c>
      <c r="I17" s="487" t="s">
        <v>17</v>
      </c>
      <c r="J17" s="482" t="s">
        <v>17</v>
      </c>
      <c r="K17" s="488"/>
      <c r="L17" s="488"/>
      <c r="M17" s="489"/>
      <c r="N17" s="489"/>
      <c r="O17" s="489"/>
      <c r="P17" s="455"/>
      <c r="Q17" s="490"/>
    </row>
    <row r="18" customFormat="false" ht="22.5" hidden="false" customHeight="true" outlineLevel="0" collapsed="false">
      <c r="B18" s="475" t="n">
        <v>14</v>
      </c>
      <c r="C18" s="491" t="s">
        <v>601</v>
      </c>
      <c r="D18" s="477" t="s">
        <v>581</v>
      </c>
      <c r="E18" s="477" t="s">
        <v>563</v>
      </c>
      <c r="F18" s="478" t="s">
        <v>602</v>
      </c>
      <c r="G18" s="492" t="s">
        <v>603</v>
      </c>
      <c r="H18" s="480" t="s">
        <v>439</v>
      </c>
      <c r="I18" s="487" t="s">
        <v>17</v>
      </c>
      <c r="J18" s="482" t="s">
        <v>17</v>
      </c>
      <c r="K18" s="488"/>
      <c r="L18" s="488"/>
      <c r="M18" s="489"/>
      <c r="N18" s="489"/>
      <c r="O18" s="489"/>
      <c r="P18" s="455"/>
      <c r="Q18" s="490"/>
    </row>
    <row r="19" customFormat="false" ht="22.5" hidden="false" customHeight="true" outlineLevel="0" collapsed="false">
      <c r="B19" s="475" t="n">
        <v>15</v>
      </c>
      <c r="C19" s="491" t="s">
        <v>604</v>
      </c>
      <c r="D19" s="477" t="s">
        <v>581</v>
      </c>
      <c r="E19" s="477" t="s">
        <v>563</v>
      </c>
      <c r="F19" s="478" t="s">
        <v>605</v>
      </c>
      <c r="G19" s="492" t="s">
        <v>606</v>
      </c>
      <c r="H19" s="480" t="s">
        <v>439</v>
      </c>
      <c r="I19" s="487" t="s">
        <v>17</v>
      </c>
      <c r="J19" s="482" t="s">
        <v>17</v>
      </c>
      <c r="K19" s="488"/>
      <c r="L19" s="488"/>
      <c r="M19" s="489"/>
      <c r="N19" s="489"/>
      <c r="O19" s="489"/>
      <c r="P19" s="455"/>
      <c r="Q19" s="490"/>
    </row>
    <row r="20" customFormat="false" ht="22.5" hidden="false" customHeight="true" outlineLevel="0" collapsed="false">
      <c r="B20" s="475" t="n">
        <v>16</v>
      </c>
      <c r="C20" s="491" t="s">
        <v>607</v>
      </c>
      <c r="D20" s="477" t="s">
        <v>581</v>
      </c>
      <c r="E20" s="477" t="s">
        <v>567</v>
      </c>
      <c r="F20" s="478" t="s">
        <v>605</v>
      </c>
      <c r="G20" s="492" t="s">
        <v>608</v>
      </c>
      <c r="H20" s="480" t="s">
        <v>439</v>
      </c>
      <c r="I20" s="487" t="s">
        <v>17</v>
      </c>
      <c r="J20" s="482" t="s">
        <v>17</v>
      </c>
      <c r="K20" s="488"/>
      <c r="L20" s="488"/>
      <c r="M20" s="489"/>
      <c r="N20" s="489"/>
      <c r="O20" s="489"/>
      <c r="P20" s="455"/>
      <c r="Q20" s="490"/>
    </row>
    <row r="21" customFormat="false" ht="22.5" hidden="false" customHeight="true" outlineLevel="0" collapsed="false">
      <c r="B21" s="475" t="n">
        <v>17</v>
      </c>
      <c r="C21" s="491" t="s">
        <v>609</v>
      </c>
      <c r="D21" s="477" t="s">
        <v>581</v>
      </c>
      <c r="E21" s="477" t="s">
        <v>567</v>
      </c>
      <c r="F21" s="478" t="s">
        <v>610</v>
      </c>
      <c r="G21" s="492" t="s">
        <v>611</v>
      </c>
      <c r="H21" s="480" t="s">
        <v>439</v>
      </c>
      <c r="I21" s="487" t="s">
        <v>17</v>
      </c>
      <c r="J21" s="482" t="s">
        <v>17</v>
      </c>
      <c r="K21" s="488"/>
      <c r="L21" s="488"/>
      <c r="M21" s="489"/>
      <c r="N21" s="489"/>
      <c r="O21" s="489"/>
      <c r="P21" s="455"/>
      <c r="Q21" s="490"/>
    </row>
    <row r="22" customFormat="false" ht="22.5" hidden="false" customHeight="true" outlineLevel="0" collapsed="false">
      <c r="B22" s="475" t="n">
        <v>18</v>
      </c>
      <c r="C22" s="491" t="s">
        <v>612</v>
      </c>
      <c r="D22" s="477" t="s">
        <v>572</v>
      </c>
      <c r="E22" s="477" t="s">
        <v>563</v>
      </c>
      <c r="F22" s="478" t="s">
        <v>613</v>
      </c>
      <c r="G22" s="492" t="s">
        <v>595</v>
      </c>
      <c r="H22" s="480" t="s">
        <v>441</v>
      </c>
      <c r="I22" s="487" t="s">
        <v>17</v>
      </c>
      <c r="J22" s="482" t="s">
        <v>17</v>
      </c>
      <c r="K22" s="488"/>
      <c r="L22" s="488"/>
      <c r="M22" s="489"/>
      <c r="N22" s="489"/>
      <c r="O22" s="489"/>
      <c r="P22" s="455"/>
      <c r="Q22" s="490"/>
    </row>
    <row r="23" customFormat="false" ht="22.5" hidden="false" customHeight="true" outlineLevel="0" collapsed="false">
      <c r="B23" s="475" t="n">
        <v>19</v>
      </c>
      <c r="C23" s="491" t="s">
        <v>590</v>
      </c>
      <c r="D23" s="477" t="s">
        <v>572</v>
      </c>
      <c r="E23" s="477" t="s">
        <v>563</v>
      </c>
      <c r="F23" s="478" t="s">
        <v>614</v>
      </c>
      <c r="G23" s="492" t="s">
        <v>615</v>
      </c>
      <c r="H23" s="480" t="s">
        <v>441</v>
      </c>
      <c r="I23" s="487" t="s">
        <v>17</v>
      </c>
      <c r="J23" s="482" t="s">
        <v>17</v>
      </c>
      <c r="K23" s="488"/>
      <c r="L23" s="488"/>
      <c r="M23" s="489"/>
      <c r="N23" s="489"/>
      <c r="O23" s="489"/>
      <c r="P23" s="455"/>
      <c r="Q23" s="490"/>
    </row>
    <row r="24" customFormat="false" ht="22.5" hidden="false" customHeight="true" outlineLevel="0" collapsed="false">
      <c r="B24" s="475" t="n">
        <v>20</v>
      </c>
      <c r="C24" s="491" t="s">
        <v>616</v>
      </c>
      <c r="D24" s="477" t="s">
        <v>581</v>
      </c>
      <c r="E24" s="477" t="s">
        <v>563</v>
      </c>
      <c r="F24" s="478" t="s">
        <v>613</v>
      </c>
      <c r="G24" s="492" t="s">
        <v>595</v>
      </c>
      <c r="H24" s="480" t="s">
        <v>441</v>
      </c>
      <c r="I24" s="487" t="s">
        <v>17</v>
      </c>
      <c r="J24" s="482" t="s">
        <v>17</v>
      </c>
      <c r="K24" s="488"/>
      <c r="L24" s="488"/>
      <c r="M24" s="489"/>
      <c r="N24" s="489"/>
      <c r="O24" s="489"/>
      <c r="P24" s="455"/>
      <c r="Q24" s="490"/>
    </row>
    <row r="25" customFormat="false" ht="22.5" hidden="false" customHeight="true" outlineLevel="0" collapsed="false">
      <c r="B25" s="475" t="n">
        <v>21</v>
      </c>
      <c r="C25" s="491" t="s">
        <v>617</v>
      </c>
      <c r="D25" s="477" t="s">
        <v>581</v>
      </c>
      <c r="E25" s="477" t="s">
        <v>563</v>
      </c>
      <c r="F25" s="478" t="s">
        <v>618</v>
      </c>
      <c r="G25" s="492" t="s">
        <v>595</v>
      </c>
      <c r="H25" s="480" t="s">
        <v>441</v>
      </c>
      <c r="I25" s="487" t="s">
        <v>17</v>
      </c>
      <c r="J25" s="482" t="s">
        <v>17</v>
      </c>
      <c r="K25" s="488"/>
      <c r="L25" s="488"/>
      <c r="M25" s="489"/>
      <c r="N25" s="489"/>
      <c r="O25" s="489"/>
      <c r="P25" s="455"/>
      <c r="Q25" s="490"/>
    </row>
    <row r="26" customFormat="false" ht="22.5" hidden="false" customHeight="true" outlineLevel="0" collapsed="false">
      <c r="B26" s="475" t="n">
        <v>22</v>
      </c>
      <c r="C26" s="491" t="s">
        <v>619</v>
      </c>
      <c r="D26" s="477" t="s">
        <v>581</v>
      </c>
      <c r="E26" s="477" t="s">
        <v>563</v>
      </c>
      <c r="F26" s="478" t="s">
        <v>578</v>
      </c>
      <c r="G26" s="492" t="s">
        <v>620</v>
      </c>
      <c r="H26" s="480" t="s">
        <v>441</v>
      </c>
      <c r="I26" s="487" t="s">
        <v>17</v>
      </c>
      <c r="J26" s="482" t="s">
        <v>17</v>
      </c>
      <c r="K26" s="488"/>
      <c r="L26" s="488"/>
      <c r="M26" s="489"/>
      <c r="N26" s="489"/>
      <c r="O26" s="489"/>
      <c r="P26" s="455"/>
      <c r="Q26" s="490"/>
    </row>
    <row r="27" customFormat="false" ht="22.5" hidden="false" customHeight="true" outlineLevel="0" collapsed="false">
      <c r="B27" s="475" t="n">
        <v>23</v>
      </c>
      <c r="C27" s="491" t="s">
        <v>621</v>
      </c>
      <c r="D27" s="477" t="s">
        <v>572</v>
      </c>
      <c r="E27" s="477" t="s">
        <v>563</v>
      </c>
      <c r="F27" s="478" t="s">
        <v>613</v>
      </c>
      <c r="G27" s="492" t="s">
        <v>622</v>
      </c>
      <c r="H27" s="480" t="s">
        <v>446</v>
      </c>
      <c r="I27" s="487" t="s">
        <v>17</v>
      </c>
      <c r="J27" s="482" t="s">
        <v>17</v>
      </c>
      <c r="K27" s="488"/>
      <c r="L27" s="488"/>
      <c r="M27" s="489"/>
      <c r="N27" s="489"/>
      <c r="O27" s="489"/>
      <c r="P27" s="455"/>
      <c r="Q27" s="490"/>
    </row>
    <row r="28" customFormat="false" ht="22.5" hidden="false" customHeight="true" outlineLevel="0" collapsed="false">
      <c r="B28" s="475" t="n">
        <v>24</v>
      </c>
      <c r="C28" s="491" t="s">
        <v>623</v>
      </c>
      <c r="D28" s="477" t="s">
        <v>581</v>
      </c>
      <c r="E28" s="477" t="s">
        <v>563</v>
      </c>
      <c r="F28" s="478" t="s">
        <v>624</v>
      </c>
      <c r="G28" s="492" t="s">
        <v>625</v>
      </c>
      <c r="H28" s="480" t="s">
        <v>446</v>
      </c>
      <c r="I28" s="487" t="s">
        <v>17</v>
      </c>
      <c r="J28" s="482" t="s">
        <v>17</v>
      </c>
      <c r="K28" s="488"/>
      <c r="L28" s="488"/>
      <c r="M28" s="489"/>
      <c r="N28" s="489"/>
      <c r="O28" s="489"/>
      <c r="P28" s="455"/>
      <c r="Q28" s="490"/>
    </row>
    <row r="29" customFormat="false" ht="22.5" hidden="false" customHeight="true" outlineLevel="0" collapsed="false">
      <c r="B29" s="475" t="n">
        <v>25</v>
      </c>
      <c r="C29" s="491" t="s">
        <v>626</v>
      </c>
      <c r="D29" s="477" t="s">
        <v>581</v>
      </c>
      <c r="E29" s="477" t="s">
        <v>563</v>
      </c>
      <c r="F29" s="478" t="s">
        <v>564</v>
      </c>
      <c r="G29" s="492" t="s">
        <v>603</v>
      </c>
      <c r="H29" s="480" t="s">
        <v>446</v>
      </c>
      <c r="I29" s="487" t="s">
        <v>17</v>
      </c>
      <c r="J29" s="482" t="s">
        <v>17</v>
      </c>
      <c r="K29" s="488"/>
      <c r="L29" s="488"/>
      <c r="M29" s="489"/>
      <c r="N29" s="489"/>
      <c r="O29" s="489"/>
      <c r="P29" s="455"/>
      <c r="Q29" s="490"/>
    </row>
    <row r="30" customFormat="false" ht="22.5" hidden="false" customHeight="true" outlineLevel="0" collapsed="false">
      <c r="B30" s="475" t="n">
        <v>26</v>
      </c>
      <c r="C30" s="491" t="s">
        <v>627</v>
      </c>
      <c r="D30" s="477" t="s">
        <v>581</v>
      </c>
      <c r="E30" s="477" t="s">
        <v>563</v>
      </c>
      <c r="F30" s="478" t="s">
        <v>599</v>
      </c>
      <c r="G30" s="492" t="s">
        <v>603</v>
      </c>
      <c r="H30" s="480" t="s">
        <v>446</v>
      </c>
      <c r="I30" s="487" t="s">
        <v>17</v>
      </c>
      <c r="J30" s="482" t="s">
        <v>17</v>
      </c>
      <c r="K30" s="488"/>
      <c r="L30" s="488"/>
      <c r="M30" s="489"/>
      <c r="N30" s="489"/>
      <c r="O30" s="489"/>
      <c r="P30" s="455"/>
      <c r="Q30" s="490"/>
    </row>
    <row r="31" customFormat="false" ht="22.5" hidden="false" customHeight="true" outlineLevel="0" collapsed="false">
      <c r="B31" s="475" t="n">
        <v>27</v>
      </c>
      <c r="C31" s="491" t="s">
        <v>628</v>
      </c>
      <c r="D31" s="477" t="s">
        <v>581</v>
      </c>
      <c r="E31" s="477" t="s">
        <v>563</v>
      </c>
      <c r="F31" s="478" t="s">
        <v>588</v>
      </c>
      <c r="G31" s="492" t="s">
        <v>608</v>
      </c>
      <c r="H31" s="480" t="s">
        <v>446</v>
      </c>
      <c r="I31" s="487" t="s">
        <v>17</v>
      </c>
      <c r="J31" s="482" t="s">
        <v>17</v>
      </c>
      <c r="K31" s="488"/>
      <c r="L31" s="488"/>
      <c r="M31" s="489"/>
      <c r="N31" s="489"/>
      <c r="O31" s="489"/>
      <c r="P31" s="455"/>
      <c r="Q31" s="493"/>
    </row>
    <row r="32" customFormat="false" ht="22.5" hidden="false" customHeight="true" outlineLevel="0" collapsed="false">
      <c r="B32" s="475" t="n">
        <v>28</v>
      </c>
      <c r="C32" s="491" t="s">
        <v>629</v>
      </c>
      <c r="D32" s="477" t="s">
        <v>581</v>
      </c>
      <c r="E32" s="477" t="s">
        <v>563</v>
      </c>
      <c r="F32" s="478" t="s">
        <v>614</v>
      </c>
      <c r="G32" s="492" t="s">
        <v>630</v>
      </c>
      <c r="H32" s="480" t="s">
        <v>446</v>
      </c>
      <c r="I32" s="487" t="s">
        <v>17</v>
      </c>
      <c r="J32" s="482" t="s">
        <v>17</v>
      </c>
      <c r="K32" s="488"/>
      <c r="L32" s="488"/>
      <c r="M32" s="489"/>
      <c r="N32" s="489"/>
      <c r="O32" s="489"/>
      <c r="P32" s="455"/>
      <c r="Q32" s="493"/>
    </row>
    <row r="33" customFormat="false" ht="22.5" hidden="false" customHeight="true" outlineLevel="0" collapsed="false">
      <c r="B33" s="475" t="n">
        <v>29</v>
      </c>
      <c r="C33" s="491" t="s">
        <v>631</v>
      </c>
      <c r="D33" s="477" t="s">
        <v>581</v>
      </c>
      <c r="E33" s="477" t="s">
        <v>567</v>
      </c>
      <c r="F33" s="478" t="s">
        <v>632</v>
      </c>
      <c r="G33" s="492" t="s">
        <v>633</v>
      </c>
      <c r="H33" s="480" t="s">
        <v>446</v>
      </c>
      <c r="I33" s="487" t="s">
        <v>17</v>
      </c>
      <c r="J33" s="482" t="s">
        <v>17</v>
      </c>
      <c r="K33" s="488"/>
      <c r="L33" s="488"/>
      <c r="M33" s="489"/>
      <c r="N33" s="489"/>
      <c r="O33" s="489"/>
      <c r="P33" s="455"/>
      <c r="Q33" s="493"/>
    </row>
    <row r="34" customFormat="false" ht="22.5" hidden="false" customHeight="true" outlineLevel="0" collapsed="false">
      <c r="B34" s="475" t="n">
        <v>30</v>
      </c>
      <c r="C34" s="491" t="s">
        <v>634</v>
      </c>
      <c r="D34" s="477" t="s">
        <v>572</v>
      </c>
      <c r="E34" s="477" t="s">
        <v>563</v>
      </c>
      <c r="F34" s="478" t="s">
        <v>635</v>
      </c>
      <c r="G34" s="492" t="s">
        <v>636</v>
      </c>
      <c r="H34" s="480" t="s">
        <v>450</v>
      </c>
      <c r="I34" s="487" t="s">
        <v>17</v>
      </c>
      <c r="J34" s="482" t="s">
        <v>17</v>
      </c>
      <c r="K34" s="488"/>
      <c r="L34" s="488"/>
      <c r="M34" s="489"/>
      <c r="N34" s="489"/>
      <c r="O34" s="489"/>
      <c r="P34" s="455"/>
      <c r="Q34" s="493"/>
    </row>
    <row r="35" customFormat="false" ht="18" hidden="false" customHeight="true" outlineLevel="0" collapsed="false">
      <c r="B35" s="494" t="n">
        <v>31</v>
      </c>
      <c r="C35" s="495" t="s">
        <v>637</v>
      </c>
      <c r="D35" s="496" t="s">
        <v>581</v>
      </c>
      <c r="E35" s="496" t="s">
        <v>563</v>
      </c>
      <c r="F35" s="494" t="s">
        <v>585</v>
      </c>
      <c r="G35" s="313" t="s">
        <v>638</v>
      </c>
      <c r="H35" s="314" t="s">
        <v>450</v>
      </c>
      <c r="I35" s="314" t="s">
        <v>17</v>
      </c>
      <c r="J35" s="314" t="s">
        <v>17</v>
      </c>
    </row>
    <row r="36" customFormat="false" ht="18" hidden="false" customHeight="true" outlineLevel="0" collapsed="false">
      <c r="B36" s="494" t="n">
        <v>32</v>
      </c>
      <c r="C36" s="495" t="s">
        <v>637</v>
      </c>
      <c r="D36" s="496" t="s">
        <v>581</v>
      </c>
      <c r="E36" s="496" t="s">
        <v>563</v>
      </c>
      <c r="F36" s="494" t="s">
        <v>602</v>
      </c>
      <c r="G36" s="313" t="s">
        <v>639</v>
      </c>
      <c r="H36" s="314" t="s">
        <v>450</v>
      </c>
      <c r="I36" s="314" t="s">
        <v>17</v>
      </c>
      <c r="J36" s="314" t="s">
        <v>17</v>
      </c>
    </row>
    <row r="37" customFormat="false" ht="18" hidden="false" customHeight="true" outlineLevel="0" collapsed="false">
      <c r="B37" s="494" t="n">
        <v>33</v>
      </c>
      <c r="C37" s="495" t="s">
        <v>640</v>
      </c>
      <c r="D37" s="496" t="s">
        <v>581</v>
      </c>
      <c r="E37" s="496" t="s">
        <v>563</v>
      </c>
      <c r="F37" s="494" t="s">
        <v>578</v>
      </c>
      <c r="G37" s="313" t="s">
        <v>641</v>
      </c>
      <c r="H37" s="314" t="s">
        <v>450</v>
      </c>
      <c r="I37" s="314" t="s">
        <v>17</v>
      </c>
      <c r="J37" s="314" t="s">
        <v>17</v>
      </c>
    </row>
    <row r="38" customFormat="false" ht="18" hidden="false" customHeight="true" outlineLevel="0" collapsed="false">
      <c r="B38" s="494" t="n">
        <v>34</v>
      </c>
      <c r="C38" s="495" t="s">
        <v>642</v>
      </c>
      <c r="D38" s="496" t="s">
        <v>581</v>
      </c>
      <c r="E38" s="496" t="s">
        <v>563</v>
      </c>
      <c r="F38" s="494" t="s">
        <v>632</v>
      </c>
      <c r="G38" s="313" t="s">
        <v>643</v>
      </c>
      <c r="H38" s="314" t="s">
        <v>450</v>
      </c>
      <c r="I38" s="314" t="s">
        <v>17</v>
      </c>
      <c r="J38" s="314" t="s">
        <v>17</v>
      </c>
    </row>
    <row r="39" customFormat="false" ht="18" hidden="false" customHeight="true" outlineLevel="0" collapsed="false">
      <c r="B39" s="494" t="n">
        <v>35</v>
      </c>
      <c r="C39" s="495" t="s">
        <v>644</v>
      </c>
      <c r="D39" s="496" t="s">
        <v>581</v>
      </c>
      <c r="E39" s="496" t="s">
        <v>563</v>
      </c>
      <c r="F39" s="494" t="s">
        <v>645</v>
      </c>
      <c r="G39" s="313" t="s">
        <v>615</v>
      </c>
      <c r="H39" s="314" t="s">
        <v>450</v>
      </c>
      <c r="I39" s="314" t="s">
        <v>17</v>
      </c>
      <c r="J39" s="314" t="s">
        <v>17</v>
      </c>
    </row>
    <row r="40" customFormat="false" ht="18" hidden="false" customHeight="true" outlineLevel="0" collapsed="false">
      <c r="B40" s="494" t="n">
        <v>36</v>
      </c>
      <c r="C40" s="495" t="s">
        <v>646</v>
      </c>
      <c r="D40" s="496" t="s">
        <v>581</v>
      </c>
      <c r="E40" s="496" t="s">
        <v>563</v>
      </c>
      <c r="F40" s="494" t="s">
        <v>613</v>
      </c>
      <c r="G40" s="313" t="s">
        <v>615</v>
      </c>
      <c r="H40" s="314" t="s">
        <v>450</v>
      </c>
      <c r="I40" s="314" t="s">
        <v>17</v>
      </c>
      <c r="J40" s="314" t="s">
        <v>17</v>
      </c>
    </row>
    <row r="41" customFormat="false" ht="18" hidden="false" customHeight="true" outlineLevel="0" collapsed="false">
      <c r="B41" s="494" t="n">
        <v>37</v>
      </c>
      <c r="C41" s="495" t="s">
        <v>571</v>
      </c>
      <c r="D41" s="496" t="s">
        <v>581</v>
      </c>
      <c r="E41" s="496" t="s">
        <v>563</v>
      </c>
      <c r="F41" s="494" t="s">
        <v>647</v>
      </c>
      <c r="G41" s="313" t="s">
        <v>611</v>
      </c>
      <c r="H41" s="314" t="s">
        <v>450</v>
      </c>
      <c r="I41" s="314" t="s">
        <v>17</v>
      </c>
      <c r="J41" s="314" t="s">
        <v>17</v>
      </c>
    </row>
    <row r="42" customFormat="false" ht="18" hidden="false" customHeight="true" outlineLevel="0" collapsed="false">
      <c r="B42" s="494" t="n">
        <v>38</v>
      </c>
      <c r="C42" s="495" t="s">
        <v>616</v>
      </c>
      <c r="D42" s="496" t="s">
        <v>581</v>
      </c>
      <c r="E42" s="496" t="s">
        <v>563</v>
      </c>
      <c r="F42" s="494" t="s">
        <v>602</v>
      </c>
      <c r="G42" s="313" t="s">
        <v>648</v>
      </c>
      <c r="H42" s="314" t="s">
        <v>450</v>
      </c>
      <c r="I42" s="314" t="s">
        <v>17</v>
      </c>
      <c r="J42" s="314" t="s">
        <v>17</v>
      </c>
    </row>
    <row r="43" customFormat="false" ht="18" hidden="false" customHeight="true" outlineLevel="0" collapsed="false">
      <c r="B43" s="494" t="n">
        <v>39</v>
      </c>
      <c r="C43" s="495" t="s">
        <v>642</v>
      </c>
      <c r="D43" s="496" t="s">
        <v>581</v>
      </c>
      <c r="E43" s="496" t="s">
        <v>563</v>
      </c>
      <c r="F43" s="494" t="s">
        <v>578</v>
      </c>
      <c r="G43" s="313" t="s">
        <v>633</v>
      </c>
      <c r="H43" s="314" t="s">
        <v>450</v>
      </c>
      <c r="I43" s="314" t="s">
        <v>17</v>
      </c>
      <c r="J43" s="314" t="s">
        <v>17</v>
      </c>
    </row>
    <row r="44" customFormat="false" ht="18" hidden="false" customHeight="true" outlineLevel="0" collapsed="false">
      <c r="B44" s="494" t="n">
        <v>40</v>
      </c>
      <c r="C44" s="495" t="s">
        <v>637</v>
      </c>
      <c r="D44" s="496" t="s">
        <v>572</v>
      </c>
      <c r="E44" s="496" t="s">
        <v>563</v>
      </c>
      <c r="F44" s="494" t="s">
        <v>573</v>
      </c>
      <c r="G44" s="313" t="s">
        <v>649</v>
      </c>
      <c r="H44" s="314" t="s">
        <v>453</v>
      </c>
      <c r="I44" s="314" t="s">
        <v>17</v>
      </c>
      <c r="J44" s="314" t="s">
        <v>17</v>
      </c>
    </row>
    <row r="45" customFormat="false" ht="18" hidden="false" customHeight="true" outlineLevel="0" collapsed="false">
      <c r="B45" s="494" t="n">
        <v>41</v>
      </c>
      <c r="C45" s="495" t="s">
        <v>650</v>
      </c>
      <c r="D45" s="496" t="s">
        <v>572</v>
      </c>
      <c r="E45" s="496" t="s">
        <v>563</v>
      </c>
      <c r="F45" s="494" t="s">
        <v>651</v>
      </c>
      <c r="G45" s="313" t="s">
        <v>652</v>
      </c>
      <c r="H45" s="314" t="s">
        <v>453</v>
      </c>
      <c r="I45" s="314" t="s">
        <v>17</v>
      </c>
      <c r="J45" s="314" t="s">
        <v>17</v>
      </c>
    </row>
    <row r="46" customFormat="false" ht="18" hidden="false" customHeight="true" outlineLevel="0" collapsed="false">
      <c r="B46" s="494" t="n">
        <v>42</v>
      </c>
      <c r="C46" s="495" t="s">
        <v>640</v>
      </c>
      <c r="D46" s="496" t="s">
        <v>572</v>
      </c>
      <c r="E46" s="496" t="s">
        <v>563</v>
      </c>
      <c r="F46" s="494" t="s">
        <v>578</v>
      </c>
      <c r="G46" s="313" t="s">
        <v>620</v>
      </c>
      <c r="H46" s="314" t="s">
        <v>453</v>
      </c>
      <c r="I46" s="314" t="s">
        <v>17</v>
      </c>
      <c r="J46" s="314" t="s">
        <v>17</v>
      </c>
    </row>
    <row r="47" customFormat="false" ht="18" hidden="false" customHeight="true" outlineLevel="0" collapsed="false">
      <c r="B47" s="494" t="n">
        <v>43</v>
      </c>
      <c r="C47" s="495" t="s">
        <v>616</v>
      </c>
      <c r="D47" s="496" t="s">
        <v>572</v>
      </c>
      <c r="E47" s="496" t="s">
        <v>563</v>
      </c>
      <c r="F47" s="494" t="s">
        <v>653</v>
      </c>
      <c r="G47" s="313" t="s">
        <v>608</v>
      </c>
      <c r="H47" s="314" t="s">
        <v>453</v>
      </c>
      <c r="I47" s="314" t="s">
        <v>17</v>
      </c>
      <c r="J47" s="314" t="s">
        <v>17</v>
      </c>
    </row>
    <row r="48" customFormat="false" ht="18" hidden="false" customHeight="true" outlineLevel="0" collapsed="false">
      <c r="B48" s="494" t="n">
        <v>44</v>
      </c>
      <c r="C48" s="495" t="s">
        <v>654</v>
      </c>
      <c r="D48" s="496" t="s">
        <v>581</v>
      </c>
      <c r="E48" s="496" t="s">
        <v>567</v>
      </c>
      <c r="F48" s="494" t="s">
        <v>576</v>
      </c>
      <c r="G48" s="313" t="s">
        <v>655</v>
      </c>
      <c r="H48" s="314" t="s">
        <v>453</v>
      </c>
      <c r="I48" s="314" t="s">
        <v>17</v>
      </c>
      <c r="J48" s="314" t="s">
        <v>17</v>
      </c>
    </row>
    <row r="49" customFormat="false" ht="18" hidden="false" customHeight="true" outlineLevel="0" collapsed="false">
      <c r="B49" s="494" t="n">
        <v>45</v>
      </c>
      <c r="C49" s="495" t="s">
        <v>617</v>
      </c>
      <c r="D49" s="496" t="s">
        <v>581</v>
      </c>
      <c r="E49" s="496" t="s">
        <v>563</v>
      </c>
      <c r="F49" s="494" t="s">
        <v>578</v>
      </c>
      <c r="G49" s="313" t="s">
        <v>608</v>
      </c>
      <c r="H49" s="314" t="s">
        <v>453</v>
      </c>
      <c r="I49" s="314" t="s">
        <v>17</v>
      </c>
      <c r="J49" s="314" t="s">
        <v>17</v>
      </c>
    </row>
    <row r="50" customFormat="false" ht="18" hidden="false" customHeight="true" outlineLevel="0" collapsed="false">
      <c r="B50" s="494" t="n">
        <v>46</v>
      </c>
      <c r="C50" s="495" t="s">
        <v>656</v>
      </c>
      <c r="D50" s="496" t="s">
        <v>581</v>
      </c>
      <c r="E50" s="496" t="s">
        <v>563</v>
      </c>
      <c r="F50" s="494" t="s">
        <v>657</v>
      </c>
      <c r="G50" s="313" t="s">
        <v>648</v>
      </c>
      <c r="H50" s="314" t="s">
        <v>453</v>
      </c>
      <c r="I50" s="314" t="s">
        <v>17</v>
      </c>
      <c r="J50" s="314" t="s">
        <v>17</v>
      </c>
    </row>
    <row r="51" customFormat="false" ht="18" hidden="false" customHeight="true" outlineLevel="0" collapsed="false">
      <c r="B51" s="494" t="n">
        <v>47</v>
      </c>
      <c r="C51" s="495" t="s">
        <v>658</v>
      </c>
      <c r="D51" s="496" t="s">
        <v>581</v>
      </c>
      <c r="E51" s="496" t="s">
        <v>563</v>
      </c>
      <c r="F51" s="494" t="s">
        <v>659</v>
      </c>
      <c r="G51" s="313" t="s">
        <v>648</v>
      </c>
      <c r="H51" s="314" t="s">
        <v>453</v>
      </c>
      <c r="I51" s="314" t="s">
        <v>17</v>
      </c>
      <c r="J51" s="314" t="s">
        <v>17</v>
      </c>
    </row>
    <row r="52" customFormat="false" ht="18" hidden="false" customHeight="true" outlineLevel="0" collapsed="false">
      <c r="B52" s="494" t="n">
        <v>48</v>
      </c>
      <c r="C52" s="495" t="s">
        <v>660</v>
      </c>
      <c r="D52" s="496" t="s">
        <v>572</v>
      </c>
      <c r="E52" s="496" t="s">
        <v>563</v>
      </c>
      <c r="F52" s="494" t="s">
        <v>645</v>
      </c>
      <c r="G52" s="313" t="s">
        <v>652</v>
      </c>
      <c r="H52" s="314" t="s">
        <v>661</v>
      </c>
      <c r="I52" s="314" t="s">
        <v>17</v>
      </c>
      <c r="J52" s="314" t="s">
        <v>17</v>
      </c>
    </row>
    <row r="53" customFormat="false" ht="18" hidden="false" customHeight="true" outlineLevel="0" collapsed="false">
      <c r="B53" s="494" t="n">
        <v>49</v>
      </c>
      <c r="C53" s="495" t="s">
        <v>662</v>
      </c>
      <c r="D53" s="496" t="s">
        <v>581</v>
      </c>
      <c r="E53" s="496" t="s">
        <v>563</v>
      </c>
      <c r="F53" s="494" t="s">
        <v>663</v>
      </c>
      <c r="G53" s="313" t="s">
        <v>583</v>
      </c>
      <c r="H53" s="314" t="s">
        <v>661</v>
      </c>
      <c r="I53" s="314" t="s">
        <v>17</v>
      </c>
      <c r="J53" s="314" t="s">
        <v>17</v>
      </c>
    </row>
    <row r="54" customFormat="false" ht="18" hidden="false" customHeight="true" outlineLevel="0" collapsed="false">
      <c r="B54" s="144" t="s">
        <v>119</v>
      </c>
      <c r="C54" s="497" t="s">
        <v>664</v>
      </c>
    </row>
    <row r="56" customFormat="false" ht="1147.5" hidden="false" customHeight="true" outlineLevel="0" collapsed="false">
      <c r="B56" s="334" t="s">
        <v>665</v>
      </c>
    </row>
    <row r="63" customFormat="false" ht="18" hidden="false" customHeight="true" outlineLevel="0" collapsed="false">
      <c r="B63" s="368" t="s">
        <v>666</v>
      </c>
    </row>
    <row r="64" customFormat="false" ht="24.75" hidden="false" customHeight="true" outlineLevel="0" collapsed="false">
      <c r="B64" s="498" t="s">
        <v>560</v>
      </c>
      <c r="C64" s="498" t="s">
        <v>667</v>
      </c>
      <c r="D64" s="498" t="s">
        <v>668</v>
      </c>
      <c r="E64" s="498" t="s">
        <v>669</v>
      </c>
      <c r="F64" s="498" t="s">
        <v>670</v>
      </c>
      <c r="G64" s="498" t="s">
        <v>671</v>
      </c>
    </row>
    <row r="65" customFormat="false" ht="18" hidden="false" customHeight="true" outlineLevel="0" collapsed="false">
      <c r="B65" s="499" t="s">
        <v>500</v>
      </c>
      <c r="C65" s="500" t="n">
        <v>2</v>
      </c>
      <c r="D65" s="500" t="n">
        <v>0</v>
      </c>
      <c r="E65" s="501" t="n">
        <v>2</v>
      </c>
      <c r="F65" s="501" t="n">
        <v>42.5</v>
      </c>
      <c r="G65" s="501"/>
    </row>
    <row r="66" customFormat="false" ht="18" hidden="false" customHeight="true" outlineLevel="0" collapsed="false">
      <c r="B66" s="499" t="s">
        <v>436</v>
      </c>
      <c r="C66" s="500" t="n">
        <v>3</v>
      </c>
      <c r="D66" s="500" t="n">
        <v>3</v>
      </c>
      <c r="E66" s="501" t="n">
        <v>6</v>
      </c>
      <c r="F66" s="501" t="n">
        <v>27.5</v>
      </c>
      <c r="G66" s="501" t="n">
        <v>1</v>
      </c>
    </row>
    <row r="67" customFormat="false" ht="18" hidden="false" customHeight="true" outlineLevel="0" collapsed="false">
      <c r="B67" s="499" t="s">
        <v>439</v>
      </c>
      <c r="C67" s="500" t="n">
        <v>2</v>
      </c>
      <c r="D67" s="500" t="n">
        <v>7</v>
      </c>
      <c r="E67" s="501" t="n">
        <v>9</v>
      </c>
      <c r="F67" s="501" t="n">
        <v>33.1</v>
      </c>
      <c r="G67" s="501" t="n">
        <v>3.6</v>
      </c>
    </row>
    <row r="68" customFormat="false" ht="18" hidden="false" customHeight="true" outlineLevel="0" collapsed="false">
      <c r="B68" s="499" t="s">
        <v>441</v>
      </c>
      <c r="C68" s="500" t="n">
        <v>2</v>
      </c>
      <c r="D68" s="500" t="n">
        <v>3</v>
      </c>
      <c r="E68" s="501" t="n">
        <v>5</v>
      </c>
      <c r="F68" s="501" t="n">
        <v>32.4</v>
      </c>
      <c r="G68" s="501" t="n">
        <v>3.8</v>
      </c>
    </row>
    <row r="69" customFormat="false" ht="18" hidden="false" customHeight="true" outlineLevel="0" collapsed="false">
      <c r="B69" s="499" t="s">
        <v>446</v>
      </c>
      <c r="C69" s="500" t="n">
        <v>1</v>
      </c>
      <c r="D69" s="500" t="n">
        <v>6</v>
      </c>
      <c r="E69" s="501" t="n">
        <v>7</v>
      </c>
      <c r="F69" s="501" t="n">
        <v>39.3</v>
      </c>
      <c r="G69" s="501" t="n">
        <v>1.8</v>
      </c>
    </row>
    <row r="70" customFormat="false" ht="18" hidden="false" customHeight="true" outlineLevel="0" collapsed="false">
      <c r="B70" s="499" t="s">
        <v>450</v>
      </c>
      <c r="C70" s="500" t="n">
        <v>1</v>
      </c>
      <c r="D70" s="500" t="n">
        <v>9</v>
      </c>
      <c r="E70" s="501" t="n">
        <v>10</v>
      </c>
      <c r="F70" s="501" t="n">
        <v>34</v>
      </c>
      <c r="G70" s="501" t="n">
        <v>1.4</v>
      </c>
    </row>
    <row r="71" customFormat="false" ht="18" hidden="false" customHeight="true" outlineLevel="0" collapsed="false">
      <c r="B71" s="499" t="s">
        <v>453</v>
      </c>
      <c r="C71" s="500" t="n">
        <v>4</v>
      </c>
      <c r="D71" s="500" t="n">
        <v>4</v>
      </c>
      <c r="E71" s="501" t="n">
        <v>8</v>
      </c>
      <c r="F71" s="501" t="n">
        <v>28.4</v>
      </c>
      <c r="G71" s="501" t="n">
        <v>1.7</v>
      </c>
    </row>
    <row r="72" customFormat="false" ht="18" hidden="false" customHeight="true" outlineLevel="0" collapsed="false">
      <c r="B72" s="499" t="s">
        <v>661</v>
      </c>
      <c r="C72" s="500" t="n">
        <v>1</v>
      </c>
      <c r="D72" s="500" t="n">
        <v>1</v>
      </c>
      <c r="E72" s="501" t="n">
        <v>2</v>
      </c>
      <c r="F72" s="501" t="n">
        <v>36.5</v>
      </c>
      <c r="G72" s="501" t="n">
        <v>3.3</v>
      </c>
    </row>
    <row r="73" customFormat="false" ht="18" hidden="false" customHeight="true" outlineLevel="0" collapsed="false">
      <c r="B73" s="144" t="s">
        <v>119</v>
      </c>
      <c r="C73" s="502" t="n">
        <f aca="false">SUM(C65:C72)</f>
        <v>16</v>
      </c>
      <c r="D73" s="502" t="n">
        <f aca="false">SUM(D65:D72)</f>
        <v>33</v>
      </c>
      <c r="E73" s="502" t="n">
        <f aca="false">SUM(E65:E72)</f>
        <v>49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3" activeCellId="0" sqref="C3"/>
    </sheetView>
  </sheetViews>
  <sheetFormatPr defaultColWidth="8.87890625" defaultRowHeight="18.75" zeroHeight="false" outlineLevelRow="0" outlineLevelCol="0"/>
  <cols>
    <col collapsed="false" customWidth="false" hidden="false" outlineLevel="0" max="1" min="1" style="355" width="8.88"/>
    <col collapsed="false" customWidth="true" hidden="false" outlineLevel="0" max="2" min="2" style="355" width="41.88"/>
    <col collapsed="false" customWidth="true" hidden="false" outlineLevel="0" max="3" min="3" style="355" width="16.13"/>
    <col collapsed="false" customWidth="true" hidden="false" outlineLevel="0" max="6" min="4" style="355" width="13.13"/>
    <col collapsed="false" customWidth="true" hidden="false" outlineLevel="0" max="7" min="7" style="355" width="55.5"/>
    <col collapsed="false" customWidth="false" hidden="false" outlineLevel="0" max="16384" min="8" style="355" width="8.88"/>
  </cols>
  <sheetData>
    <row r="2" customFormat="false" ht="39" hidden="false" customHeight="true" outlineLevel="0" collapsed="false">
      <c r="B2" s="61" t="s">
        <v>330</v>
      </c>
      <c r="C2" s="179" t="s">
        <v>672</v>
      </c>
      <c r="D2" s="503" t="s">
        <v>673</v>
      </c>
      <c r="E2" s="503" t="s">
        <v>674</v>
      </c>
      <c r="F2" s="503" t="s">
        <v>675</v>
      </c>
      <c r="G2" s="180" t="s">
        <v>676</v>
      </c>
    </row>
    <row r="3" customFormat="false" ht="39" hidden="false" customHeight="true" outlineLevel="0" collapsed="false">
      <c r="B3" s="504" t="s">
        <v>677</v>
      </c>
      <c r="C3" s="505" t="s">
        <v>678</v>
      </c>
      <c r="D3" s="506"/>
      <c r="E3" s="507" t="n">
        <v>83333</v>
      </c>
      <c r="F3" s="507"/>
      <c r="G3" s="508" t="s">
        <v>679</v>
      </c>
    </row>
    <row r="4" customFormat="false" ht="45.75" hidden="false" customHeight="true" outlineLevel="0" collapsed="false">
      <c r="B4" s="504" t="s">
        <v>680</v>
      </c>
      <c r="C4" s="505" t="s">
        <v>681</v>
      </c>
      <c r="D4" s="506"/>
      <c r="E4" s="507" t="n">
        <v>47831</v>
      </c>
      <c r="F4" s="507"/>
      <c r="G4" s="509" t="s">
        <v>682</v>
      </c>
    </row>
    <row r="5" customFormat="false" ht="45.75" hidden="false" customHeight="true" outlineLevel="0" collapsed="false">
      <c r="B5" s="504" t="s">
        <v>683</v>
      </c>
      <c r="C5" s="505" t="s">
        <v>684</v>
      </c>
      <c r="D5" s="506"/>
      <c r="E5" s="507" t="n">
        <v>201667</v>
      </c>
      <c r="F5" s="507"/>
      <c r="G5" s="509" t="s">
        <v>682</v>
      </c>
    </row>
    <row r="7" customFormat="false" ht="60.75" hidden="false" customHeight="true" outlineLevel="0" collapsed="false">
      <c r="B7" s="334" t="s">
        <v>685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21"/>
  <sheetViews>
    <sheetView showFormulas="false" showGridLines="false" showRowColHeaders="true" showZeros="true" rightToLeft="false" tabSelected="false" showOutlineSymbols="true" defaultGridColor="true" view="normal" topLeftCell="D1" colorId="64" zoomScale="100" zoomScaleNormal="100" zoomScalePageLayoutView="100" workbookViewId="0">
      <selection pane="topLeft" activeCell="I4" activeCellId="0" sqref="I4"/>
    </sheetView>
  </sheetViews>
  <sheetFormatPr defaultColWidth="8.87890625" defaultRowHeight="18.75" zeroHeight="false" outlineLevelRow="0" outlineLevelCol="0"/>
  <cols>
    <col collapsed="false" customWidth="false" hidden="false" outlineLevel="0" max="1" min="1" style="355" width="8.88"/>
    <col collapsed="false" customWidth="true" hidden="false" outlineLevel="0" max="2" min="2" style="355" width="10.13"/>
    <col collapsed="false" customWidth="true" hidden="false" outlineLevel="0" max="3" min="3" style="355" width="16.13"/>
    <col collapsed="false" customWidth="true" hidden="false" outlineLevel="0" max="4" min="4" style="355" width="21.13"/>
    <col collapsed="false" customWidth="true" hidden="false" outlineLevel="0" max="5" min="5" style="510" width="16.5"/>
    <col collapsed="false" customWidth="true" hidden="false" outlineLevel="0" max="6" min="6" style="355" width="11.38"/>
    <col collapsed="false" customWidth="true" hidden="false" outlineLevel="0" max="7" min="7" style="355" width="20.38"/>
    <col collapsed="false" customWidth="true" hidden="false" outlineLevel="0" max="10" min="8" style="177" width="13.38"/>
    <col collapsed="false" customWidth="true" hidden="false" outlineLevel="0" max="11" min="11" style="355" width="34.13"/>
    <col collapsed="false" customWidth="false" hidden="false" outlineLevel="0" max="16384" min="12" style="355" width="8.88"/>
  </cols>
  <sheetData>
    <row r="1" s="2" customFormat="true" ht="18.75" hidden="false" customHeight="true" outlineLevel="0" collapsed="false">
      <c r="A1" s="355"/>
      <c r="B1" s="355"/>
      <c r="C1" s="355"/>
      <c r="D1" s="355"/>
      <c r="E1" s="178"/>
      <c r="F1" s="355"/>
      <c r="G1" s="355"/>
      <c r="H1" s="355"/>
      <c r="I1" s="2" t="s">
        <v>686</v>
      </c>
    </row>
    <row r="2" s="2" customFormat="true" ht="18.75" hidden="false" customHeight="true" outlineLevel="0" collapsed="false">
      <c r="B2" s="391"/>
      <c r="C2" s="391"/>
      <c r="E2" s="178"/>
    </row>
    <row r="3" s="2" customFormat="true" ht="39" hidden="false" customHeight="true" outlineLevel="0" collapsed="false">
      <c r="B3" s="217" t="s">
        <v>423</v>
      </c>
      <c r="C3" s="217" t="s">
        <v>335</v>
      </c>
      <c r="D3" s="503" t="s">
        <v>687</v>
      </c>
      <c r="E3" s="503" t="s">
        <v>688</v>
      </c>
      <c r="F3" s="503" t="s">
        <v>689</v>
      </c>
      <c r="G3" s="503" t="s">
        <v>690</v>
      </c>
      <c r="H3" s="503" t="s">
        <v>691</v>
      </c>
      <c r="I3" s="503" t="s">
        <v>692</v>
      </c>
      <c r="J3" s="503" t="s">
        <v>693</v>
      </c>
      <c r="K3" s="180" t="s">
        <v>240</v>
      </c>
    </row>
    <row r="4" s="2" customFormat="true" ht="22.5" hidden="false" customHeight="true" outlineLevel="0" collapsed="false">
      <c r="B4" s="511" t="s">
        <v>694</v>
      </c>
      <c r="C4" s="512" t="s">
        <v>695</v>
      </c>
      <c r="D4" s="512" t="s">
        <v>696</v>
      </c>
      <c r="E4" s="513" t="n">
        <v>89.4</v>
      </c>
      <c r="F4" s="512" t="s">
        <v>697</v>
      </c>
      <c r="G4" s="514" t="s">
        <v>698</v>
      </c>
      <c r="H4" s="515" t="n">
        <v>2974400</v>
      </c>
      <c r="I4" s="516" t="s">
        <v>682</v>
      </c>
      <c r="J4" s="516" t="s">
        <v>682</v>
      </c>
      <c r="K4" s="517" t="s">
        <v>699</v>
      </c>
    </row>
    <row r="5" s="2" customFormat="true" ht="22.5" hidden="false" customHeight="true" outlineLevel="0" collapsed="false">
      <c r="B5" s="511"/>
      <c r="C5" s="518"/>
      <c r="D5" s="518"/>
      <c r="E5" s="519"/>
      <c r="F5" s="518"/>
      <c r="G5" s="514"/>
      <c r="H5" s="520"/>
      <c r="I5" s="520"/>
      <c r="J5" s="520"/>
      <c r="K5" s="517"/>
    </row>
    <row r="6" s="2" customFormat="true" ht="58.5" hidden="false" customHeight="true" outlineLevel="0" collapsed="false">
      <c r="B6" s="511"/>
      <c r="C6" s="357"/>
      <c r="D6" s="357"/>
      <c r="E6" s="521"/>
      <c r="F6" s="357"/>
      <c r="G6" s="522"/>
      <c r="H6" s="31"/>
      <c r="I6" s="31"/>
      <c r="J6" s="462"/>
      <c r="K6" s="523"/>
    </row>
    <row r="7" s="2" customFormat="true" ht="22.5" hidden="false" customHeight="true" outlineLevel="0" collapsed="false">
      <c r="B7" s="524" t="s">
        <v>700</v>
      </c>
      <c r="C7" s="512"/>
      <c r="D7" s="512"/>
      <c r="E7" s="513"/>
      <c r="F7" s="512"/>
      <c r="G7" s="514"/>
      <c r="H7" s="516"/>
      <c r="I7" s="516"/>
      <c r="J7" s="516"/>
      <c r="K7" s="517"/>
    </row>
    <row r="8" s="2" customFormat="true" ht="48" hidden="false" customHeight="true" outlineLevel="0" collapsed="false">
      <c r="B8" s="524"/>
      <c r="C8" s="357"/>
      <c r="D8" s="357"/>
      <c r="E8" s="521"/>
      <c r="F8" s="357"/>
      <c r="G8" s="522"/>
      <c r="H8" s="31"/>
      <c r="I8" s="31"/>
      <c r="J8" s="462"/>
      <c r="K8" s="523"/>
    </row>
    <row r="9" s="2" customFormat="true" ht="22.5" hidden="false" customHeight="true" outlineLevel="0" collapsed="false">
      <c r="B9" s="525"/>
      <c r="C9" s="525"/>
      <c r="D9" s="357"/>
      <c r="E9" s="526"/>
      <c r="F9" s="357"/>
      <c r="G9" s="522"/>
      <c r="H9" s="31"/>
      <c r="I9" s="31"/>
      <c r="J9" s="31"/>
      <c r="K9" s="523"/>
    </row>
    <row r="10" s="2" customFormat="true" ht="22.5" hidden="false" customHeight="true" outlineLevel="0" collapsed="false">
      <c r="B10" s="525"/>
      <c r="C10" s="525"/>
      <c r="D10" s="357"/>
      <c r="E10" s="526"/>
      <c r="F10" s="357"/>
      <c r="G10" s="522"/>
      <c r="H10" s="31"/>
      <c r="I10" s="31"/>
      <c r="J10" s="31"/>
      <c r="K10" s="523"/>
    </row>
    <row r="11" s="2" customFormat="true" ht="22.5" hidden="false" customHeight="true" outlineLevel="0" collapsed="false">
      <c r="B11" s="525"/>
      <c r="C11" s="525"/>
      <c r="D11" s="357"/>
      <c r="E11" s="526"/>
      <c r="F11" s="357"/>
      <c r="G11" s="522"/>
      <c r="H11" s="31"/>
      <c r="I11" s="31"/>
      <c r="J11" s="31"/>
      <c r="K11" s="523"/>
    </row>
    <row r="12" s="2" customFormat="true" ht="18.75" hidden="false" customHeight="true" outlineLevel="0" collapsed="false">
      <c r="E12" s="510"/>
      <c r="H12" s="177"/>
      <c r="I12" s="177"/>
      <c r="J12" s="177"/>
    </row>
    <row r="13" s="2" customFormat="true" ht="18.75" hidden="false" customHeight="true" outlineLevel="0" collapsed="false">
      <c r="E13" s="510"/>
      <c r="H13" s="177"/>
      <c r="I13" s="177"/>
      <c r="J13" s="177"/>
    </row>
    <row r="14" s="2" customFormat="true" ht="18.75" hidden="false" customHeight="true" outlineLevel="0" collapsed="false">
      <c r="B14" s="391"/>
      <c r="C14" s="391"/>
      <c r="E14" s="178"/>
    </row>
    <row r="15" s="2" customFormat="true" ht="39" hidden="false" customHeight="true" outlineLevel="0" collapsed="false">
      <c r="B15" s="217"/>
      <c r="C15" s="217"/>
      <c r="D15" s="503"/>
      <c r="E15" s="527"/>
      <c r="F15" s="503"/>
      <c r="G15" s="503"/>
      <c r="H15" s="503"/>
      <c r="I15" s="503"/>
      <c r="J15" s="503"/>
      <c r="K15" s="180"/>
    </row>
    <row r="16" s="2" customFormat="true" ht="22.5" hidden="false" customHeight="true" outlineLevel="0" collapsed="false">
      <c r="B16" s="528"/>
      <c r="C16" s="356"/>
      <c r="D16" s="356"/>
      <c r="E16" s="529"/>
      <c r="F16" s="356"/>
      <c r="G16" s="506"/>
      <c r="H16" s="507"/>
      <c r="I16" s="507"/>
      <c r="J16" s="507"/>
      <c r="K16" s="530"/>
    </row>
    <row r="17" s="2" customFormat="true" ht="22.5" hidden="false" customHeight="true" outlineLevel="0" collapsed="false">
      <c r="B17" s="528"/>
      <c r="C17" s="357"/>
      <c r="D17" s="357"/>
      <c r="E17" s="526"/>
      <c r="F17" s="357"/>
      <c r="G17" s="506"/>
      <c r="H17" s="31"/>
      <c r="I17" s="31"/>
      <c r="J17" s="31"/>
      <c r="K17" s="530"/>
    </row>
    <row r="18" s="2" customFormat="true" ht="45" hidden="false" customHeight="true" outlineLevel="0" collapsed="false">
      <c r="B18" s="528"/>
      <c r="C18" s="357"/>
      <c r="D18" s="357"/>
      <c r="E18" s="521"/>
      <c r="F18" s="357"/>
      <c r="G18" s="522"/>
      <c r="H18" s="31"/>
      <c r="I18" s="31"/>
      <c r="J18" s="462"/>
      <c r="K18" s="523"/>
    </row>
    <row r="19" s="2" customFormat="true" ht="22.5" hidden="false" customHeight="true" outlineLevel="0" collapsed="false">
      <c r="B19" s="525"/>
      <c r="C19" s="525"/>
      <c r="D19" s="357"/>
      <c r="E19" s="526"/>
      <c r="F19" s="357"/>
      <c r="G19" s="522"/>
      <c r="H19" s="31"/>
      <c r="I19" s="31"/>
      <c r="J19" s="31"/>
      <c r="K19" s="523"/>
    </row>
    <row r="20" s="2" customFormat="true" ht="22.5" hidden="false" customHeight="true" outlineLevel="0" collapsed="false">
      <c r="B20" s="525"/>
      <c r="C20" s="525"/>
      <c r="D20" s="357"/>
      <c r="E20" s="526"/>
      <c r="F20" s="357"/>
      <c r="G20" s="522"/>
      <c r="H20" s="31"/>
      <c r="I20" s="31"/>
      <c r="J20" s="31"/>
      <c r="K20" s="523"/>
    </row>
    <row r="21" s="2" customFormat="true" ht="22.5" hidden="false" customHeight="true" outlineLevel="0" collapsed="false">
      <c r="B21" s="525"/>
      <c r="C21" s="525"/>
      <c r="D21" s="357"/>
      <c r="E21" s="526"/>
      <c r="F21" s="357"/>
      <c r="G21" s="522"/>
      <c r="H21" s="31"/>
      <c r="I21" s="31"/>
      <c r="J21" s="31"/>
      <c r="K21" s="523"/>
    </row>
    <row r="22" s="2" customFormat="true" ht="18.75" hidden="false" customHeight="true" outlineLevel="0" collapsed="false">
      <c r="E22" s="510"/>
      <c r="H22" s="177"/>
      <c r="I22" s="177"/>
      <c r="J22" s="177"/>
    </row>
    <row r="23" s="2" customFormat="true" ht="18.75" hidden="false" customHeight="true" outlineLevel="0" collapsed="false">
      <c r="E23" s="510"/>
      <c r="H23" s="177"/>
      <c r="I23" s="177"/>
      <c r="J23" s="177"/>
    </row>
    <row r="24" s="2" customFormat="true" ht="18.75" hidden="false" customHeight="true" outlineLevel="0" collapsed="false">
      <c r="E24" s="510"/>
      <c r="H24" s="177"/>
      <c r="I24" s="177"/>
      <c r="J24" s="177"/>
    </row>
    <row r="25" s="2" customFormat="true" ht="18.75" hidden="false" customHeight="true" outlineLevel="0" collapsed="false">
      <c r="E25" s="510"/>
      <c r="H25" s="177"/>
      <c r="I25" s="177"/>
      <c r="J25" s="177"/>
    </row>
    <row r="26" s="2" customFormat="true" ht="18.75" hidden="false" customHeight="true" outlineLevel="0" collapsed="false">
      <c r="E26" s="510"/>
      <c r="H26" s="177"/>
      <c r="I26" s="177"/>
      <c r="J26" s="177"/>
    </row>
    <row r="27" s="2" customFormat="true" ht="18.75" hidden="false" customHeight="true" outlineLevel="0" collapsed="false">
      <c r="E27" s="510"/>
      <c r="H27" s="177"/>
      <c r="I27" s="177"/>
      <c r="J27" s="177"/>
    </row>
    <row r="28" s="2" customFormat="true" ht="18.75" hidden="false" customHeight="true" outlineLevel="0" collapsed="false">
      <c r="E28" s="510"/>
      <c r="H28" s="177"/>
      <c r="I28" s="177"/>
      <c r="J28" s="177"/>
    </row>
    <row r="29" s="2" customFormat="true" ht="18.75" hidden="false" customHeight="true" outlineLevel="0" collapsed="false">
      <c r="E29" s="510"/>
      <c r="H29" s="177"/>
      <c r="I29" s="177"/>
      <c r="J29" s="177"/>
    </row>
    <row r="30" s="2" customFormat="true" ht="18.75" hidden="false" customHeight="true" outlineLevel="0" collapsed="false">
      <c r="E30" s="510"/>
      <c r="H30" s="177"/>
      <c r="I30" s="177"/>
      <c r="J30" s="177"/>
    </row>
    <row r="31" s="2" customFormat="true" ht="18.75" hidden="false" customHeight="true" outlineLevel="0" collapsed="false">
      <c r="E31" s="510"/>
      <c r="H31" s="177"/>
      <c r="I31" s="177"/>
      <c r="J31" s="177"/>
    </row>
    <row r="32" s="2" customFormat="true" ht="18.75" hidden="false" customHeight="true" outlineLevel="0" collapsed="false">
      <c r="E32" s="510"/>
      <c r="H32" s="177"/>
      <c r="I32" s="177"/>
      <c r="J32" s="177"/>
    </row>
    <row r="33" s="2" customFormat="true" ht="18.75" hidden="false" customHeight="true" outlineLevel="0" collapsed="false">
      <c r="E33" s="510"/>
      <c r="H33" s="177"/>
      <c r="I33" s="177"/>
      <c r="J33" s="177"/>
    </row>
    <row r="34" s="2" customFormat="true" ht="18.75" hidden="false" customHeight="true" outlineLevel="0" collapsed="false">
      <c r="E34" s="510"/>
      <c r="H34" s="177"/>
      <c r="I34" s="177"/>
      <c r="J34" s="177"/>
    </row>
    <row r="35" s="2" customFormat="true" ht="18.75" hidden="false" customHeight="true" outlineLevel="0" collapsed="false">
      <c r="E35" s="510"/>
      <c r="H35" s="177"/>
      <c r="I35" s="177"/>
      <c r="J35" s="177"/>
    </row>
    <row r="36" s="2" customFormat="true" ht="18.75" hidden="false" customHeight="true" outlineLevel="0" collapsed="false">
      <c r="E36" s="510"/>
      <c r="H36" s="177"/>
      <c r="I36" s="177"/>
      <c r="J36" s="177"/>
    </row>
    <row r="37" s="2" customFormat="true" ht="18.75" hidden="false" customHeight="true" outlineLevel="0" collapsed="false">
      <c r="E37" s="510"/>
      <c r="H37" s="177"/>
      <c r="I37" s="177"/>
      <c r="J37" s="177"/>
    </row>
    <row r="38" s="2" customFormat="true" ht="18.75" hidden="false" customHeight="true" outlineLevel="0" collapsed="false">
      <c r="E38" s="510"/>
      <c r="H38" s="177"/>
      <c r="I38" s="177"/>
      <c r="J38" s="177"/>
    </row>
    <row r="39" s="2" customFormat="true" ht="18.75" hidden="false" customHeight="true" outlineLevel="0" collapsed="false">
      <c r="E39" s="510"/>
      <c r="H39" s="177"/>
      <c r="I39" s="177"/>
      <c r="J39" s="177"/>
    </row>
    <row r="40" s="2" customFormat="true" ht="18.75" hidden="false" customHeight="true" outlineLevel="0" collapsed="false">
      <c r="E40" s="510"/>
      <c r="H40" s="177"/>
      <c r="I40" s="177"/>
      <c r="J40" s="177"/>
    </row>
    <row r="41" s="2" customFormat="true" ht="18.75" hidden="false" customHeight="true" outlineLevel="0" collapsed="false">
      <c r="E41" s="510"/>
      <c r="H41" s="177"/>
      <c r="I41" s="177"/>
      <c r="J41" s="177"/>
    </row>
    <row r="42" s="2" customFormat="true" ht="18.75" hidden="false" customHeight="true" outlineLevel="0" collapsed="false">
      <c r="E42" s="510"/>
      <c r="H42" s="177"/>
      <c r="I42" s="177"/>
      <c r="J42" s="177"/>
    </row>
    <row r="43" s="2" customFormat="true" ht="18.75" hidden="false" customHeight="true" outlineLevel="0" collapsed="false">
      <c r="E43" s="510"/>
      <c r="H43" s="177"/>
      <c r="I43" s="177"/>
      <c r="J43" s="177"/>
    </row>
    <row r="44" s="2" customFormat="true" ht="18.75" hidden="false" customHeight="true" outlineLevel="0" collapsed="false">
      <c r="E44" s="510"/>
      <c r="H44" s="177"/>
      <c r="I44" s="177"/>
      <c r="J44" s="177"/>
    </row>
    <row r="45" s="2" customFormat="true" ht="18.75" hidden="false" customHeight="true" outlineLevel="0" collapsed="false">
      <c r="E45" s="510"/>
      <c r="H45" s="177"/>
      <c r="I45" s="177"/>
      <c r="J45" s="177"/>
    </row>
    <row r="46" s="2" customFormat="true" ht="18.75" hidden="false" customHeight="true" outlineLevel="0" collapsed="false">
      <c r="E46" s="510"/>
      <c r="H46" s="177"/>
      <c r="I46" s="177"/>
      <c r="J46" s="177"/>
    </row>
    <row r="47" s="2" customFormat="true" ht="18.75" hidden="false" customHeight="true" outlineLevel="0" collapsed="false">
      <c r="E47" s="510"/>
      <c r="H47" s="177"/>
      <c r="I47" s="177"/>
      <c r="J47" s="177"/>
    </row>
    <row r="48" s="2" customFormat="true" ht="18.75" hidden="false" customHeight="true" outlineLevel="0" collapsed="false">
      <c r="E48" s="510"/>
      <c r="H48" s="177"/>
      <c r="I48" s="177"/>
      <c r="J48" s="177"/>
    </row>
    <row r="49" s="2" customFormat="true" ht="18.75" hidden="false" customHeight="true" outlineLevel="0" collapsed="false">
      <c r="E49" s="510"/>
      <c r="H49" s="177"/>
      <c r="I49" s="177"/>
      <c r="J49" s="177"/>
    </row>
    <row r="50" s="2" customFormat="true" ht="18.75" hidden="false" customHeight="true" outlineLevel="0" collapsed="false">
      <c r="E50" s="510"/>
      <c r="H50" s="177"/>
      <c r="I50" s="177"/>
      <c r="J50" s="177"/>
    </row>
    <row r="51" s="2" customFormat="true" ht="18.75" hidden="false" customHeight="true" outlineLevel="0" collapsed="false">
      <c r="E51" s="510"/>
      <c r="H51" s="177"/>
      <c r="I51" s="177"/>
      <c r="J51" s="177"/>
    </row>
    <row r="52" s="2" customFormat="true" ht="18.75" hidden="false" customHeight="true" outlineLevel="0" collapsed="false">
      <c r="E52" s="510"/>
      <c r="H52" s="177"/>
      <c r="I52" s="177"/>
      <c r="J52" s="177"/>
    </row>
    <row r="53" s="2" customFormat="true" ht="18.75" hidden="false" customHeight="true" outlineLevel="0" collapsed="false">
      <c r="E53" s="510"/>
      <c r="H53" s="177"/>
      <c r="I53" s="177"/>
      <c r="J53" s="177"/>
    </row>
    <row r="54" s="2" customFormat="true" ht="18.75" hidden="false" customHeight="true" outlineLevel="0" collapsed="false">
      <c r="E54" s="510"/>
      <c r="H54" s="177"/>
      <c r="I54" s="177"/>
      <c r="J54" s="177"/>
    </row>
    <row r="55" s="2" customFormat="true" ht="18.75" hidden="false" customHeight="true" outlineLevel="0" collapsed="false">
      <c r="E55" s="510"/>
      <c r="H55" s="177"/>
      <c r="I55" s="177"/>
      <c r="J55" s="177"/>
    </row>
    <row r="56" s="2" customFormat="true" ht="18.75" hidden="false" customHeight="true" outlineLevel="0" collapsed="false">
      <c r="E56" s="510"/>
      <c r="H56" s="177"/>
      <c r="I56" s="177"/>
      <c r="J56" s="177"/>
    </row>
    <row r="57" s="2" customFormat="true" ht="18.75" hidden="false" customHeight="true" outlineLevel="0" collapsed="false">
      <c r="E57" s="510"/>
      <c r="H57" s="177"/>
      <c r="I57" s="177"/>
      <c r="J57" s="177"/>
    </row>
    <row r="58" s="2" customFormat="true" ht="18.75" hidden="false" customHeight="true" outlineLevel="0" collapsed="false">
      <c r="E58" s="510"/>
      <c r="H58" s="177"/>
      <c r="I58" s="177"/>
      <c r="J58" s="177"/>
    </row>
    <row r="59" s="2" customFormat="true" ht="18.75" hidden="false" customHeight="true" outlineLevel="0" collapsed="false">
      <c r="E59" s="510"/>
      <c r="H59" s="177"/>
      <c r="I59" s="177"/>
      <c r="J59" s="177"/>
    </row>
    <row r="60" s="2" customFormat="true" ht="18.75" hidden="false" customHeight="true" outlineLevel="0" collapsed="false">
      <c r="E60" s="510"/>
      <c r="H60" s="177"/>
      <c r="I60" s="177"/>
      <c r="J60" s="177"/>
    </row>
    <row r="61" s="2" customFormat="true" ht="18.75" hidden="false" customHeight="true" outlineLevel="0" collapsed="false">
      <c r="E61" s="510"/>
      <c r="H61" s="177"/>
      <c r="I61" s="177"/>
      <c r="J61" s="177"/>
    </row>
    <row r="62" s="2" customFormat="true" ht="18.75" hidden="false" customHeight="true" outlineLevel="0" collapsed="false">
      <c r="E62" s="510"/>
      <c r="H62" s="177"/>
      <c r="I62" s="177"/>
      <c r="J62" s="177"/>
    </row>
    <row r="63" s="2" customFormat="true" ht="18.75" hidden="false" customHeight="true" outlineLevel="0" collapsed="false">
      <c r="E63" s="510"/>
      <c r="H63" s="177"/>
      <c r="I63" s="177"/>
      <c r="J63" s="177"/>
    </row>
    <row r="64" s="2" customFormat="true" ht="18.75" hidden="false" customHeight="true" outlineLevel="0" collapsed="false">
      <c r="E64" s="510"/>
      <c r="H64" s="177"/>
      <c r="I64" s="177"/>
      <c r="J64" s="177"/>
    </row>
    <row r="65" s="2" customFormat="true" ht="18.75" hidden="false" customHeight="true" outlineLevel="0" collapsed="false">
      <c r="E65" s="510"/>
      <c r="H65" s="177"/>
      <c r="I65" s="177"/>
      <c r="J65" s="177"/>
    </row>
    <row r="66" s="2" customFormat="true" ht="18.75" hidden="false" customHeight="true" outlineLevel="0" collapsed="false">
      <c r="E66" s="510"/>
      <c r="H66" s="177"/>
      <c r="I66" s="177"/>
      <c r="J66" s="177"/>
    </row>
    <row r="67" s="2" customFormat="true" ht="18.75" hidden="false" customHeight="true" outlineLevel="0" collapsed="false">
      <c r="E67" s="510"/>
      <c r="H67" s="177"/>
      <c r="I67" s="177"/>
      <c r="J67" s="177"/>
    </row>
    <row r="68" s="2" customFormat="true" ht="18.75" hidden="false" customHeight="true" outlineLevel="0" collapsed="false">
      <c r="E68" s="510"/>
      <c r="H68" s="177"/>
      <c r="I68" s="177"/>
      <c r="J68" s="177"/>
    </row>
    <row r="69" s="2" customFormat="true" ht="18.75" hidden="false" customHeight="true" outlineLevel="0" collapsed="false">
      <c r="E69" s="510"/>
      <c r="H69" s="177"/>
      <c r="I69" s="177"/>
      <c r="J69" s="177"/>
    </row>
    <row r="70" s="2" customFormat="true" ht="18.75" hidden="false" customHeight="true" outlineLevel="0" collapsed="false">
      <c r="E70" s="510"/>
      <c r="H70" s="177"/>
      <c r="I70" s="177"/>
      <c r="J70" s="177"/>
    </row>
    <row r="71" s="2" customFormat="true" ht="18.75" hidden="false" customHeight="true" outlineLevel="0" collapsed="false">
      <c r="E71" s="510"/>
      <c r="H71" s="177"/>
      <c r="I71" s="177"/>
      <c r="J71" s="177"/>
    </row>
    <row r="72" s="2" customFormat="true" ht="18.75" hidden="false" customHeight="true" outlineLevel="0" collapsed="false">
      <c r="E72" s="510"/>
      <c r="H72" s="177"/>
      <c r="I72" s="177"/>
      <c r="J72" s="177"/>
    </row>
    <row r="73" s="2" customFormat="true" ht="18.75" hidden="false" customHeight="true" outlineLevel="0" collapsed="false">
      <c r="E73" s="510"/>
      <c r="H73" s="177"/>
      <c r="I73" s="177"/>
      <c r="J73" s="177"/>
    </row>
    <row r="74" s="2" customFormat="true" ht="18.75" hidden="false" customHeight="true" outlineLevel="0" collapsed="false">
      <c r="E74" s="510"/>
      <c r="H74" s="177"/>
      <c r="I74" s="177"/>
      <c r="J74" s="177"/>
    </row>
    <row r="75" s="2" customFormat="true" ht="18.75" hidden="false" customHeight="true" outlineLevel="0" collapsed="false">
      <c r="E75" s="510"/>
      <c r="H75" s="177"/>
      <c r="I75" s="177"/>
      <c r="J75" s="177"/>
    </row>
    <row r="76" s="2" customFormat="true" ht="18.75" hidden="false" customHeight="true" outlineLevel="0" collapsed="false">
      <c r="E76" s="510"/>
      <c r="H76" s="177"/>
      <c r="I76" s="177"/>
      <c r="J76" s="177"/>
    </row>
    <row r="77" s="2" customFormat="true" ht="18.75" hidden="false" customHeight="true" outlineLevel="0" collapsed="false">
      <c r="E77" s="510"/>
      <c r="H77" s="177"/>
      <c r="I77" s="177"/>
      <c r="J77" s="177"/>
    </row>
    <row r="78" s="2" customFormat="true" ht="18.75" hidden="false" customHeight="true" outlineLevel="0" collapsed="false">
      <c r="E78" s="510"/>
      <c r="H78" s="177"/>
      <c r="I78" s="177"/>
      <c r="J78" s="177"/>
    </row>
    <row r="79" s="2" customFormat="true" ht="18.75" hidden="false" customHeight="true" outlineLevel="0" collapsed="false">
      <c r="E79" s="510"/>
      <c r="H79" s="177"/>
      <c r="I79" s="177"/>
      <c r="J79" s="177"/>
    </row>
    <row r="80" s="2" customFormat="true" ht="18.75" hidden="false" customHeight="true" outlineLevel="0" collapsed="false">
      <c r="E80" s="510"/>
      <c r="H80" s="177"/>
      <c r="I80" s="177"/>
      <c r="J80" s="177"/>
    </row>
    <row r="81" s="2" customFormat="true" ht="18.75" hidden="false" customHeight="true" outlineLevel="0" collapsed="false">
      <c r="E81" s="510"/>
      <c r="H81" s="177"/>
      <c r="I81" s="177"/>
      <c r="J81" s="177"/>
    </row>
    <row r="82" s="2" customFormat="true" ht="18.75" hidden="false" customHeight="true" outlineLevel="0" collapsed="false">
      <c r="E82" s="510"/>
      <c r="H82" s="177"/>
      <c r="I82" s="177"/>
      <c r="J82" s="177"/>
    </row>
    <row r="83" s="2" customFormat="true" ht="18.75" hidden="false" customHeight="true" outlineLevel="0" collapsed="false">
      <c r="E83" s="510"/>
      <c r="H83" s="177"/>
      <c r="I83" s="177"/>
      <c r="J83" s="177"/>
    </row>
    <row r="84" s="2" customFormat="true" ht="18.75" hidden="false" customHeight="true" outlineLevel="0" collapsed="false">
      <c r="E84" s="510"/>
      <c r="H84" s="177"/>
      <c r="I84" s="177"/>
      <c r="J84" s="177"/>
    </row>
    <row r="85" s="2" customFormat="true" ht="18.75" hidden="false" customHeight="true" outlineLevel="0" collapsed="false">
      <c r="E85" s="510"/>
      <c r="H85" s="177"/>
      <c r="I85" s="177"/>
      <c r="J85" s="177"/>
    </row>
    <row r="86" s="2" customFormat="true" ht="18.75" hidden="false" customHeight="true" outlineLevel="0" collapsed="false">
      <c r="E86" s="510"/>
      <c r="H86" s="177"/>
      <c r="I86" s="177"/>
      <c r="J86" s="177"/>
    </row>
    <row r="87" s="2" customFormat="true" ht="18.75" hidden="false" customHeight="true" outlineLevel="0" collapsed="false">
      <c r="E87" s="510"/>
      <c r="H87" s="177"/>
      <c r="I87" s="177"/>
      <c r="J87" s="177"/>
    </row>
    <row r="88" s="2" customFormat="true" ht="18.75" hidden="false" customHeight="true" outlineLevel="0" collapsed="false">
      <c r="E88" s="510"/>
      <c r="H88" s="177"/>
      <c r="I88" s="177"/>
      <c r="J88" s="177"/>
    </row>
    <row r="89" s="2" customFormat="true" ht="18.75" hidden="false" customHeight="true" outlineLevel="0" collapsed="false">
      <c r="E89" s="510"/>
      <c r="H89" s="177"/>
      <c r="I89" s="177"/>
      <c r="J89" s="177"/>
    </row>
    <row r="90" s="2" customFormat="true" ht="18.75" hidden="false" customHeight="true" outlineLevel="0" collapsed="false">
      <c r="E90" s="510"/>
      <c r="H90" s="177"/>
      <c r="I90" s="177"/>
      <c r="J90" s="177"/>
    </row>
    <row r="91" s="2" customFormat="true" ht="18.75" hidden="false" customHeight="true" outlineLevel="0" collapsed="false">
      <c r="E91" s="510"/>
      <c r="H91" s="177"/>
      <c r="I91" s="177"/>
      <c r="J91" s="177"/>
    </row>
    <row r="92" s="2" customFormat="true" ht="18.75" hidden="false" customHeight="true" outlineLevel="0" collapsed="false">
      <c r="E92" s="510"/>
      <c r="H92" s="177"/>
      <c r="I92" s="177"/>
      <c r="J92" s="177"/>
    </row>
    <row r="93" s="2" customFormat="true" ht="18.75" hidden="false" customHeight="true" outlineLevel="0" collapsed="false">
      <c r="E93" s="510"/>
      <c r="H93" s="177"/>
      <c r="I93" s="177"/>
      <c r="J93" s="177"/>
    </row>
    <row r="94" s="2" customFormat="true" ht="18.75" hidden="false" customHeight="true" outlineLevel="0" collapsed="false">
      <c r="E94" s="510"/>
      <c r="H94" s="177"/>
      <c r="I94" s="177"/>
      <c r="J94" s="177"/>
    </row>
    <row r="95" s="2" customFormat="true" ht="18.75" hidden="false" customHeight="true" outlineLevel="0" collapsed="false">
      <c r="E95" s="510"/>
      <c r="H95" s="177"/>
      <c r="I95" s="177"/>
      <c r="J95" s="177"/>
    </row>
    <row r="96" s="2" customFormat="true" ht="18.75" hidden="false" customHeight="true" outlineLevel="0" collapsed="false">
      <c r="E96" s="510"/>
      <c r="H96" s="177"/>
      <c r="I96" s="177"/>
      <c r="J96" s="177"/>
    </row>
    <row r="97" s="2" customFormat="true" ht="18.75" hidden="false" customHeight="true" outlineLevel="0" collapsed="false">
      <c r="E97" s="510"/>
      <c r="H97" s="177"/>
      <c r="I97" s="177"/>
      <c r="J97" s="177"/>
    </row>
    <row r="98" s="2" customFormat="true" ht="18.75" hidden="false" customHeight="true" outlineLevel="0" collapsed="false">
      <c r="E98" s="510"/>
      <c r="H98" s="177"/>
      <c r="I98" s="177"/>
      <c r="J98" s="177"/>
    </row>
    <row r="99" s="2" customFormat="true" ht="18.75" hidden="false" customHeight="true" outlineLevel="0" collapsed="false">
      <c r="E99" s="510"/>
      <c r="H99" s="177"/>
      <c r="I99" s="177"/>
      <c r="J99" s="177"/>
    </row>
    <row r="100" s="2" customFormat="true" ht="18.75" hidden="false" customHeight="true" outlineLevel="0" collapsed="false">
      <c r="E100" s="510"/>
      <c r="H100" s="177"/>
      <c r="I100" s="177"/>
      <c r="J100" s="177"/>
    </row>
    <row r="101" s="2" customFormat="true" ht="18.75" hidden="false" customHeight="true" outlineLevel="0" collapsed="false">
      <c r="E101" s="510"/>
      <c r="H101" s="177"/>
      <c r="I101" s="177"/>
      <c r="J101" s="177"/>
    </row>
    <row r="102" s="2" customFormat="true" ht="18.75" hidden="false" customHeight="true" outlineLevel="0" collapsed="false">
      <c r="E102" s="510"/>
      <c r="H102" s="177"/>
      <c r="I102" s="177"/>
      <c r="J102" s="177"/>
    </row>
    <row r="103" s="2" customFormat="true" ht="18.75" hidden="false" customHeight="true" outlineLevel="0" collapsed="false">
      <c r="E103" s="510"/>
      <c r="H103" s="177"/>
      <c r="I103" s="177"/>
      <c r="J103" s="177"/>
    </row>
    <row r="104" s="2" customFormat="true" ht="18.75" hidden="false" customHeight="true" outlineLevel="0" collapsed="false">
      <c r="E104" s="510"/>
      <c r="H104" s="177"/>
      <c r="I104" s="177"/>
      <c r="J104" s="177"/>
    </row>
    <row r="105" s="2" customFormat="true" ht="18.75" hidden="false" customHeight="true" outlineLevel="0" collapsed="false">
      <c r="E105" s="510"/>
      <c r="H105" s="177"/>
      <c r="I105" s="177"/>
      <c r="J105" s="177"/>
    </row>
    <row r="106" s="2" customFormat="true" ht="18.75" hidden="false" customHeight="true" outlineLevel="0" collapsed="false">
      <c r="E106" s="510"/>
      <c r="H106" s="177"/>
      <c r="I106" s="177"/>
      <c r="J106" s="177"/>
    </row>
    <row r="107" s="2" customFormat="true" ht="18.75" hidden="false" customHeight="true" outlineLevel="0" collapsed="false">
      <c r="E107" s="510"/>
      <c r="H107" s="177"/>
      <c r="I107" s="177"/>
      <c r="J107" s="177"/>
    </row>
    <row r="108" s="2" customFormat="true" ht="18.75" hidden="false" customHeight="true" outlineLevel="0" collapsed="false">
      <c r="E108" s="510"/>
      <c r="H108" s="177"/>
      <c r="I108" s="177"/>
      <c r="J108" s="177"/>
    </row>
    <row r="109" s="2" customFormat="true" ht="18.75" hidden="false" customHeight="true" outlineLevel="0" collapsed="false">
      <c r="E109" s="510"/>
      <c r="H109" s="177"/>
      <c r="I109" s="177"/>
      <c r="J109" s="177"/>
    </row>
    <row r="110" s="2" customFormat="true" ht="18.75" hidden="false" customHeight="true" outlineLevel="0" collapsed="false">
      <c r="E110" s="510"/>
      <c r="H110" s="177"/>
      <c r="I110" s="177"/>
      <c r="J110" s="177"/>
    </row>
    <row r="111" s="2" customFormat="true" ht="18.75" hidden="false" customHeight="true" outlineLevel="0" collapsed="false">
      <c r="E111" s="510"/>
      <c r="H111" s="177"/>
      <c r="I111" s="177"/>
      <c r="J111" s="177"/>
    </row>
    <row r="112" s="2" customFormat="true" ht="18.75" hidden="false" customHeight="true" outlineLevel="0" collapsed="false">
      <c r="E112" s="510"/>
      <c r="H112" s="177"/>
      <c r="I112" s="177"/>
      <c r="J112" s="177"/>
    </row>
    <row r="113" s="2" customFormat="true" ht="18.75" hidden="false" customHeight="true" outlineLevel="0" collapsed="false">
      <c r="E113" s="510"/>
      <c r="H113" s="177"/>
      <c r="I113" s="177"/>
      <c r="J113" s="177"/>
    </row>
    <row r="114" s="2" customFormat="true" ht="18.75" hidden="false" customHeight="true" outlineLevel="0" collapsed="false">
      <c r="E114" s="510"/>
      <c r="H114" s="177"/>
      <c r="I114" s="177"/>
      <c r="J114" s="177"/>
    </row>
    <row r="115" s="2" customFormat="true" ht="18.75" hidden="false" customHeight="true" outlineLevel="0" collapsed="false">
      <c r="E115" s="510"/>
      <c r="H115" s="177"/>
      <c r="I115" s="177"/>
      <c r="J115" s="177"/>
    </row>
    <row r="116" s="2" customFormat="true" ht="18.75" hidden="false" customHeight="true" outlineLevel="0" collapsed="false">
      <c r="E116" s="510"/>
      <c r="H116" s="177"/>
      <c r="I116" s="177"/>
      <c r="J116" s="177"/>
    </row>
    <row r="117" s="2" customFormat="true" ht="18.75" hidden="false" customHeight="true" outlineLevel="0" collapsed="false">
      <c r="E117" s="510"/>
      <c r="H117" s="177"/>
      <c r="I117" s="177"/>
      <c r="J117" s="177"/>
    </row>
    <row r="118" s="2" customFormat="true" ht="18.75" hidden="false" customHeight="true" outlineLevel="0" collapsed="false">
      <c r="E118" s="510"/>
      <c r="H118" s="177"/>
      <c r="I118" s="177"/>
      <c r="J118" s="177"/>
    </row>
    <row r="119" s="2" customFormat="true" ht="18.75" hidden="false" customHeight="true" outlineLevel="0" collapsed="false">
      <c r="E119" s="510"/>
      <c r="H119" s="177"/>
      <c r="I119" s="177"/>
      <c r="J119" s="177"/>
    </row>
    <row r="120" s="2" customFormat="true" ht="18.75" hidden="false" customHeight="true" outlineLevel="0" collapsed="false">
      <c r="E120" s="510"/>
      <c r="H120" s="177"/>
      <c r="I120" s="177"/>
      <c r="J120" s="177"/>
    </row>
    <row r="121" s="2" customFormat="true" ht="18.75" hidden="false" customHeight="true" outlineLevel="0" collapsed="false">
      <c r="E121" s="510"/>
      <c r="H121" s="177"/>
      <c r="I121" s="177"/>
      <c r="J121" s="177"/>
    </row>
    <row r="122" s="2" customFormat="true" ht="18.75" hidden="false" customHeight="true" outlineLevel="0" collapsed="false">
      <c r="E122" s="510"/>
      <c r="H122" s="177"/>
      <c r="I122" s="177"/>
      <c r="J122" s="177"/>
    </row>
    <row r="123" s="2" customFormat="true" ht="18.75" hidden="false" customHeight="true" outlineLevel="0" collapsed="false">
      <c r="E123" s="510"/>
      <c r="H123" s="177"/>
      <c r="I123" s="177"/>
      <c r="J123" s="177"/>
    </row>
    <row r="124" s="2" customFormat="true" ht="18.75" hidden="false" customHeight="true" outlineLevel="0" collapsed="false">
      <c r="E124" s="510"/>
      <c r="H124" s="177"/>
      <c r="I124" s="177"/>
      <c r="J124" s="177"/>
    </row>
    <row r="125" s="2" customFormat="true" ht="18.75" hidden="false" customHeight="true" outlineLevel="0" collapsed="false">
      <c r="E125" s="510"/>
      <c r="H125" s="177"/>
      <c r="I125" s="177"/>
      <c r="J125" s="177"/>
    </row>
    <row r="126" s="2" customFormat="true" ht="18.75" hidden="false" customHeight="true" outlineLevel="0" collapsed="false">
      <c r="E126" s="510"/>
      <c r="H126" s="177"/>
      <c r="I126" s="177"/>
      <c r="J126" s="177"/>
    </row>
    <row r="127" s="2" customFormat="true" ht="18.75" hidden="false" customHeight="true" outlineLevel="0" collapsed="false">
      <c r="E127" s="510"/>
      <c r="H127" s="177"/>
      <c r="I127" s="177"/>
      <c r="J127" s="177"/>
    </row>
    <row r="128" s="2" customFormat="true" ht="18.75" hidden="false" customHeight="true" outlineLevel="0" collapsed="false">
      <c r="E128" s="510"/>
      <c r="H128" s="177"/>
      <c r="I128" s="177"/>
      <c r="J128" s="177"/>
    </row>
    <row r="129" s="2" customFormat="true" ht="18.75" hidden="false" customHeight="true" outlineLevel="0" collapsed="false">
      <c r="E129" s="510"/>
      <c r="H129" s="177"/>
      <c r="I129" s="177"/>
      <c r="J129" s="177"/>
    </row>
    <row r="130" s="2" customFormat="true" ht="18.75" hidden="false" customHeight="true" outlineLevel="0" collapsed="false">
      <c r="E130" s="510"/>
      <c r="H130" s="177"/>
      <c r="I130" s="177"/>
      <c r="J130" s="177"/>
    </row>
    <row r="131" s="2" customFormat="true" ht="18.75" hidden="false" customHeight="true" outlineLevel="0" collapsed="false">
      <c r="E131" s="510"/>
      <c r="H131" s="177"/>
      <c r="I131" s="177"/>
      <c r="J131" s="177"/>
    </row>
    <row r="132" s="2" customFormat="true" ht="18.75" hidden="false" customHeight="true" outlineLevel="0" collapsed="false">
      <c r="E132" s="510"/>
      <c r="H132" s="177"/>
      <c r="I132" s="177"/>
      <c r="J132" s="177"/>
    </row>
    <row r="133" s="2" customFormat="true" ht="18.75" hidden="false" customHeight="true" outlineLevel="0" collapsed="false">
      <c r="E133" s="510"/>
      <c r="H133" s="177"/>
      <c r="I133" s="177"/>
      <c r="J133" s="177"/>
    </row>
    <row r="134" s="2" customFormat="true" ht="18.75" hidden="false" customHeight="true" outlineLevel="0" collapsed="false">
      <c r="E134" s="510"/>
      <c r="H134" s="177"/>
      <c r="I134" s="177"/>
      <c r="J134" s="177"/>
    </row>
    <row r="135" s="2" customFormat="true" ht="18.75" hidden="false" customHeight="true" outlineLevel="0" collapsed="false">
      <c r="E135" s="510"/>
      <c r="H135" s="177"/>
      <c r="I135" s="177"/>
      <c r="J135" s="177"/>
    </row>
    <row r="136" s="2" customFormat="true" ht="18.75" hidden="false" customHeight="true" outlineLevel="0" collapsed="false">
      <c r="E136" s="510"/>
      <c r="H136" s="177"/>
      <c r="I136" s="177"/>
      <c r="J136" s="177"/>
    </row>
    <row r="137" s="2" customFormat="true" ht="18.75" hidden="false" customHeight="true" outlineLevel="0" collapsed="false">
      <c r="E137" s="510"/>
      <c r="H137" s="177"/>
      <c r="I137" s="177"/>
      <c r="J137" s="177"/>
    </row>
    <row r="138" s="2" customFormat="true" ht="18.75" hidden="false" customHeight="true" outlineLevel="0" collapsed="false">
      <c r="E138" s="510"/>
      <c r="H138" s="177"/>
      <c r="I138" s="177"/>
      <c r="J138" s="177"/>
    </row>
    <row r="139" s="2" customFormat="true" ht="18.75" hidden="false" customHeight="true" outlineLevel="0" collapsed="false">
      <c r="E139" s="510"/>
      <c r="H139" s="177"/>
      <c r="I139" s="177"/>
      <c r="J139" s="177"/>
    </row>
    <row r="140" s="2" customFormat="true" ht="18.75" hidden="false" customHeight="true" outlineLevel="0" collapsed="false">
      <c r="E140" s="510"/>
      <c r="H140" s="177"/>
      <c r="I140" s="177"/>
      <c r="J140" s="177"/>
    </row>
    <row r="141" s="2" customFormat="true" ht="18.75" hidden="false" customHeight="true" outlineLevel="0" collapsed="false">
      <c r="E141" s="510"/>
      <c r="H141" s="177"/>
      <c r="I141" s="177"/>
      <c r="J141" s="177"/>
    </row>
    <row r="142" s="2" customFormat="true" ht="18.75" hidden="false" customHeight="true" outlineLevel="0" collapsed="false">
      <c r="E142" s="510"/>
      <c r="H142" s="177"/>
      <c r="I142" s="177"/>
      <c r="J142" s="177"/>
    </row>
    <row r="143" s="2" customFormat="true" ht="18.75" hidden="false" customHeight="true" outlineLevel="0" collapsed="false">
      <c r="E143" s="510"/>
      <c r="H143" s="177"/>
      <c r="I143" s="177"/>
      <c r="J143" s="177"/>
    </row>
    <row r="144" s="2" customFormat="true" ht="18.75" hidden="false" customHeight="true" outlineLevel="0" collapsed="false">
      <c r="E144" s="510"/>
      <c r="H144" s="177"/>
      <c r="I144" s="177"/>
      <c r="J144" s="177"/>
    </row>
    <row r="145" s="2" customFormat="true" ht="18.75" hidden="false" customHeight="true" outlineLevel="0" collapsed="false">
      <c r="E145" s="510"/>
      <c r="H145" s="177"/>
      <c r="I145" s="177"/>
      <c r="J145" s="177"/>
    </row>
    <row r="146" s="2" customFormat="true" ht="18.75" hidden="false" customHeight="true" outlineLevel="0" collapsed="false">
      <c r="E146" s="510"/>
      <c r="H146" s="177"/>
      <c r="I146" s="177"/>
      <c r="J146" s="177"/>
    </row>
    <row r="147" s="2" customFormat="true" ht="18.75" hidden="false" customHeight="true" outlineLevel="0" collapsed="false">
      <c r="E147" s="510"/>
      <c r="H147" s="177"/>
      <c r="I147" s="177"/>
      <c r="J147" s="177"/>
    </row>
    <row r="148" s="2" customFormat="true" ht="18.75" hidden="false" customHeight="true" outlineLevel="0" collapsed="false">
      <c r="E148" s="510"/>
      <c r="H148" s="177"/>
      <c r="I148" s="177"/>
      <c r="J148" s="177"/>
    </row>
    <row r="149" s="2" customFormat="true" ht="18.75" hidden="false" customHeight="true" outlineLevel="0" collapsed="false">
      <c r="E149" s="510"/>
      <c r="H149" s="177"/>
      <c r="I149" s="177"/>
      <c r="J149" s="177"/>
    </row>
    <row r="150" s="2" customFormat="true" ht="18.75" hidden="false" customHeight="true" outlineLevel="0" collapsed="false">
      <c r="E150" s="510"/>
      <c r="H150" s="177"/>
      <c r="I150" s="177"/>
      <c r="J150" s="177"/>
    </row>
    <row r="151" s="2" customFormat="true" ht="18.75" hidden="false" customHeight="true" outlineLevel="0" collapsed="false">
      <c r="E151" s="510"/>
      <c r="H151" s="177"/>
      <c r="I151" s="177"/>
      <c r="J151" s="177"/>
    </row>
    <row r="152" s="2" customFormat="true" ht="18.75" hidden="false" customHeight="true" outlineLevel="0" collapsed="false">
      <c r="E152" s="510"/>
      <c r="H152" s="177"/>
      <c r="I152" s="177"/>
      <c r="J152" s="177"/>
    </row>
    <row r="153" s="2" customFormat="true" ht="18.75" hidden="false" customHeight="true" outlineLevel="0" collapsed="false">
      <c r="E153" s="510"/>
      <c r="H153" s="177"/>
      <c r="I153" s="177"/>
      <c r="J153" s="177"/>
    </row>
    <row r="154" s="2" customFormat="true" ht="18.75" hidden="false" customHeight="true" outlineLevel="0" collapsed="false">
      <c r="E154" s="510"/>
      <c r="H154" s="177"/>
      <c r="I154" s="177"/>
      <c r="J154" s="177"/>
    </row>
    <row r="155" s="2" customFormat="true" ht="18.75" hidden="false" customHeight="true" outlineLevel="0" collapsed="false">
      <c r="E155" s="510"/>
      <c r="H155" s="177"/>
      <c r="I155" s="177"/>
      <c r="J155" s="177"/>
    </row>
    <row r="156" s="2" customFormat="true" ht="18.75" hidden="false" customHeight="true" outlineLevel="0" collapsed="false">
      <c r="E156" s="510"/>
      <c r="H156" s="177"/>
      <c r="I156" s="177"/>
      <c r="J156" s="177"/>
    </row>
    <row r="157" s="2" customFormat="true" ht="18.75" hidden="false" customHeight="true" outlineLevel="0" collapsed="false">
      <c r="E157" s="510"/>
      <c r="H157" s="177"/>
      <c r="I157" s="177"/>
      <c r="J157" s="177"/>
    </row>
    <row r="158" s="2" customFormat="true" ht="18.75" hidden="false" customHeight="true" outlineLevel="0" collapsed="false">
      <c r="E158" s="510"/>
      <c r="H158" s="177"/>
      <c r="I158" s="177"/>
      <c r="J158" s="177"/>
    </row>
    <row r="159" s="2" customFormat="true" ht="18.75" hidden="false" customHeight="true" outlineLevel="0" collapsed="false">
      <c r="E159" s="510"/>
      <c r="H159" s="177"/>
      <c r="I159" s="177"/>
      <c r="J159" s="177"/>
    </row>
    <row r="160" s="2" customFormat="true" ht="18.75" hidden="false" customHeight="true" outlineLevel="0" collapsed="false">
      <c r="E160" s="510"/>
      <c r="H160" s="177"/>
      <c r="I160" s="177"/>
      <c r="J160" s="177"/>
    </row>
    <row r="161" s="2" customFormat="true" ht="18.75" hidden="false" customHeight="true" outlineLevel="0" collapsed="false">
      <c r="E161" s="510"/>
      <c r="H161" s="177"/>
      <c r="I161" s="177"/>
      <c r="J161" s="177"/>
    </row>
    <row r="162" s="2" customFormat="true" ht="18.75" hidden="false" customHeight="true" outlineLevel="0" collapsed="false">
      <c r="E162" s="510"/>
      <c r="H162" s="177"/>
      <c r="I162" s="177"/>
      <c r="J162" s="177"/>
    </row>
    <row r="163" s="2" customFormat="true" ht="18.75" hidden="false" customHeight="true" outlineLevel="0" collapsed="false">
      <c r="E163" s="510"/>
      <c r="H163" s="177"/>
      <c r="I163" s="177"/>
      <c r="J163" s="177"/>
    </row>
    <row r="164" s="2" customFormat="true" ht="18.75" hidden="false" customHeight="true" outlineLevel="0" collapsed="false">
      <c r="E164" s="510"/>
      <c r="H164" s="177"/>
      <c r="I164" s="177"/>
      <c r="J164" s="177"/>
    </row>
    <row r="165" s="2" customFormat="true" ht="18.75" hidden="false" customHeight="true" outlineLevel="0" collapsed="false">
      <c r="E165" s="510"/>
      <c r="H165" s="177"/>
      <c r="I165" s="177"/>
      <c r="J165" s="177"/>
    </row>
    <row r="166" s="2" customFormat="true" ht="18.75" hidden="false" customHeight="true" outlineLevel="0" collapsed="false">
      <c r="E166" s="510"/>
      <c r="H166" s="177"/>
      <c r="I166" s="177"/>
      <c r="J166" s="177"/>
    </row>
    <row r="167" s="2" customFormat="true" ht="18.75" hidden="false" customHeight="true" outlineLevel="0" collapsed="false">
      <c r="E167" s="510"/>
      <c r="H167" s="177"/>
      <c r="I167" s="177"/>
      <c r="J167" s="177"/>
    </row>
    <row r="168" s="2" customFormat="true" ht="18.75" hidden="false" customHeight="true" outlineLevel="0" collapsed="false">
      <c r="E168" s="510"/>
      <c r="H168" s="177"/>
      <c r="I168" s="177"/>
      <c r="J168" s="177"/>
    </row>
    <row r="169" s="2" customFormat="true" ht="18.75" hidden="false" customHeight="true" outlineLevel="0" collapsed="false">
      <c r="E169" s="510"/>
      <c r="H169" s="177"/>
      <c r="I169" s="177"/>
      <c r="J169" s="177"/>
    </row>
    <row r="170" s="2" customFormat="true" ht="18.75" hidden="false" customHeight="true" outlineLevel="0" collapsed="false">
      <c r="E170" s="510"/>
      <c r="H170" s="177"/>
      <c r="I170" s="177"/>
      <c r="J170" s="177"/>
    </row>
    <row r="171" s="2" customFormat="true" ht="18.75" hidden="false" customHeight="true" outlineLevel="0" collapsed="false">
      <c r="E171" s="510"/>
      <c r="H171" s="177"/>
      <c r="I171" s="177"/>
      <c r="J171" s="177"/>
    </row>
    <row r="172" s="2" customFormat="true" ht="18.75" hidden="false" customHeight="true" outlineLevel="0" collapsed="false">
      <c r="E172" s="510"/>
      <c r="H172" s="177"/>
      <c r="I172" s="177"/>
      <c r="J172" s="177"/>
    </row>
    <row r="173" s="2" customFormat="true" ht="18.75" hidden="false" customHeight="true" outlineLevel="0" collapsed="false">
      <c r="E173" s="510"/>
      <c r="H173" s="177"/>
      <c r="I173" s="177"/>
      <c r="J173" s="177"/>
    </row>
    <row r="174" s="2" customFormat="true" ht="18.75" hidden="false" customHeight="true" outlineLevel="0" collapsed="false">
      <c r="E174" s="510"/>
      <c r="H174" s="177"/>
      <c r="I174" s="177"/>
      <c r="J174" s="177"/>
    </row>
    <row r="175" s="2" customFormat="true" ht="18.75" hidden="false" customHeight="true" outlineLevel="0" collapsed="false">
      <c r="E175" s="510"/>
      <c r="H175" s="177"/>
      <c r="I175" s="177"/>
      <c r="J175" s="177"/>
    </row>
    <row r="176" s="2" customFormat="true" ht="18.75" hidden="false" customHeight="true" outlineLevel="0" collapsed="false">
      <c r="E176" s="510"/>
      <c r="H176" s="177"/>
      <c r="I176" s="177"/>
      <c r="J176" s="177"/>
    </row>
    <row r="177" s="2" customFormat="true" ht="18.75" hidden="false" customHeight="true" outlineLevel="0" collapsed="false">
      <c r="E177" s="510"/>
      <c r="H177" s="177"/>
      <c r="I177" s="177"/>
      <c r="J177" s="177"/>
    </row>
    <row r="178" s="2" customFormat="true" ht="18.75" hidden="false" customHeight="true" outlineLevel="0" collapsed="false">
      <c r="E178" s="510"/>
      <c r="H178" s="177"/>
      <c r="I178" s="177"/>
      <c r="J178" s="177"/>
    </row>
    <row r="179" s="2" customFormat="true" ht="18.75" hidden="false" customHeight="true" outlineLevel="0" collapsed="false">
      <c r="E179" s="510"/>
      <c r="H179" s="177"/>
      <c r="I179" s="177"/>
      <c r="J179" s="177"/>
    </row>
    <row r="180" s="2" customFormat="true" ht="18.75" hidden="false" customHeight="true" outlineLevel="0" collapsed="false">
      <c r="E180" s="510"/>
      <c r="H180" s="177"/>
      <c r="I180" s="177"/>
      <c r="J180" s="177"/>
    </row>
    <row r="181" s="2" customFormat="true" ht="18.75" hidden="false" customHeight="true" outlineLevel="0" collapsed="false">
      <c r="E181" s="510"/>
      <c r="H181" s="177"/>
      <c r="I181" s="177"/>
      <c r="J181" s="177"/>
    </row>
    <row r="182" s="2" customFormat="true" ht="18.75" hidden="false" customHeight="true" outlineLevel="0" collapsed="false">
      <c r="E182" s="510"/>
      <c r="H182" s="177"/>
      <c r="I182" s="177"/>
      <c r="J182" s="177"/>
    </row>
    <row r="183" s="2" customFormat="true" ht="18.75" hidden="false" customHeight="true" outlineLevel="0" collapsed="false">
      <c r="E183" s="510"/>
      <c r="H183" s="177"/>
      <c r="I183" s="177"/>
      <c r="J183" s="177"/>
    </row>
    <row r="184" s="2" customFormat="true" ht="18.75" hidden="false" customHeight="true" outlineLevel="0" collapsed="false">
      <c r="E184" s="510"/>
      <c r="H184" s="177"/>
      <c r="I184" s="177"/>
      <c r="J184" s="177"/>
    </row>
    <row r="185" s="2" customFormat="true" ht="18.75" hidden="false" customHeight="true" outlineLevel="0" collapsed="false">
      <c r="E185" s="510"/>
      <c r="H185" s="177"/>
      <c r="I185" s="177"/>
      <c r="J185" s="177"/>
    </row>
    <row r="186" s="2" customFormat="true" ht="18.75" hidden="false" customHeight="true" outlineLevel="0" collapsed="false">
      <c r="E186" s="510"/>
      <c r="H186" s="177"/>
      <c r="I186" s="177"/>
      <c r="J186" s="177"/>
    </row>
    <row r="187" s="2" customFormat="true" ht="18.75" hidden="false" customHeight="true" outlineLevel="0" collapsed="false">
      <c r="E187" s="510"/>
      <c r="H187" s="177"/>
      <c r="I187" s="177"/>
      <c r="J187" s="177"/>
    </row>
    <row r="188" s="2" customFormat="true" ht="18.75" hidden="false" customHeight="true" outlineLevel="0" collapsed="false">
      <c r="E188" s="510"/>
      <c r="H188" s="177"/>
      <c r="I188" s="177"/>
      <c r="J188" s="177"/>
    </row>
    <row r="189" s="2" customFormat="true" ht="18.75" hidden="false" customHeight="true" outlineLevel="0" collapsed="false">
      <c r="E189" s="510"/>
      <c r="H189" s="177"/>
      <c r="I189" s="177"/>
      <c r="J189" s="177"/>
    </row>
    <row r="190" s="2" customFormat="true" ht="18.75" hidden="false" customHeight="true" outlineLevel="0" collapsed="false">
      <c r="E190" s="510"/>
      <c r="H190" s="177"/>
      <c r="I190" s="177"/>
      <c r="J190" s="177"/>
    </row>
    <row r="191" s="2" customFormat="true" ht="18.75" hidden="false" customHeight="true" outlineLevel="0" collapsed="false">
      <c r="E191" s="510"/>
      <c r="H191" s="177"/>
      <c r="I191" s="177"/>
      <c r="J191" s="177"/>
    </row>
    <row r="192" s="2" customFormat="true" ht="18.75" hidden="false" customHeight="true" outlineLevel="0" collapsed="false">
      <c r="E192" s="510"/>
      <c r="H192" s="177"/>
      <c r="I192" s="177"/>
      <c r="J192" s="177"/>
    </row>
    <row r="193" s="2" customFormat="true" ht="18.75" hidden="false" customHeight="true" outlineLevel="0" collapsed="false">
      <c r="E193" s="510"/>
      <c r="H193" s="177"/>
      <c r="I193" s="177"/>
      <c r="J193" s="177"/>
    </row>
    <row r="194" s="2" customFormat="true" ht="18.75" hidden="false" customHeight="true" outlineLevel="0" collapsed="false">
      <c r="E194" s="510"/>
      <c r="H194" s="177"/>
      <c r="I194" s="177"/>
      <c r="J194" s="177"/>
    </row>
    <row r="195" s="2" customFormat="true" ht="18.75" hidden="false" customHeight="true" outlineLevel="0" collapsed="false">
      <c r="E195" s="510"/>
      <c r="H195" s="177"/>
      <c r="I195" s="177"/>
      <c r="J195" s="177"/>
    </row>
    <row r="196" s="2" customFormat="true" ht="18.75" hidden="false" customHeight="true" outlineLevel="0" collapsed="false">
      <c r="E196" s="510"/>
      <c r="H196" s="177"/>
      <c r="I196" s="177"/>
      <c r="J196" s="177"/>
    </row>
    <row r="197" s="2" customFormat="true" ht="18.75" hidden="false" customHeight="true" outlineLevel="0" collapsed="false">
      <c r="E197" s="510"/>
      <c r="H197" s="177"/>
      <c r="I197" s="177"/>
      <c r="J197" s="177"/>
    </row>
    <row r="198" s="2" customFormat="true" ht="18.75" hidden="false" customHeight="true" outlineLevel="0" collapsed="false">
      <c r="E198" s="510"/>
      <c r="H198" s="177"/>
      <c r="I198" s="177"/>
      <c r="J198" s="177"/>
    </row>
    <row r="199" s="2" customFormat="true" ht="18.75" hidden="false" customHeight="true" outlineLevel="0" collapsed="false">
      <c r="E199" s="510"/>
      <c r="H199" s="177"/>
      <c r="I199" s="177"/>
      <c r="J199" s="177"/>
    </row>
    <row r="200" s="2" customFormat="true" ht="18.75" hidden="false" customHeight="true" outlineLevel="0" collapsed="false">
      <c r="E200" s="510"/>
      <c r="H200" s="177"/>
      <c r="I200" s="177"/>
      <c r="J200" s="177"/>
    </row>
    <row r="201" s="2" customFormat="true" ht="18.75" hidden="false" customHeight="true" outlineLevel="0" collapsed="false">
      <c r="E201" s="510"/>
      <c r="H201" s="177"/>
      <c r="I201" s="177"/>
      <c r="J201" s="177"/>
    </row>
    <row r="202" s="2" customFormat="true" ht="18.75" hidden="false" customHeight="true" outlineLevel="0" collapsed="false">
      <c r="E202" s="510"/>
      <c r="H202" s="177"/>
      <c r="I202" s="177"/>
      <c r="J202" s="177"/>
    </row>
    <row r="203" s="2" customFormat="true" ht="18.75" hidden="false" customHeight="true" outlineLevel="0" collapsed="false">
      <c r="E203" s="510"/>
      <c r="H203" s="177"/>
      <c r="I203" s="177"/>
      <c r="J203" s="177"/>
    </row>
    <row r="204" s="2" customFormat="true" ht="18.75" hidden="false" customHeight="true" outlineLevel="0" collapsed="false">
      <c r="E204" s="510"/>
      <c r="H204" s="177"/>
      <c r="I204" s="177"/>
      <c r="J204" s="177"/>
    </row>
    <row r="205" s="2" customFormat="true" ht="18.75" hidden="false" customHeight="true" outlineLevel="0" collapsed="false">
      <c r="E205" s="510"/>
      <c r="H205" s="177"/>
      <c r="I205" s="177"/>
      <c r="J205" s="177"/>
    </row>
    <row r="206" s="2" customFormat="true" ht="18.75" hidden="false" customHeight="true" outlineLevel="0" collapsed="false">
      <c r="E206" s="510"/>
      <c r="H206" s="177"/>
      <c r="I206" s="177"/>
      <c r="J206" s="177"/>
    </row>
    <row r="207" s="2" customFormat="true" ht="18.75" hidden="false" customHeight="true" outlineLevel="0" collapsed="false">
      <c r="E207" s="510"/>
      <c r="H207" s="177"/>
      <c r="I207" s="177"/>
      <c r="J207" s="177"/>
    </row>
    <row r="208" s="2" customFormat="true" ht="18.75" hidden="false" customHeight="true" outlineLevel="0" collapsed="false">
      <c r="E208" s="510"/>
      <c r="H208" s="177"/>
      <c r="I208" s="177"/>
      <c r="J208" s="177"/>
    </row>
    <row r="209" s="2" customFormat="true" ht="18.75" hidden="false" customHeight="true" outlineLevel="0" collapsed="false">
      <c r="E209" s="510"/>
      <c r="H209" s="177"/>
      <c r="I209" s="177"/>
      <c r="J209" s="177"/>
    </row>
    <row r="210" s="2" customFormat="true" ht="18.75" hidden="false" customHeight="true" outlineLevel="0" collapsed="false">
      <c r="E210" s="510"/>
      <c r="H210" s="177"/>
      <c r="I210" s="177"/>
      <c r="J210" s="177"/>
    </row>
    <row r="211" s="2" customFormat="true" ht="18.75" hidden="false" customHeight="true" outlineLevel="0" collapsed="false">
      <c r="E211" s="510"/>
      <c r="H211" s="177"/>
      <c r="I211" s="177"/>
      <c r="J211" s="177"/>
    </row>
    <row r="212" s="2" customFormat="true" ht="18.75" hidden="false" customHeight="true" outlineLevel="0" collapsed="false">
      <c r="E212" s="510"/>
      <c r="H212" s="177"/>
      <c r="I212" s="177"/>
      <c r="J212" s="177"/>
    </row>
    <row r="213" s="2" customFormat="true" ht="18.75" hidden="false" customHeight="true" outlineLevel="0" collapsed="false">
      <c r="E213" s="510"/>
      <c r="H213" s="177"/>
      <c r="I213" s="177"/>
      <c r="J213" s="177"/>
    </row>
    <row r="214" s="2" customFormat="true" ht="18.75" hidden="false" customHeight="true" outlineLevel="0" collapsed="false">
      <c r="E214" s="510"/>
      <c r="H214" s="177"/>
      <c r="I214" s="177"/>
      <c r="J214" s="177"/>
    </row>
    <row r="215" s="2" customFormat="true" ht="18.75" hidden="false" customHeight="true" outlineLevel="0" collapsed="false">
      <c r="E215" s="510"/>
      <c r="H215" s="177"/>
      <c r="I215" s="177"/>
      <c r="J215" s="177"/>
    </row>
    <row r="216" s="2" customFormat="true" ht="18.75" hidden="false" customHeight="true" outlineLevel="0" collapsed="false">
      <c r="E216" s="510"/>
      <c r="H216" s="177"/>
      <c r="I216" s="177"/>
      <c r="J216" s="177"/>
    </row>
    <row r="217" s="2" customFormat="true" ht="18.75" hidden="false" customHeight="true" outlineLevel="0" collapsed="false">
      <c r="E217" s="510"/>
      <c r="H217" s="177"/>
      <c r="I217" s="177"/>
      <c r="J217" s="177"/>
    </row>
    <row r="218" s="2" customFormat="true" ht="18.75" hidden="false" customHeight="true" outlineLevel="0" collapsed="false">
      <c r="E218" s="510"/>
      <c r="H218" s="177"/>
      <c r="I218" s="177"/>
      <c r="J218" s="177"/>
    </row>
    <row r="219" s="2" customFormat="true" ht="18.75" hidden="false" customHeight="true" outlineLevel="0" collapsed="false">
      <c r="E219" s="510"/>
      <c r="H219" s="177"/>
      <c r="I219" s="177"/>
      <c r="J219" s="177"/>
    </row>
    <row r="220" s="2" customFormat="true" ht="18.75" hidden="false" customHeight="true" outlineLevel="0" collapsed="false">
      <c r="E220" s="510"/>
      <c r="H220" s="177"/>
      <c r="I220" s="177"/>
      <c r="J220" s="177"/>
    </row>
    <row r="221" s="2" customFormat="true" ht="18.75" hidden="false" customHeight="true" outlineLevel="0" collapsed="false">
      <c r="E221" s="510"/>
      <c r="H221" s="177"/>
      <c r="I221" s="177"/>
      <c r="J221" s="177"/>
    </row>
    <row r="222" s="2" customFormat="true" ht="18.75" hidden="false" customHeight="true" outlineLevel="0" collapsed="false">
      <c r="E222" s="510"/>
      <c r="H222" s="177"/>
      <c r="I222" s="177"/>
      <c r="J222" s="177"/>
    </row>
    <row r="223" s="2" customFormat="true" ht="18.75" hidden="false" customHeight="true" outlineLevel="0" collapsed="false">
      <c r="E223" s="510"/>
      <c r="H223" s="177"/>
      <c r="I223" s="177"/>
      <c r="J223" s="177"/>
    </row>
    <row r="224" s="2" customFormat="true" ht="18.75" hidden="false" customHeight="true" outlineLevel="0" collapsed="false">
      <c r="E224" s="510"/>
      <c r="H224" s="177"/>
      <c r="I224" s="177"/>
      <c r="J224" s="177"/>
    </row>
    <row r="225" s="2" customFormat="true" ht="18.75" hidden="false" customHeight="true" outlineLevel="0" collapsed="false">
      <c r="E225" s="510"/>
      <c r="H225" s="177"/>
      <c r="I225" s="177"/>
      <c r="J225" s="177"/>
    </row>
    <row r="226" s="2" customFormat="true" ht="18.75" hidden="false" customHeight="true" outlineLevel="0" collapsed="false">
      <c r="E226" s="510"/>
      <c r="H226" s="177"/>
      <c r="I226" s="177"/>
      <c r="J226" s="177"/>
    </row>
    <row r="227" s="2" customFormat="true" ht="18.75" hidden="false" customHeight="true" outlineLevel="0" collapsed="false">
      <c r="E227" s="510"/>
      <c r="H227" s="177"/>
      <c r="I227" s="177"/>
      <c r="J227" s="177"/>
    </row>
    <row r="228" s="2" customFormat="true" ht="18.75" hidden="false" customHeight="true" outlineLevel="0" collapsed="false">
      <c r="E228" s="510"/>
      <c r="H228" s="177"/>
      <c r="I228" s="177"/>
      <c r="J228" s="177"/>
    </row>
    <row r="229" s="2" customFormat="true" ht="18.75" hidden="false" customHeight="true" outlineLevel="0" collapsed="false">
      <c r="E229" s="510"/>
      <c r="H229" s="177"/>
      <c r="I229" s="177"/>
      <c r="J229" s="177"/>
    </row>
    <row r="230" s="2" customFormat="true" ht="18.75" hidden="false" customHeight="true" outlineLevel="0" collapsed="false">
      <c r="E230" s="510"/>
      <c r="H230" s="177"/>
      <c r="I230" s="177"/>
      <c r="J230" s="177"/>
    </row>
    <row r="231" s="2" customFormat="true" ht="18.75" hidden="false" customHeight="true" outlineLevel="0" collapsed="false">
      <c r="E231" s="510"/>
      <c r="H231" s="177"/>
      <c r="I231" s="177"/>
      <c r="J231" s="177"/>
    </row>
    <row r="232" s="2" customFormat="true" ht="18.75" hidden="false" customHeight="true" outlineLevel="0" collapsed="false">
      <c r="E232" s="510"/>
      <c r="H232" s="177"/>
      <c r="I232" s="177"/>
      <c r="J232" s="177"/>
    </row>
    <row r="233" s="2" customFormat="true" ht="18.75" hidden="false" customHeight="true" outlineLevel="0" collapsed="false">
      <c r="E233" s="510"/>
      <c r="H233" s="177"/>
      <c r="I233" s="177"/>
      <c r="J233" s="177"/>
    </row>
    <row r="234" s="2" customFormat="true" ht="18.75" hidden="false" customHeight="true" outlineLevel="0" collapsed="false">
      <c r="E234" s="510"/>
      <c r="H234" s="177"/>
      <c r="I234" s="177"/>
      <c r="J234" s="177"/>
    </row>
    <row r="235" s="2" customFormat="true" ht="18.75" hidden="false" customHeight="true" outlineLevel="0" collapsed="false">
      <c r="E235" s="510"/>
      <c r="H235" s="177"/>
      <c r="I235" s="177"/>
      <c r="J235" s="177"/>
    </row>
    <row r="236" s="2" customFormat="true" ht="18.75" hidden="false" customHeight="true" outlineLevel="0" collapsed="false">
      <c r="E236" s="510"/>
      <c r="H236" s="177"/>
      <c r="I236" s="177"/>
      <c r="J236" s="177"/>
    </row>
    <row r="237" s="2" customFormat="true" ht="18.75" hidden="false" customHeight="true" outlineLevel="0" collapsed="false">
      <c r="E237" s="510"/>
      <c r="H237" s="177"/>
      <c r="I237" s="177"/>
      <c r="J237" s="177"/>
    </row>
    <row r="238" s="2" customFormat="true" ht="18.75" hidden="false" customHeight="true" outlineLevel="0" collapsed="false">
      <c r="E238" s="510"/>
      <c r="H238" s="177"/>
      <c r="I238" s="177"/>
      <c r="J238" s="177"/>
    </row>
    <row r="239" s="2" customFormat="true" ht="18.75" hidden="false" customHeight="true" outlineLevel="0" collapsed="false">
      <c r="E239" s="510"/>
      <c r="H239" s="177"/>
      <c r="I239" s="177"/>
      <c r="J239" s="177"/>
    </row>
    <row r="240" s="2" customFormat="true" ht="18.75" hidden="false" customHeight="true" outlineLevel="0" collapsed="false">
      <c r="E240" s="510"/>
      <c r="H240" s="177"/>
      <c r="I240" s="177"/>
      <c r="J240" s="177"/>
    </row>
    <row r="241" s="2" customFormat="true" ht="18.75" hidden="false" customHeight="true" outlineLevel="0" collapsed="false">
      <c r="E241" s="510"/>
      <c r="H241" s="177"/>
      <c r="I241" s="177"/>
      <c r="J241" s="177"/>
    </row>
    <row r="242" s="2" customFormat="true" ht="18.75" hidden="false" customHeight="true" outlineLevel="0" collapsed="false">
      <c r="E242" s="510"/>
      <c r="H242" s="177"/>
      <c r="I242" s="177"/>
      <c r="J242" s="177"/>
    </row>
    <row r="243" s="2" customFormat="true" ht="18.75" hidden="false" customHeight="true" outlineLevel="0" collapsed="false">
      <c r="E243" s="510"/>
      <c r="H243" s="177"/>
      <c r="I243" s="177"/>
      <c r="J243" s="177"/>
    </row>
    <row r="244" s="2" customFormat="true" ht="18.75" hidden="false" customHeight="true" outlineLevel="0" collapsed="false">
      <c r="E244" s="510"/>
      <c r="H244" s="177"/>
      <c r="I244" s="177"/>
      <c r="J244" s="177"/>
    </row>
    <row r="245" s="2" customFormat="true" ht="18.75" hidden="false" customHeight="true" outlineLevel="0" collapsed="false">
      <c r="E245" s="510"/>
      <c r="H245" s="177"/>
      <c r="I245" s="177"/>
      <c r="J245" s="177"/>
    </row>
    <row r="246" s="2" customFormat="true" ht="18.75" hidden="false" customHeight="true" outlineLevel="0" collapsed="false">
      <c r="E246" s="510"/>
      <c r="H246" s="177"/>
      <c r="I246" s="177"/>
      <c r="J246" s="177"/>
    </row>
    <row r="247" s="2" customFormat="true" ht="18.75" hidden="false" customHeight="true" outlineLevel="0" collapsed="false">
      <c r="E247" s="510"/>
      <c r="H247" s="177"/>
      <c r="I247" s="177"/>
      <c r="J247" s="177"/>
    </row>
    <row r="248" s="2" customFormat="true" ht="18.75" hidden="false" customHeight="true" outlineLevel="0" collapsed="false">
      <c r="E248" s="510"/>
      <c r="H248" s="177"/>
      <c r="I248" s="177"/>
      <c r="J248" s="177"/>
    </row>
    <row r="249" s="2" customFormat="true" ht="18.75" hidden="false" customHeight="true" outlineLevel="0" collapsed="false">
      <c r="E249" s="510"/>
      <c r="H249" s="177"/>
      <c r="I249" s="177"/>
      <c r="J249" s="177"/>
    </row>
    <row r="250" s="2" customFormat="true" ht="18.75" hidden="false" customHeight="true" outlineLevel="0" collapsed="false">
      <c r="E250" s="510"/>
      <c r="H250" s="177"/>
      <c r="I250" s="177"/>
      <c r="J250" s="177"/>
    </row>
    <row r="251" s="2" customFormat="true" ht="18.75" hidden="false" customHeight="true" outlineLevel="0" collapsed="false">
      <c r="E251" s="510"/>
      <c r="H251" s="177"/>
      <c r="I251" s="177"/>
      <c r="J251" s="177"/>
    </row>
    <row r="252" s="2" customFormat="true" ht="18.75" hidden="false" customHeight="true" outlineLevel="0" collapsed="false">
      <c r="E252" s="510"/>
      <c r="H252" s="177"/>
      <c r="I252" s="177"/>
      <c r="J252" s="177"/>
    </row>
    <row r="253" s="2" customFormat="true" ht="18.75" hidden="false" customHeight="true" outlineLevel="0" collapsed="false">
      <c r="E253" s="510"/>
      <c r="H253" s="177"/>
      <c r="I253" s="177"/>
      <c r="J253" s="177"/>
    </row>
    <row r="254" s="2" customFormat="true" ht="18.75" hidden="false" customHeight="true" outlineLevel="0" collapsed="false">
      <c r="E254" s="510"/>
      <c r="H254" s="177"/>
      <c r="I254" s="177"/>
      <c r="J254" s="177"/>
    </row>
    <row r="255" s="2" customFormat="true" ht="18.75" hidden="false" customHeight="true" outlineLevel="0" collapsed="false">
      <c r="E255" s="510"/>
      <c r="H255" s="177"/>
      <c r="I255" s="177"/>
      <c r="J255" s="177"/>
    </row>
    <row r="256" s="2" customFormat="true" ht="18.75" hidden="false" customHeight="true" outlineLevel="0" collapsed="false">
      <c r="E256" s="510"/>
      <c r="H256" s="177"/>
      <c r="I256" s="177"/>
      <c r="J256" s="177"/>
    </row>
    <row r="257" s="2" customFormat="true" ht="18.75" hidden="false" customHeight="true" outlineLevel="0" collapsed="false">
      <c r="E257" s="510"/>
      <c r="H257" s="177"/>
      <c r="I257" s="177"/>
      <c r="J257" s="177"/>
    </row>
    <row r="258" s="2" customFormat="true" ht="18.75" hidden="false" customHeight="true" outlineLevel="0" collapsed="false">
      <c r="E258" s="510"/>
      <c r="H258" s="177"/>
      <c r="I258" s="177"/>
      <c r="J258" s="177"/>
    </row>
    <row r="259" s="2" customFormat="true" ht="18.75" hidden="false" customHeight="true" outlineLevel="0" collapsed="false">
      <c r="E259" s="510"/>
      <c r="H259" s="177"/>
      <c r="I259" s="177"/>
      <c r="J259" s="177"/>
    </row>
    <row r="260" s="2" customFormat="true" ht="18.75" hidden="false" customHeight="true" outlineLevel="0" collapsed="false">
      <c r="E260" s="510"/>
      <c r="H260" s="177"/>
      <c r="I260" s="177"/>
      <c r="J260" s="177"/>
    </row>
    <row r="261" s="2" customFormat="true" ht="18.75" hidden="false" customHeight="true" outlineLevel="0" collapsed="false">
      <c r="E261" s="510"/>
      <c r="H261" s="177"/>
      <c r="I261" s="177"/>
      <c r="J261" s="177"/>
    </row>
    <row r="262" s="2" customFormat="true" ht="18.75" hidden="false" customHeight="true" outlineLevel="0" collapsed="false">
      <c r="E262" s="510"/>
      <c r="H262" s="177"/>
      <c r="I262" s="177"/>
      <c r="J262" s="177"/>
    </row>
    <row r="263" s="2" customFormat="true" ht="18.75" hidden="false" customHeight="true" outlineLevel="0" collapsed="false">
      <c r="E263" s="510"/>
      <c r="H263" s="177"/>
      <c r="I263" s="177"/>
      <c r="J263" s="177"/>
    </row>
    <row r="264" s="2" customFormat="true" ht="18.75" hidden="false" customHeight="true" outlineLevel="0" collapsed="false">
      <c r="E264" s="510"/>
      <c r="H264" s="177"/>
      <c r="I264" s="177"/>
      <c r="J264" s="177"/>
    </row>
    <row r="265" s="2" customFormat="true" ht="18.75" hidden="false" customHeight="true" outlineLevel="0" collapsed="false">
      <c r="E265" s="510"/>
      <c r="H265" s="177"/>
      <c r="I265" s="177"/>
      <c r="J265" s="177"/>
    </row>
    <row r="266" s="2" customFormat="true" ht="18.75" hidden="false" customHeight="true" outlineLevel="0" collapsed="false">
      <c r="E266" s="510"/>
      <c r="H266" s="177"/>
      <c r="I266" s="177"/>
      <c r="J266" s="177"/>
    </row>
    <row r="267" s="2" customFormat="true" ht="18.75" hidden="false" customHeight="true" outlineLevel="0" collapsed="false">
      <c r="E267" s="510"/>
      <c r="H267" s="177"/>
      <c r="I267" s="177"/>
      <c r="J267" s="177"/>
    </row>
    <row r="268" s="2" customFormat="true" ht="18.75" hidden="false" customHeight="true" outlineLevel="0" collapsed="false">
      <c r="E268" s="510"/>
      <c r="H268" s="177"/>
      <c r="I268" s="177"/>
      <c r="J268" s="177"/>
    </row>
    <row r="269" s="2" customFormat="true" ht="18.75" hidden="false" customHeight="true" outlineLevel="0" collapsed="false">
      <c r="E269" s="510"/>
      <c r="H269" s="177"/>
      <c r="I269" s="177"/>
      <c r="J269" s="177"/>
    </row>
    <row r="270" s="2" customFormat="true" ht="18.75" hidden="false" customHeight="true" outlineLevel="0" collapsed="false">
      <c r="E270" s="510"/>
      <c r="H270" s="177"/>
      <c r="I270" s="177"/>
      <c r="J270" s="177"/>
    </row>
    <row r="271" s="2" customFormat="true" ht="18.75" hidden="false" customHeight="true" outlineLevel="0" collapsed="false">
      <c r="E271" s="510"/>
      <c r="H271" s="177"/>
      <c r="I271" s="177"/>
      <c r="J271" s="177"/>
    </row>
    <row r="272" s="2" customFormat="true" ht="18.75" hidden="false" customHeight="true" outlineLevel="0" collapsed="false">
      <c r="E272" s="510"/>
      <c r="H272" s="177"/>
      <c r="I272" s="177"/>
      <c r="J272" s="177"/>
    </row>
    <row r="273" s="2" customFormat="true" ht="18.75" hidden="false" customHeight="true" outlineLevel="0" collapsed="false">
      <c r="E273" s="510"/>
      <c r="H273" s="177"/>
      <c r="I273" s="177"/>
      <c r="J273" s="177"/>
    </row>
    <row r="274" s="2" customFormat="true" ht="18.75" hidden="false" customHeight="true" outlineLevel="0" collapsed="false">
      <c r="E274" s="510"/>
      <c r="H274" s="177"/>
      <c r="I274" s="177"/>
      <c r="J274" s="177"/>
    </row>
    <row r="275" s="2" customFormat="true" ht="18.75" hidden="false" customHeight="true" outlineLevel="0" collapsed="false">
      <c r="E275" s="510"/>
      <c r="H275" s="177"/>
      <c r="I275" s="177"/>
      <c r="J275" s="177"/>
    </row>
    <row r="276" s="2" customFormat="true" ht="18.75" hidden="false" customHeight="true" outlineLevel="0" collapsed="false">
      <c r="E276" s="510"/>
      <c r="H276" s="177"/>
      <c r="I276" s="177"/>
      <c r="J276" s="177"/>
    </row>
    <row r="277" s="2" customFormat="true" ht="18.75" hidden="false" customHeight="true" outlineLevel="0" collapsed="false">
      <c r="E277" s="510"/>
      <c r="H277" s="177"/>
      <c r="I277" s="177"/>
      <c r="J277" s="177"/>
    </row>
    <row r="278" s="2" customFormat="true" ht="18.75" hidden="false" customHeight="true" outlineLevel="0" collapsed="false">
      <c r="E278" s="510"/>
      <c r="H278" s="177"/>
      <c r="I278" s="177"/>
      <c r="J278" s="177"/>
    </row>
    <row r="279" s="2" customFormat="true" ht="18.75" hidden="false" customHeight="true" outlineLevel="0" collapsed="false">
      <c r="E279" s="510"/>
      <c r="H279" s="177"/>
      <c r="I279" s="177"/>
      <c r="J279" s="177"/>
    </row>
    <row r="280" s="2" customFormat="true" ht="18.75" hidden="false" customHeight="true" outlineLevel="0" collapsed="false">
      <c r="E280" s="510"/>
      <c r="H280" s="177"/>
      <c r="I280" s="177"/>
      <c r="J280" s="177"/>
    </row>
    <row r="281" s="2" customFormat="true" ht="18.75" hidden="false" customHeight="true" outlineLevel="0" collapsed="false">
      <c r="E281" s="510"/>
      <c r="H281" s="177"/>
      <c r="I281" s="177"/>
      <c r="J281" s="177"/>
    </row>
    <row r="282" s="2" customFormat="true" ht="18.75" hidden="false" customHeight="true" outlineLevel="0" collapsed="false">
      <c r="E282" s="510"/>
      <c r="H282" s="177"/>
      <c r="I282" s="177"/>
      <c r="J282" s="177"/>
    </row>
    <row r="283" s="2" customFormat="true" ht="18.75" hidden="false" customHeight="true" outlineLevel="0" collapsed="false">
      <c r="E283" s="510"/>
      <c r="H283" s="177"/>
      <c r="I283" s="177"/>
      <c r="J283" s="177"/>
    </row>
    <row r="284" s="2" customFormat="true" ht="18.75" hidden="false" customHeight="true" outlineLevel="0" collapsed="false">
      <c r="E284" s="510"/>
      <c r="H284" s="177"/>
      <c r="I284" s="177"/>
      <c r="J284" s="177"/>
    </row>
    <row r="285" s="2" customFormat="true" ht="18.75" hidden="false" customHeight="true" outlineLevel="0" collapsed="false">
      <c r="E285" s="510"/>
      <c r="H285" s="177"/>
      <c r="I285" s="177"/>
      <c r="J285" s="177"/>
    </row>
    <row r="286" s="2" customFormat="true" ht="18.75" hidden="false" customHeight="true" outlineLevel="0" collapsed="false">
      <c r="E286" s="510"/>
      <c r="H286" s="177"/>
      <c r="I286" s="177"/>
      <c r="J286" s="177"/>
    </row>
    <row r="287" s="2" customFormat="true" ht="18.75" hidden="false" customHeight="true" outlineLevel="0" collapsed="false">
      <c r="E287" s="510"/>
      <c r="H287" s="177"/>
      <c r="I287" s="177"/>
      <c r="J287" s="177"/>
    </row>
    <row r="288" s="2" customFormat="true" ht="18.75" hidden="false" customHeight="true" outlineLevel="0" collapsed="false">
      <c r="E288" s="510"/>
      <c r="H288" s="177"/>
      <c r="I288" s="177"/>
      <c r="J288" s="177"/>
    </row>
    <row r="289" s="2" customFormat="true" ht="18.75" hidden="false" customHeight="true" outlineLevel="0" collapsed="false">
      <c r="E289" s="510"/>
      <c r="H289" s="177"/>
      <c r="I289" s="177"/>
      <c r="J289" s="177"/>
    </row>
    <row r="290" s="2" customFormat="true" ht="18.75" hidden="false" customHeight="true" outlineLevel="0" collapsed="false">
      <c r="E290" s="510"/>
      <c r="H290" s="177"/>
      <c r="I290" s="177"/>
      <c r="J290" s="177"/>
    </row>
    <row r="291" s="2" customFormat="true" ht="18.75" hidden="false" customHeight="true" outlineLevel="0" collapsed="false">
      <c r="E291" s="510"/>
      <c r="H291" s="177"/>
      <c r="I291" s="177"/>
      <c r="J291" s="177"/>
    </row>
    <row r="292" s="2" customFormat="true" ht="18.75" hidden="false" customHeight="true" outlineLevel="0" collapsed="false">
      <c r="E292" s="510"/>
      <c r="H292" s="177"/>
      <c r="I292" s="177"/>
      <c r="J292" s="177"/>
    </row>
    <row r="293" s="2" customFormat="true" ht="18.75" hidden="false" customHeight="true" outlineLevel="0" collapsed="false">
      <c r="E293" s="510"/>
      <c r="H293" s="177"/>
      <c r="I293" s="177"/>
      <c r="J293" s="177"/>
    </row>
    <row r="294" s="2" customFormat="true" ht="18.75" hidden="false" customHeight="true" outlineLevel="0" collapsed="false">
      <c r="E294" s="510"/>
      <c r="H294" s="177"/>
      <c r="I294" s="177"/>
      <c r="J294" s="177"/>
    </row>
    <row r="295" s="2" customFormat="true" ht="18.75" hidden="false" customHeight="true" outlineLevel="0" collapsed="false">
      <c r="E295" s="510"/>
      <c r="H295" s="177"/>
      <c r="I295" s="177"/>
      <c r="J295" s="177"/>
    </row>
    <row r="296" s="2" customFormat="true" ht="18.75" hidden="false" customHeight="true" outlineLevel="0" collapsed="false">
      <c r="E296" s="510"/>
      <c r="H296" s="177"/>
      <c r="I296" s="177"/>
      <c r="J296" s="177"/>
    </row>
    <row r="297" s="2" customFormat="true" ht="18.75" hidden="false" customHeight="true" outlineLevel="0" collapsed="false">
      <c r="E297" s="510"/>
      <c r="H297" s="177"/>
      <c r="I297" s="177"/>
      <c r="J297" s="177"/>
    </row>
    <row r="298" s="2" customFormat="true" ht="18.75" hidden="false" customHeight="true" outlineLevel="0" collapsed="false">
      <c r="E298" s="510"/>
      <c r="H298" s="177"/>
      <c r="I298" s="177"/>
      <c r="J298" s="177"/>
    </row>
    <row r="299" s="2" customFormat="true" ht="18.75" hidden="false" customHeight="true" outlineLevel="0" collapsed="false">
      <c r="E299" s="510"/>
      <c r="H299" s="177"/>
      <c r="I299" s="177"/>
      <c r="J299" s="177"/>
    </row>
    <row r="300" s="2" customFormat="true" ht="18.75" hidden="false" customHeight="true" outlineLevel="0" collapsed="false">
      <c r="E300" s="510"/>
      <c r="H300" s="177"/>
      <c r="I300" s="177"/>
      <c r="J300" s="177"/>
    </row>
    <row r="301" s="2" customFormat="true" ht="18.75" hidden="false" customHeight="true" outlineLevel="0" collapsed="false">
      <c r="E301" s="510"/>
      <c r="H301" s="177"/>
      <c r="I301" s="177"/>
      <c r="J301" s="177"/>
    </row>
    <row r="302" s="2" customFormat="true" ht="18.75" hidden="false" customHeight="true" outlineLevel="0" collapsed="false">
      <c r="E302" s="510"/>
      <c r="H302" s="177"/>
      <c r="I302" s="177"/>
      <c r="J302" s="177"/>
    </row>
    <row r="303" s="2" customFormat="true" ht="18.75" hidden="false" customHeight="true" outlineLevel="0" collapsed="false">
      <c r="E303" s="510"/>
      <c r="H303" s="177"/>
      <c r="I303" s="177"/>
      <c r="J303" s="177"/>
    </row>
    <row r="304" s="2" customFormat="true" ht="18.75" hidden="false" customHeight="true" outlineLevel="0" collapsed="false">
      <c r="E304" s="510"/>
      <c r="H304" s="177"/>
      <c r="I304" s="177"/>
      <c r="J304" s="177"/>
    </row>
    <row r="305" s="2" customFormat="true" ht="18.75" hidden="false" customHeight="true" outlineLevel="0" collapsed="false">
      <c r="E305" s="510"/>
      <c r="H305" s="177"/>
      <c r="I305" s="177"/>
      <c r="J305" s="177"/>
    </row>
    <row r="306" s="2" customFormat="true" ht="18.75" hidden="false" customHeight="true" outlineLevel="0" collapsed="false">
      <c r="E306" s="510"/>
      <c r="H306" s="177"/>
      <c r="I306" s="177"/>
      <c r="J306" s="177"/>
    </row>
    <row r="307" s="2" customFormat="true" ht="18.75" hidden="false" customHeight="true" outlineLevel="0" collapsed="false">
      <c r="E307" s="510"/>
      <c r="H307" s="177"/>
      <c r="I307" s="177"/>
      <c r="J307" s="177"/>
    </row>
    <row r="308" s="2" customFormat="true" ht="18.75" hidden="false" customHeight="true" outlineLevel="0" collapsed="false">
      <c r="E308" s="510"/>
      <c r="H308" s="177"/>
      <c r="I308" s="177"/>
      <c r="J308" s="177"/>
    </row>
    <row r="309" s="2" customFormat="true" ht="18.75" hidden="false" customHeight="true" outlineLevel="0" collapsed="false">
      <c r="E309" s="510"/>
      <c r="H309" s="177"/>
      <c r="I309" s="177"/>
      <c r="J309" s="177"/>
    </row>
    <row r="310" s="2" customFormat="true" ht="18.75" hidden="false" customHeight="true" outlineLevel="0" collapsed="false">
      <c r="E310" s="510"/>
      <c r="H310" s="177"/>
      <c r="I310" s="177"/>
      <c r="J310" s="177"/>
    </row>
    <row r="311" s="2" customFormat="true" ht="18.75" hidden="false" customHeight="true" outlineLevel="0" collapsed="false">
      <c r="E311" s="510"/>
      <c r="H311" s="177"/>
      <c r="I311" s="177"/>
      <c r="J311" s="177"/>
    </row>
    <row r="312" s="2" customFormat="true" ht="18.75" hidden="false" customHeight="true" outlineLevel="0" collapsed="false">
      <c r="E312" s="510"/>
      <c r="H312" s="177"/>
      <c r="I312" s="177"/>
      <c r="J312" s="177"/>
    </row>
    <row r="313" s="2" customFormat="true" ht="18.75" hidden="false" customHeight="true" outlineLevel="0" collapsed="false">
      <c r="E313" s="510"/>
      <c r="H313" s="177"/>
      <c r="I313" s="177"/>
      <c r="J313" s="177"/>
    </row>
    <row r="314" s="2" customFormat="true" ht="18.75" hidden="false" customHeight="true" outlineLevel="0" collapsed="false">
      <c r="E314" s="510"/>
      <c r="H314" s="177"/>
      <c r="I314" s="177"/>
      <c r="J314" s="177"/>
    </row>
    <row r="315" s="2" customFormat="true" ht="18.75" hidden="false" customHeight="true" outlineLevel="0" collapsed="false">
      <c r="E315" s="510"/>
      <c r="H315" s="177"/>
      <c r="I315" s="177"/>
      <c r="J315" s="177"/>
    </row>
    <row r="316" s="2" customFormat="true" ht="18.75" hidden="false" customHeight="true" outlineLevel="0" collapsed="false">
      <c r="E316" s="510"/>
      <c r="H316" s="177"/>
      <c r="I316" s="177"/>
      <c r="J316" s="177"/>
    </row>
    <row r="317" s="2" customFormat="true" ht="18.75" hidden="false" customHeight="true" outlineLevel="0" collapsed="false">
      <c r="E317" s="510"/>
      <c r="H317" s="177"/>
      <c r="I317" s="177"/>
      <c r="J317" s="177"/>
    </row>
    <row r="318" s="2" customFormat="true" ht="18.75" hidden="false" customHeight="true" outlineLevel="0" collapsed="false">
      <c r="E318" s="510"/>
      <c r="H318" s="177"/>
      <c r="I318" s="177"/>
      <c r="J318" s="177"/>
    </row>
    <row r="319" s="2" customFormat="true" ht="18.75" hidden="false" customHeight="true" outlineLevel="0" collapsed="false">
      <c r="E319" s="510"/>
      <c r="H319" s="177"/>
      <c r="I319" s="177"/>
      <c r="J319" s="177"/>
    </row>
    <row r="320" s="2" customFormat="true" ht="18.75" hidden="false" customHeight="true" outlineLevel="0" collapsed="false">
      <c r="E320" s="510"/>
      <c r="H320" s="177"/>
      <c r="I320" s="177"/>
      <c r="J320" s="177"/>
    </row>
    <row r="321" s="2" customFormat="true" ht="18.75" hidden="false" customHeight="true" outlineLevel="0" collapsed="false">
      <c r="E321" s="510"/>
      <c r="H321" s="177"/>
      <c r="I321" s="177"/>
      <c r="J321" s="177"/>
    </row>
    <row r="322" s="2" customFormat="true" ht="18.75" hidden="false" customHeight="true" outlineLevel="0" collapsed="false">
      <c r="E322" s="510"/>
      <c r="H322" s="177"/>
      <c r="I322" s="177"/>
      <c r="J322" s="177"/>
    </row>
    <row r="323" s="2" customFormat="true" ht="18.75" hidden="false" customHeight="true" outlineLevel="0" collapsed="false">
      <c r="E323" s="510"/>
      <c r="H323" s="177"/>
      <c r="I323" s="177"/>
      <c r="J323" s="177"/>
    </row>
    <row r="324" s="2" customFormat="true" ht="18.75" hidden="false" customHeight="true" outlineLevel="0" collapsed="false">
      <c r="E324" s="510"/>
      <c r="H324" s="177"/>
      <c r="I324" s="177"/>
      <c r="J324" s="177"/>
    </row>
    <row r="325" s="2" customFormat="true" ht="18.75" hidden="false" customHeight="true" outlineLevel="0" collapsed="false">
      <c r="E325" s="510"/>
      <c r="H325" s="177"/>
      <c r="I325" s="177"/>
      <c r="J325" s="177"/>
    </row>
    <row r="326" s="2" customFormat="true" ht="18.75" hidden="false" customHeight="true" outlineLevel="0" collapsed="false">
      <c r="E326" s="510"/>
      <c r="H326" s="177"/>
      <c r="I326" s="177"/>
      <c r="J326" s="177"/>
    </row>
    <row r="327" s="2" customFormat="true" ht="18.75" hidden="false" customHeight="true" outlineLevel="0" collapsed="false">
      <c r="E327" s="510"/>
      <c r="H327" s="177"/>
      <c r="I327" s="177"/>
      <c r="J327" s="177"/>
    </row>
    <row r="328" s="2" customFormat="true" ht="18.75" hidden="false" customHeight="true" outlineLevel="0" collapsed="false">
      <c r="E328" s="510"/>
      <c r="H328" s="177"/>
      <c r="I328" s="177"/>
      <c r="J328" s="177"/>
    </row>
    <row r="329" s="2" customFormat="true" ht="18.75" hidden="false" customHeight="true" outlineLevel="0" collapsed="false">
      <c r="E329" s="510"/>
      <c r="H329" s="177"/>
      <c r="I329" s="177"/>
      <c r="J329" s="177"/>
    </row>
    <row r="330" s="2" customFormat="true" ht="18.75" hidden="false" customHeight="true" outlineLevel="0" collapsed="false">
      <c r="E330" s="510"/>
      <c r="H330" s="177"/>
      <c r="I330" s="177"/>
      <c r="J330" s="177"/>
    </row>
    <row r="331" s="2" customFormat="true" ht="18.75" hidden="false" customHeight="true" outlineLevel="0" collapsed="false">
      <c r="E331" s="510"/>
      <c r="H331" s="177"/>
      <c r="I331" s="177"/>
      <c r="J331" s="177"/>
    </row>
    <row r="332" s="2" customFormat="true" ht="18.75" hidden="false" customHeight="true" outlineLevel="0" collapsed="false">
      <c r="E332" s="510"/>
      <c r="H332" s="177"/>
      <c r="I332" s="177"/>
      <c r="J332" s="177"/>
    </row>
    <row r="333" s="2" customFormat="true" ht="18.75" hidden="false" customHeight="true" outlineLevel="0" collapsed="false">
      <c r="E333" s="510"/>
      <c r="H333" s="177"/>
      <c r="I333" s="177"/>
      <c r="J333" s="177"/>
    </row>
    <row r="334" s="2" customFormat="true" ht="18.75" hidden="false" customHeight="true" outlineLevel="0" collapsed="false">
      <c r="E334" s="510"/>
      <c r="H334" s="177"/>
      <c r="I334" s="177"/>
      <c r="J334" s="177"/>
    </row>
    <row r="335" s="2" customFormat="true" ht="18.75" hidden="false" customHeight="true" outlineLevel="0" collapsed="false">
      <c r="E335" s="510"/>
      <c r="H335" s="177"/>
      <c r="I335" s="177"/>
      <c r="J335" s="177"/>
    </row>
    <row r="336" s="2" customFormat="true" ht="18.75" hidden="false" customHeight="true" outlineLevel="0" collapsed="false">
      <c r="E336" s="510"/>
      <c r="H336" s="177"/>
      <c r="I336" s="177"/>
      <c r="J336" s="177"/>
    </row>
    <row r="337" s="2" customFormat="true" ht="18.75" hidden="false" customHeight="true" outlineLevel="0" collapsed="false">
      <c r="E337" s="510"/>
      <c r="H337" s="177"/>
      <c r="I337" s="177"/>
      <c r="J337" s="177"/>
    </row>
    <row r="338" s="2" customFormat="true" ht="18.75" hidden="false" customHeight="true" outlineLevel="0" collapsed="false">
      <c r="E338" s="510"/>
      <c r="H338" s="177"/>
      <c r="I338" s="177"/>
      <c r="J338" s="177"/>
    </row>
    <row r="339" s="2" customFormat="true" ht="18.75" hidden="false" customHeight="true" outlineLevel="0" collapsed="false">
      <c r="E339" s="510"/>
      <c r="H339" s="177"/>
      <c r="I339" s="177"/>
      <c r="J339" s="177"/>
    </row>
    <row r="340" s="2" customFormat="true" ht="18.75" hidden="false" customHeight="true" outlineLevel="0" collapsed="false">
      <c r="E340" s="510"/>
      <c r="H340" s="177"/>
      <c r="I340" s="177"/>
      <c r="J340" s="177"/>
    </row>
    <row r="341" s="2" customFormat="true" ht="18.75" hidden="false" customHeight="true" outlineLevel="0" collapsed="false">
      <c r="E341" s="510"/>
      <c r="H341" s="177"/>
      <c r="I341" s="177"/>
      <c r="J341" s="177"/>
    </row>
    <row r="342" s="2" customFormat="true" ht="18.75" hidden="false" customHeight="true" outlineLevel="0" collapsed="false">
      <c r="E342" s="510"/>
      <c r="H342" s="177"/>
      <c r="I342" s="177"/>
      <c r="J342" s="177"/>
    </row>
    <row r="343" s="2" customFormat="true" ht="18.75" hidden="false" customHeight="true" outlineLevel="0" collapsed="false">
      <c r="E343" s="510"/>
      <c r="H343" s="177"/>
      <c r="I343" s="177"/>
      <c r="J343" s="177"/>
    </row>
    <row r="344" s="2" customFormat="true" ht="18.75" hidden="false" customHeight="true" outlineLevel="0" collapsed="false">
      <c r="E344" s="510"/>
      <c r="H344" s="177"/>
      <c r="I344" s="177"/>
      <c r="J344" s="177"/>
    </row>
    <row r="345" s="2" customFormat="true" ht="18.75" hidden="false" customHeight="true" outlineLevel="0" collapsed="false">
      <c r="E345" s="510"/>
      <c r="H345" s="177"/>
      <c r="I345" s="177"/>
      <c r="J345" s="177"/>
    </row>
    <row r="346" s="2" customFormat="true" ht="18.75" hidden="false" customHeight="true" outlineLevel="0" collapsed="false">
      <c r="E346" s="510"/>
      <c r="H346" s="177"/>
      <c r="I346" s="177"/>
      <c r="J346" s="177"/>
    </row>
    <row r="347" s="2" customFormat="true" ht="18.75" hidden="false" customHeight="true" outlineLevel="0" collapsed="false">
      <c r="E347" s="510"/>
      <c r="H347" s="177"/>
      <c r="I347" s="177"/>
      <c r="J347" s="177"/>
    </row>
    <row r="348" s="2" customFormat="true" ht="18.75" hidden="false" customHeight="true" outlineLevel="0" collapsed="false">
      <c r="E348" s="510"/>
      <c r="H348" s="177"/>
      <c r="I348" s="177"/>
      <c r="J348" s="177"/>
    </row>
    <row r="349" s="2" customFormat="true" ht="18.75" hidden="false" customHeight="true" outlineLevel="0" collapsed="false">
      <c r="E349" s="510"/>
      <c r="H349" s="177"/>
      <c r="I349" s="177"/>
      <c r="J349" s="177"/>
    </row>
    <row r="350" s="2" customFormat="true" ht="18.75" hidden="false" customHeight="true" outlineLevel="0" collapsed="false">
      <c r="E350" s="510"/>
      <c r="H350" s="177"/>
      <c r="I350" s="177"/>
      <c r="J350" s="177"/>
    </row>
    <row r="351" s="2" customFormat="true" ht="18.75" hidden="false" customHeight="true" outlineLevel="0" collapsed="false">
      <c r="E351" s="510"/>
      <c r="H351" s="177"/>
      <c r="I351" s="177"/>
      <c r="J351" s="177"/>
    </row>
    <row r="352" s="2" customFormat="true" ht="18.75" hidden="false" customHeight="true" outlineLevel="0" collapsed="false">
      <c r="E352" s="510"/>
      <c r="H352" s="177"/>
      <c r="I352" s="177"/>
      <c r="J352" s="177"/>
    </row>
    <row r="353" s="2" customFormat="true" ht="18.75" hidden="false" customHeight="true" outlineLevel="0" collapsed="false">
      <c r="E353" s="510"/>
      <c r="H353" s="177"/>
      <c r="I353" s="177"/>
      <c r="J353" s="177"/>
    </row>
    <row r="354" s="2" customFormat="true" ht="18.75" hidden="false" customHeight="true" outlineLevel="0" collapsed="false">
      <c r="E354" s="510"/>
      <c r="H354" s="177"/>
      <c r="I354" s="177"/>
      <c r="J354" s="177"/>
    </row>
    <row r="355" s="2" customFormat="true" ht="18.75" hidden="false" customHeight="true" outlineLevel="0" collapsed="false">
      <c r="E355" s="510"/>
      <c r="H355" s="177"/>
      <c r="I355" s="177"/>
      <c r="J355" s="177"/>
    </row>
    <row r="356" s="2" customFormat="true" ht="18.75" hidden="false" customHeight="true" outlineLevel="0" collapsed="false">
      <c r="E356" s="510"/>
      <c r="H356" s="177"/>
      <c r="I356" s="177"/>
      <c r="J356" s="177"/>
    </row>
    <row r="357" s="2" customFormat="true" ht="18.75" hidden="false" customHeight="true" outlineLevel="0" collapsed="false">
      <c r="E357" s="510"/>
      <c r="H357" s="177"/>
      <c r="I357" s="177"/>
      <c r="J357" s="177"/>
    </row>
    <row r="358" s="2" customFormat="true" ht="18.75" hidden="false" customHeight="true" outlineLevel="0" collapsed="false">
      <c r="E358" s="510"/>
      <c r="H358" s="177"/>
      <c r="I358" s="177"/>
      <c r="J358" s="177"/>
    </row>
    <row r="359" s="2" customFormat="true" ht="18.75" hidden="false" customHeight="true" outlineLevel="0" collapsed="false">
      <c r="E359" s="510"/>
      <c r="H359" s="177"/>
      <c r="I359" s="177"/>
      <c r="J359" s="177"/>
    </row>
    <row r="360" s="2" customFormat="true" ht="18.75" hidden="false" customHeight="true" outlineLevel="0" collapsed="false">
      <c r="E360" s="510"/>
      <c r="H360" s="177"/>
      <c r="I360" s="177"/>
      <c r="J360" s="177"/>
    </row>
    <row r="361" s="2" customFormat="true" ht="18.75" hidden="false" customHeight="true" outlineLevel="0" collapsed="false">
      <c r="E361" s="510"/>
      <c r="H361" s="177"/>
      <c r="I361" s="177"/>
      <c r="J361" s="177"/>
    </row>
    <row r="362" s="2" customFormat="true" ht="18.75" hidden="false" customHeight="true" outlineLevel="0" collapsed="false">
      <c r="E362" s="510"/>
      <c r="H362" s="177"/>
      <c r="I362" s="177"/>
      <c r="J362" s="177"/>
    </row>
    <row r="363" s="2" customFormat="true" ht="18.75" hidden="false" customHeight="true" outlineLevel="0" collapsed="false">
      <c r="E363" s="510"/>
      <c r="H363" s="177"/>
      <c r="I363" s="177"/>
      <c r="J363" s="177"/>
    </row>
    <row r="364" s="2" customFormat="true" ht="18.75" hidden="false" customHeight="true" outlineLevel="0" collapsed="false">
      <c r="E364" s="510"/>
      <c r="H364" s="177"/>
      <c r="I364" s="177"/>
      <c r="J364" s="177"/>
    </row>
    <row r="365" s="2" customFormat="true" ht="18.75" hidden="false" customHeight="true" outlineLevel="0" collapsed="false">
      <c r="E365" s="510"/>
      <c r="H365" s="177"/>
      <c r="I365" s="177"/>
      <c r="J365" s="177"/>
    </row>
    <row r="366" s="2" customFormat="true" ht="18.75" hidden="false" customHeight="true" outlineLevel="0" collapsed="false">
      <c r="E366" s="510"/>
      <c r="H366" s="177"/>
      <c r="I366" s="177"/>
      <c r="J366" s="177"/>
    </row>
    <row r="367" s="2" customFormat="true" ht="18.75" hidden="false" customHeight="true" outlineLevel="0" collapsed="false">
      <c r="E367" s="510"/>
      <c r="H367" s="177"/>
      <c r="I367" s="177"/>
      <c r="J367" s="177"/>
    </row>
    <row r="368" s="2" customFormat="true" ht="18.75" hidden="false" customHeight="true" outlineLevel="0" collapsed="false">
      <c r="E368" s="510"/>
      <c r="H368" s="177"/>
      <c r="I368" s="177"/>
      <c r="J368" s="177"/>
    </row>
    <row r="369" s="2" customFormat="true" ht="18.75" hidden="false" customHeight="true" outlineLevel="0" collapsed="false">
      <c r="E369" s="510"/>
      <c r="H369" s="177"/>
      <c r="I369" s="177"/>
      <c r="J369" s="177"/>
    </row>
    <row r="370" s="2" customFormat="true" ht="18.75" hidden="false" customHeight="true" outlineLevel="0" collapsed="false">
      <c r="E370" s="510"/>
      <c r="H370" s="177"/>
      <c r="I370" s="177"/>
      <c r="J370" s="177"/>
    </row>
    <row r="371" s="2" customFormat="true" ht="18.75" hidden="false" customHeight="true" outlineLevel="0" collapsed="false">
      <c r="E371" s="510"/>
      <c r="H371" s="177"/>
      <c r="I371" s="177"/>
      <c r="J371" s="177"/>
    </row>
    <row r="372" s="2" customFormat="true" ht="18.75" hidden="false" customHeight="true" outlineLevel="0" collapsed="false">
      <c r="E372" s="510"/>
      <c r="H372" s="177"/>
      <c r="I372" s="177"/>
      <c r="J372" s="177"/>
    </row>
    <row r="373" s="2" customFormat="true" ht="18.75" hidden="false" customHeight="true" outlineLevel="0" collapsed="false">
      <c r="E373" s="510"/>
      <c r="H373" s="177"/>
      <c r="I373" s="177"/>
      <c r="J373" s="177"/>
    </row>
    <row r="374" s="2" customFormat="true" ht="18.75" hidden="false" customHeight="true" outlineLevel="0" collapsed="false">
      <c r="E374" s="510"/>
      <c r="H374" s="177"/>
      <c r="I374" s="177"/>
      <c r="J374" s="177"/>
    </row>
    <row r="375" s="2" customFormat="true" ht="18.75" hidden="false" customHeight="true" outlineLevel="0" collapsed="false">
      <c r="E375" s="510"/>
      <c r="H375" s="177"/>
      <c r="I375" s="177"/>
      <c r="J375" s="177"/>
    </row>
    <row r="376" s="2" customFormat="true" ht="18.75" hidden="false" customHeight="true" outlineLevel="0" collapsed="false">
      <c r="E376" s="510"/>
      <c r="H376" s="177"/>
      <c r="I376" s="177"/>
      <c r="J376" s="177"/>
    </row>
    <row r="377" s="2" customFormat="true" ht="18.75" hidden="false" customHeight="true" outlineLevel="0" collapsed="false">
      <c r="E377" s="510"/>
      <c r="H377" s="177"/>
      <c r="I377" s="177"/>
      <c r="J377" s="177"/>
    </row>
    <row r="378" s="2" customFormat="true" ht="18.75" hidden="false" customHeight="true" outlineLevel="0" collapsed="false">
      <c r="E378" s="510"/>
      <c r="H378" s="177"/>
      <c r="I378" s="177"/>
      <c r="J378" s="177"/>
    </row>
    <row r="379" s="2" customFormat="true" ht="18.75" hidden="false" customHeight="true" outlineLevel="0" collapsed="false">
      <c r="E379" s="510"/>
      <c r="H379" s="177"/>
      <c r="I379" s="177"/>
      <c r="J379" s="177"/>
    </row>
    <row r="380" s="2" customFormat="true" ht="18.75" hidden="false" customHeight="true" outlineLevel="0" collapsed="false">
      <c r="E380" s="510"/>
      <c r="H380" s="177"/>
      <c r="I380" s="177"/>
      <c r="J380" s="177"/>
    </row>
    <row r="381" s="2" customFormat="true" ht="18.75" hidden="false" customHeight="true" outlineLevel="0" collapsed="false">
      <c r="E381" s="510"/>
      <c r="H381" s="177"/>
      <c r="I381" s="177"/>
      <c r="J381" s="177"/>
    </row>
    <row r="382" s="2" customFormat="true" ht="18.75" hidden="false" customHeight="true" outlineLevel="0" collapsed="false">
      <c r="E382" s="510"/>
      <c r="H382" s="177"/>
      <c r="I382" s="177"/>
      <c r="J382" s="177"/>
    </row>
    <row r="383" s="2" customFormat="true" ht="18.75" hidden="false" customHeight="true" outlineLevel="0" collapsed="false">
      <c r="E383" s="510"/>
      <c r="H383" s="177"/>
      <c r="I383" s="177"/>
      <c r="J383" s="177"/>
    </row>
    <row r="384" s="2" customFormat="true" ht="18.75" hidden="false" customHeight="true" outlineLevel="0" collapsed="false">
      <c r="E384" s="510"/>
      <c r="H384" s="177"/>
      <c r="I384" s="177"/>
      <c r="J384" s="177"/>
    </row>
    <row r="385" s="2" customFormat="true" ht="18.75" hidden="false" customHeight="true" outlineLevel="0" collapsed="false">
      <c r="E385" s="510"/>
      <c r="H385" s="177"/>
      <c r="I385" s="177"/>
      <c r="J385" s="177"/>
    </row>
    <row r="386" s="2" customFormat="true" ht="18.75" hidden="false" customHeight="true" outlineLevel="0" collapsed="false">
      <c r="E386" s="510"/>
      <c r="H386" s="177"/>
      <c r="I386" s="177"/>
      <c r="J386" s="177"/>
    </row>
    <row r="387" s="2" customFormat="true" ht="18.75" hidden="false" customHeight="true" outlineLevel="0" collapsed="false">
      <c r="E387" s="510"/>
      <c r="H387" s="177"/>
      <c r="I387" s="177"/>
      <c r="J387" s="177"/>
    </row>
    <row r="388" s="2" customFormat="true" ht="18.75" hidden="false" customHeight="true" outlineLevel="0" collapsed="false">
      <c r="E388" s="510"/>
      <c r="H388" s="177"/>
      <c r="I388" s="177"/>
      <c r="J388" s="177"/>
    </row>
    <row r="389" s="2" customFormat="true" ht="18.75" hidden="false" customHeight="true" outlineLevel="0" collapsed="false">
      <c r="E389" s="510"/>
      <c r="H389" s="177"/>
      <c r="I389" s="177"/>
      <c r="J389" s="177"/>
    </row>
    <row r="390" s="2" customFormat="true" ht="18.75" hidden="false" customHeight="true" outlineLevel="0" collapsed="false">
      <c r="E390" s="510"/>
      <c r="H390" s="177"/>
      <c r="I390" s="177"/>
      <c r="J390" s="177"/>
    </row>
    <row r="391" s="2" customFormat="true" ht="18.75" hidden="false" customHeight="true" outlineLevel="0" collapsed="false">
      <c r="E391" s="510"/>
      <c r="H391" s="177"/>
      <c r="I391" s="177"/>
      <c r="J391" s="177"/>
    </row>
    <row r="392" s="2" customFormat="true" ht="18.75" hidden="false" customHeight="true" outlineLevel="0" collapsed="false">
      <c r="E392" s="510"/>
      <c r="H392" s="177"/>
      <c r="I392" s="177"/>
      <c r="J392" s="177"/>
    </row>
    <row r="393" s="2" customFormat="true" ht="18.75" hidden="false" customHeight="true" outlineLevel="0" collapsed="false">
      <c r="E393" s="510"/>
      <c r="H393" s="177"/>
      <c r="I393" s="177"/>
      <c r="J393" s="177"/>
    </row>
    <row r="394" s="2" customFormat="true" ht="18.75" hidden="false" customHeight="true" outlineLevel="0" collapsed="false">
      <c r="E394" s="510"/>
      <c r="H394" s="177"/>
      <c r="I394" s="177"/>
      <c r="J394" s="177"/>
    </row>
    <row r="395" s="2" customFormat="true" ht="18.75" hidden="false" customHeight="true" outlineLevel="0" collapsed="false">
      <c r="E395" s="510"/>
      <c r="H395" s="177"/>
      <c r="I395" s="177"/>
      <c r="J395" s="177"/>
    </row>
    <row r="396" s="2" customFormat="true" ht="18.75" hidden="false" customHeight="true" outlineLevel="0" collapsed="false">
      <c r="E396" s="510"/>
      <c r="H396" s="177"/>
      <c r="I396" s="177"/>
      <c r="J396" s="177"/>
    </row>
    <row r="397" s="2" customFormat="true" ht="18.75" hidden="false" customHeight="true" outlineLevel="0" collapsed="false">
      <c r="E397" s="510"/>
      <c r="H397" s="177"/>
      <c r="I397" s="177"/>
      <c r="J397" s="177"/>
    </row>
    <row r="398" s="2" customFormat="true" ht="18.75" hidden="false" customHeight="true" outlineLevel="0" collapsed="false">
      <c r="E398" s="510"/>
      <c r="H398" s="177"/>
      <c r="I398" s="177"/>
      <c r="J398" s="177"/>
    </row>
    <row r="399" s="2" customFormat="true" ht="18.75" hidden="false" customHeight="true" outlineLevel="0" collapsed="false">
      <c r="E399" s="510"/>
      <c r="H399" s="177"/>
      <c r="I399" s="177"/>
      <c r="J399" s="177"/>
    </row>
    <row r="400" s="2" customFormat="true" ht="18.75" hidden="false" customHeight="true" outlineLevel="0" collapsed="false">
      <c r="E400" s="510"/>
      <c r="H400" s="177"/>
      <c r="I400" s="177"/>
      <c r="J400" s="177"/>
    </row>
    <row r="401" s="2" customFormat="true" ht="18.75" hidden="false" customHeight="true" outlineLevel="0" collapsed="false">
      <c r="E401" s="510"/>
      <c r="H401" s="177"/>
      <c r="I401" s="177"/>
      <c r="J401" s="177"/>
    </row>
    <row r="402" s="2" customFormat="true" ht="18.75" hidden="false" customHeight="true" outlineLevel="0" collapsed="false">
      <c r="E402" s="510"/>
      <c r="H402" s="177"/>
      <c r="I402" s="177"/>
      <c r="J402" s="177"/>
    </row>
    <row r="403" s="2" customFormat="true" ht="18.75" hidden="false" customHeight="true" outlineLevel="0" collapsed="false">
      <c r="E403" s="510"/>
      <c r="H403" s="177"/>
      <c r="I403" s="177"/>
      <c r="J403" s="177"/>
    </row>
    <row r="404" s="2" customFormat="true" ht="18.75" hidden="false" customHeight="true" outlineLevel="0" collapsed="false">
      <c r="E404" s="510"/>
      <c r="H404" s="177"/>
      <c r="I404" s="177"/>
      <c r="J404" s="177"/>
    </row>
    <row r="405" s="2" customFormat="true" ht="18.75" hidden="false" customHeight="true" outlineLevel="0" collapsed="false">
      <c r="E405" s="510"/>
      <c r="H405" s="177"/>
      <c r="I405" s="177"/>
      <c r="J405" s="177"/>
    </row>
    <row r="406" s="2" customFormat="true" ht="18.75" hidden="false" customHeight="true" outlineLevel="0" collapsed="false">
      <c r="E406" s="510"/>
      <c r="H406" s="177"/>
      <c r="I406" s="177"/>
      <c r="J406" s="177"/>
    </row>
    <row r="407" s="2" customFormat="true" ht="18.75" hidden="false" customHeight="true" outlineLevel="0" collapsed="false">
      <c r="E407" s="510"/>
      <c r="H407" s="177"/>
      <c r="I407" s="177"/>
      <c r="J407" s="177"/>
    </row>
    <row r="408" s="2" customFormat="true" ht="18.75" hidden="false" customHeight="true" outlineLevel="0" collapsed="false">
      <c r="E408" s="510"/>
      <c r="H408" s="177"/>
      <c r="I408" s="177"/>
      <c r="J408" s="177"/>
    </row>
    <row r="409" s="2" customFormat="true" ht="18.75" hidden="false" customHeight="true" outlineLevel="0" collapsed="false">
      <c r="E409" s="510"/>
      <c r="H409" s="177"/>
      <c r="I409" s="177"/>
      <c r="J409" s="177"/>
    </row>
    <row r="410" s="2" customFormat="true" ht="18.75" hidden="false" customHeight="true" outlineLevel="0" collapsed="false">
      <c r="E410" s="510"/>
      <c r="H410" s="177"/>
      <c r="I410" s="177"/>
      <c r="J410" s="177"/>
    </row>
    <row r="411" s="2" customFormat="true" ht="18.75" hidden="false" customHeight="true" outlineLevel="0" collapsed="false">
      <c r="E411" s="510"/>
      <c r="H411" s="177"/>
      <c r="I411" s="177"/>
      <c r="J411" s="177"/>
    </row>
    <row r="412" s="2" customFormat="true" ht="18.75" hidden="false" customHeight="true" outlineLevel="0" collapsed="false">
      <c r="E412" s="510"/>
      <c r="H412" s="177"/>
      <c r="I412" s="177"/>
      <c r="J412" s="177"/>
    </row>
    <row r="413" s="2" customFormat="true" ht="18.75" hidden="false" customHeight="true" outlineLevel="0" collapsed="false">
      <c r="E413" s="510"/>
      <c r="H413" s="177"/>
      <c r="I413" s="177"/>
      <c r="J413" s="177"/>
    </row>
    <row r="414" s="2" customFormat="true" ht="18.75" hidden="false" customHeight="true" outlineLevel="0" collapsed="false">
      <c r="E414" s="510"/>
      <c r="H414" s="177"/>
      <c r="I414" s="177"/>
      <c r="J414" s="177"/>
    </row>
    <row r="415" s="2" customFormat="true" ht="18.75" hidden="false" customHeight="true" outlineLevel="0" collapsed="false">
      <c r="E415" s="510"/>
      <c r="H415" s="177"/>
      <c r="I415" s="177"/>
      <c r="J415" s="177"/>
    </row>
    <row r="416" s="2" customFormat="true" ht="18.75" hidden="false" customHeight="true" outlineLevel="0" collapsed="false">
      <c r="E416" s="510"/>
      <c r="H416" s="177"/>
      <c r="I416" s="177"/>
      <c r="J416" s="177"/>
    </row>
    <row r="417" s="2" customFormat="true" ht="18.75" hidden="false" customHeight="true" outlineLevel="0" collapsed="false">
      <c r="E417" s="510"/>
      <c r="H417" s="177"/>
      <c r="I417" s="177"/>
      <c r="J417" s="177"/>
    </row>
    <row r="418" s="2" customFormat="true" ht="18.75" hidden="false" customHeight="true" outlineLevel="0" collapsed="false">
      <c r="E418" s="510"/>
      <c r="H418" s="177"/>
      <c r="I418" s="177"/>
      <c r="J418" s="177"/>
    </row>
    <row r="419" s="2" customFormat="true" ht="18.75" hidden="false" customHeight="true" outlineLevel="0" collapsed="false">
      <c r="E419" s="510"/>
      <c r="H419" s="177"/>
      <c r="I419" s="177"/>
      <c r="J419" s="177"/>
    </row>
    <row r="420" s="2" customFormat="true" ht="18.75" hidden="false" customHeight="true" outlineLevel="0" collapsed="false">
      <c r="E420" s="510"/>
      <c r="H420" s="177"/>
      <c r="I420" s="177"/>
      <c r="J420" s="177"/>
    </row>
    <row r="421" s="2" customFormat="true" ht="18.75" hidden="false" customHeight="true" outlineLevel="0" collapsed="false">
      <c r="E421" s="510"/>
      <c r="H421" s="177"/>
      <c r="I421" s="177"/>
      <c r="J421" s="177"/>
    </row>
    <row r="422" s="2" customFormat="true" ht="18.75" hidden="false" customHeight="true" outlineLevel="0" collapsed="false">
      <c r="E422" s="510"/>
      <c r="H422" s="177"/>
      <c r="I422" s="177"/>
      <c r="J422" s="177"/>
    </row>
    <row r="423" s="2" customFormat="true" ht="18.75" hidden="false" customHeight="true" outlineLevel="0" collapsed="false">
      <c r="E423" s="510"/>
      <c r="H423" s="177"/>
      <c r="I423" s="177"/>
      <c r="J423" s="177"/>
    </row>
    <row r="424" s="2" customFormat="true" ht="18.75" hidden="false" customHeight="true" outlineLevel="0" collapsed="false">
      <c r="E424" s="510"/>
      <c r="H424" s="177"/>
      <c r="I424" s="177"/>
      <c r="J424" s="177"/>
    </row>
    <row r="425" s="2" customFormat="true" ht="18.75" hidden="false" customHeight="true" outlineLevel="0" collapsed="false">
      <c r="E425" s="510"/>
      <c r="H425" s="177"/>
      <c r="I425" s="177"/>
      <c r="J425" s="177"/>
    </row>
    <row r="426" s="2" customFormat="true" ht="18.75" hidden="false" customHeight="true" outlineLevel="0" collapsed="false">
      <c r="E426" s="510"/>
      <c r="H426" s="177"/>
      <c r="I426" s="177"/>
      <c r="J426" s="177"/>
    </row>
    <row r="427" s="2" customFormat="true" ht="18.75" hidden="false" customHeight="true" outlineLevel="0" collapsed="false">
      <c r="E427" s="510"/>
      <c r="H427" s="177"/>
      <c r="I427" s="177"/>
      <c r="J427" s="177"/>
    </row>
    <row r="428" s="2" customFormat="true" ht="18.75" hidden="false" customHeight="true" outlineLevel="0" collapsed="false">
      <c r="E428" s="510"/>
      <c r="H428" s="177"/>
      <c r="I428" s="177"/>
      <c r="J428" s="177"/>
    </row>
    <row r="429" s="2" customFormat="true" ht="18.75" hidden="false" customHeight="true" outlineLevel="0" collapsed="false">
      <c r="E429" s="510"/>
      <c r="H429" s="177"/>
      <c r="I429" s="177"/>
      <c r="J429" s="177"/>
    </row>
    <row r="430" s="2" customFormat="true" ht="18.75" hidden="false" customHeight="true" outlineLevel="0" collapsed="false">
      <c r="E430" s="510"/>
      <c r="H430" s="177"/>
      <c r="I430" s="177"/>
      <c r="J430" s="177"/>
    </row>
    <row r="431" s="2" customFormat="true" ht="18.75" hidden="false" customHeight="true" outlineLevel="0" collapsed="false">
      <c r="E431" s="510"/>
      <c r="H431" s="177"/>
      <c r="I431" s="177"/>
      <c r="J431" s="177"/>
    </row>
    <row r="432" s="2" customFormat="true" ht="18.75" hidden="false" customHeight="true" outlineLevel="0" collapsed="false">
      <c r="E432" s="510"/>
      <c r="H432" s="177"/>
      <c r="I432" s="177"/>
      <c r="J432" s="177"/>
    </row>
    <row r="433" s="2" customFormat="true" ht="18.75" hidden="false" customHeight="true" outlineLevel="0" collapsed="false">
      <c r="E433" s="510"/>
      <c r="H433" s="177"/>
      <c r="I433" s="177"/>
      <c r="J433" s="177"/>
    </row>
    <row r="434" s="2" customFormat="true" ht="18.75" hidden="false" customHeight="true" outlineLevel="0" collapsed="false">
      <c r="E434" s="510"/>
      <c r="H434" s="177"/>
      <c r="I434" s="177"/>
      <c r="J434" s="177"/>
    </row>
    <row r="435" s="2" customFormat="true" ht="18.75" hidden="false" customHeight="true" outlineLevel="0" collapsed="false">
      <c r="E435" s="510"/>
      <c r="H435" s="177"/>
      <c r="I435" s="177"/>
      <c r="J435" s="177"/>
    </row>
    <row r="436" s="2" customFormat="true" ht="18.75" hidden="false" customHeight="true" outlineLevel="0" collapsed="false">
      <c r="E436" s="510"/>
      <c r="H436" s="177"/>
      <c r="I436" s="177"/>
      <c r="J436" s="177"/>
    </row>
    <row r="437" s="2" customFormat="true" ht="18.75" hidden="false" customHeight="true" outlineLevel="0" collapsed="false">
      <c r="E437" s="510"/>
      <c r="H437" s="177"/>
      <c r="I437" s="177"/>
      <c r="J437" s="177"/>
    </row>
    <row r="438" s="2" customFormat="true" ht="18.75" hidden="false" customHeight="true" outlineLevel="0" collapsed="false">
      <c r="E438" s="510"/>
      <c r="H438" s="177"/>
      <c r="I438" s="177"/>
      <c r="J438" s="177"/>
    </row>
    <row r="439" s="2" customFormat="true" ht="18.75" hidden="false" customHeight="true" outlineLevel="0" collapsed="false">
      <c r="E439" s="510"/>
      <c r="H439" s="177"/>
      <c r="I439" s="177"/>
      <c r="J439" s="177"/>
    </row>
    <row r="440" s="2" customFormat="true" ht="18.75" hidden="false" customHeight="true" outlineLevel="0" collapsed="false">
      <c r="E440" s="510"/>
      <c r="H440" s="177"/>
      <c r="I440" s="177"/>
      <c r="J440" s="177"/>
    </row>
    <row r="441" s="2" customFormat="true" ht="18.75" hidden="false" customHeight="true" outlineLevel="0" collapsed="false">
      <c r="E441" s="510"/>
      <c r="H441" s="177"/>
      <c r="I441" s="177"/>
      <c r="J441" s="177"/>
    </row>
    <row r="442" s="2" customFormat="true" ht="18.75" hidden="false" customHeight="true" outlineLevel="0" collapsed="false">
      <c r="E442" s="510"/>
      <c r="H442" s="177"/>
      <c r="I442" s="177"/>
      <c r="J442" s="177"/>
    </row>
    <row r="443" s="2" customFormat="true" ht="18.75" hidden="false" customHeight="true" outlineLevel="0" collapsed="false">
      <c r="E443" s="510"/>
      <c r="H443" s="177"/>
      <c r="I443" s="177"/>
      <c r="J443" s="177"/>
    </row>
    <row r="444" s="2" customFormat="true" ht="18.75" hidden="false" customHeight="true" outlineLevel="0" collapsed="false">
      <c r="E444" s="510"/>
      <c r="H444" s="177"/>
      <c r="I444" s="177"/>
      <c r="J444" s="177"/>
    </row>
    <row r="445" s="2" customFormat="true" ht="18.75" hidden="false" customHeight="true" outlineLevel="0" collapsed="false">
      <c r="E445" s="510"/>
      <c r="H445" s="177"/>
      <c r="I445" s="177"/>
      <c r="J445" s="177"/>
    </row>
    <row r="446" s="2" customFormat="true" ht="18.75" hidden="false" customHeight="true" outlineLevel="0" collapsed="false">
      <c r="E446" s="510"/>
      <c r="H446" s="177"/>
      <c r="I446" s="177"/>
      <c r="J446" s="177"/>
    </row>
    <row r="447" s="2" customFormat="true" ht="18.75" hidden="false" customHeight="true" outlineLevel="0" collapsed="false">
      <c r="E447" s="510"/>
      <c r="H447" s="177"/>
      <c r="I447" s="177"/>
      <c r="J447" s="177"/>
    </row>
    <row r="448" s="2" customFormat="true" ht="18.75" hidden="false" customHeight="true" outlineLevel="0" collapsed="false">
      <c r="E448" s="510"/>
      <c r="H448" s="177"/>
      <c r="I448" s="177"/>
      <c r="J448" s="177"/>
    </row>
    <row r="449" s="2" customFormat="true" ht="18.75" hidden="false" customHeight="true" outlineLevel="0" collapsed="false">
      <c r="E449" s="510"/>
      <c r="H449" s="177"/>
      <c r="I449" s="177"/>
      <c r="J449" s="177"/>
    </row>
    <row r="450" s="2" customFormat="true" ht="18.75" hidden="false" customHeight="true" outlineLevel="0" collapsed="false">
      <c r="E450" s="510"/>
      <c r="H450" s="177"/>
      <c r="I450" s="177"/>
      <c r="J450" s="177"/>
    </row>
    <row r="451" s="2" customFormat="true" ht="18.75" hidden="false" customHeight="true" outlineLevel="0" collapsed="false">
      <c r="E451" s="510"/>
      <c r="H451" s="177"/>
      <c r="I451" s="177"/>
      <c r="J451" s="177"/>
    </row>
    <row r="452" s="2" customFormat="true" ht="18.75" hidden="false" customHeight="true" outlineLevel="0" collapsed="false">
      <c r="E452" s="510"/>
      <c r="H452" s="177"/>
      <c r="I452" s="177"/>
      <c r="J452" s="177"/>
    </row>
    <row r="453" s="2" customFormat="true" ht="18.75" hidden="false" customHeight="true" outlineLevel="0" collapsed="false">
      <c r="E453" s="510"/>
      <c r="H453" s="177"/>
      <c r="I453" s="177"/>
      <c r="J453" s="177"/>
    </row>
    <row r="454" s="2" customFormat="true" ht="18.75" hidden="false" customHeight="true" outlineLevel="0" collapsed="false">
      <c r="E454" s="510"/>
      <c r="H454" s="177"/>
      <c r="I454" s="177"/>
      <c r="J454" s="177"/>
    </row>
    <row r="455" s="2" customFormat="true" ht="18.75" hidden="false" customHeight="true" outlineLevel="0" collapsed="false">
      <c r="E455" s="510"/>
      <c r="H455" s="177"/>
      <c r="I455" s="177"/>
      <c r="J455" s="177"/>
    </row>
    <row r="456" s="2" customFormat="true" ht="18.75" hidden="false" customHeight="true" outlineLevel="0" collapsed="false">
      <c r="E456" s="510"/>
      <c r="H456" s="177"/>
      <c r="I456" s="177"/>
      <c r="J456" s="177"/>
    </row>
    <row r="457" s="2" customFormat="true" ht="18.75" hidden="false" customHeight="true" outlineLevel="0" collapsed="false">
      <c r="E457" s="510"/>
      <c r="H457" s="177"/>
      <c r="I457" s="177"/>
      <c r="J457" s="177"/>
    </row>
    <row r="458" s="2" customFormat="true" ht="18.75" hidden="false" customHeight="true" outlineLevel="0" collapsed="false">
      <c r="E458" s="510"/>
      <c r="H458" s="177"/>
      <c r="I458" s="177"/>
      <c r="J458" s="177"/>
    </row>
    <row r="459" s="2" customFormat="true" ht="18.75" hidden="false" customHeight="true" outlineLevel="0" collapsed="false">
      <c r="E459" s="510"/>
      <c r="H459" s="177"/>
      <c r="I459" s="177"/>
      <c r="J459" s="177"/>
    </row>
    <row r="460" s="2" customFormat="true" ht="18.75" hidden="false" customHeight="true" outlineLevel="0" collapsed="false">
      <c r="E460" s="510"/>
      <c r="H460" s="177"/>
      <c r="I460" s="177"/>
      <c r="J460" s="177"/>
    </row>
    <row r="461" s="2" customFormat="true" ht="18.75" hidden="false" customHeight="true" outlineLevel="0" collapsed="false">
      <c r="E461" s="510"/>
      <c r="H461" s="177"/>
      <c r="I461" s="177"/>
      <c r="J461" s="177"/>
    </row>
    <row r="462" s="2" customFormat="true" ht="18.75" hidden="false" customHeight="true" outlineLevel="0" collapsed="false">
      <c r="E462" s="510"/>
      <c r="H462" s="177"/>
      <c r="I462" s="177"/>
      <c r="J462" s="177"/>
    </row>
    <row r="463" s="2" customFormat="true" ht="18.75" hidden="false" customHeight="true" outlineLevel="0" collapsed="false">
      <c r="E463" s="510"/>
      <c r="H463" s="177"/>
      <c r="I463" s="177"/>
      <c r="J463" s="177"/>
    </row>
    <row r="464" s="2" customFormat="true" ht="18.75" hidden="false" customHeight="true" outlineLevel="0" collapsed="false">
      <c r="E464" s="510"/>
      <c r="H464" s="177"/>
      <c r="I464" s="177"/>
      <c r="J464" s="177"/>
    </row>
    <row r="465" s="2" customFormat="true" ht="18.75" hidden="false" customHeight="true" outlineLevel="0" collapsed="false">
      <c r="E465" s="510"/>
      <c r="H465" s="177"/>
      <c r="I465" s="177"/>
      <c r="J465" s="177"/>
    </row>
    <row r="466" s="2" customFormat="true" ht="18.75" hidden="false" customHeight="true" outlineLevel="0" collapsed="false">
      <c r="E466" s="510"/>
      <c r="H466" s="177"/>
      <c r="I466" s="177"/>
      <c r="J466" s="177"/>
    </row>
    <row r="467" s="2" customFormat="true" ht="18.75" hidden="false" customHeight="true" outlineLevel="0" collapsed="false">
      <c r="E467" s="510"/>
      <c r="H467" s="177"/>
      <c r="I467" s="177"/>
      <c r="J467" s="177"/>
    </row>
    <row r="468" s="2" customFormat="true" ht="18.75" hidden="false" customHeight="true" outlineLevel="0" collapsed="false">
      <c r="E468" s="510"/>
      <c r="H468" s="177"/>
      <c r="I468" s="177"/>
      <c r="J468" s="177"/>
    </row>
    <row r="469" s="2" customFormat="true" ht="18.75" hidden="false" customHeight="true" outlineLevel="0" collapsed="false">
      <c r="E469" s="510"/>
      <c r="H469" s="177"/>
      <c r="I469" s="177"/>
      <c r="J469" s="177"/>
    </row>
    <row r="470" s="2" customFormat="true" ht="18.75" hidden="false" customHeight="true" outlineLevel="0" collapsed="false">
      <c r="E470" s="510"/>
      <c r="H470" s="177"/>
      <c r="I470" s="177"/>
      <c r="J470" s="177"/>
    </row>
    <row r="471" s="2" customFormat="true" ht="18.75" hidden="false" customHeight="true" outlineLevel="0" collapsed="false">
      <c r="E471" s="510"/>
      <c r="H471" s="177"/>
      <c r="I471" s="177"/>
      <c r="J471" s="177"/>
    </row>
    <row r="472" s="2" customFormat="true" ht="18.75" hidden="false" customHeight="true" outlineLevel="0" collapsed="false">
      <c r="E472" s="510"/>
      <c r="H472" s="177"/>
      <c r="I472" s="177"/>
      <c r="J472" s="177"/>
    </row>
    <row r="473" s="2" customFormat="true" ht="18.75" hidden="false" customHeight="true" outlineLevel="0" collapsed="false">
      <c r="E473" s="510"/>
      <c r="H473" s="177"/>
      <c r="I473" s="177"/>
      <c r="J473" s="177"/>
    </row>
    <row r="474" s="2" customFormat="true" ht="18.75" hidden="false" customHeight="true" outlineLevel="0" collapsed="false">
      <c r="E474" s="510"/>
      <c r="H474" s="177"/>
      <c r="I474" s="177"/>
      <c r="J474" s="177"/>
    </row>
    <row r="475" s="2" customFormat="true" ht="18.75" hidden="false" customHeight="true" outlineLevel="0" collapsed="false">
      <c r="E475" s="510"/>
      <c r="H475" s="177"/>
      <c r="I475" s="177"/>
      <c r="J475" s="177"/>
    </row>
    <row r="476" s="2" customFormat="true" ht="18.75" hidden="false" customHeight="true" outlineLevel="0" collapsed="false">
      <c r="E476" s="510"/>
      <c r="H476" s="177"/>
      <c r="I476" s="177"/>
      <c r="J476" s="177"/>
    </row>
    <row r="477" s="2" customFormat="true" ht="18.75" hidden="false" customHeight="true" outlineLevel="0" collapsed="false">
      <c r="E477" s="510"/>
      <c r="H477" s="177"/>
      <c r="I477" s="177"/>
      <c r="J477" s="177"/>
    </row>
    <row r="478" s="2" customFormat="true" ht="18.75" hidden="false" customHeight="true" outlineLevel="0" collapsed="false">
      <c r="E478" s="510"/>
      <c r="H478" s="177"/>
      <c r="I478" s="177"/>
      <c r="J478" s="177"/>
    </row>
    <row r="479" s="2" customFormat="true" ht="18.75" hidden="false" customHeight="true" outlineLevel="0" collapsed="false">
      <c r="E479" s="510"/>
      <c r="H479" s="177"/>
      <c r="I479" s="177"/>
      <c r="J479" s="177"/>
    </row>
    <row r="480" s="2" customFormat="true" ht="18.75" hidden="false" customHeight="true" outlineLevel="0" collapsed="false">
      <c r="E480" s="510"/>
      <c r="H480" s="177"/>
      <c r="I480" s="177"/>
      <c r="J480" s="177"/>
    </row>
    <row r="481" s="2" customFormat="true" ht="18.75" hidden="false" customHeight="true" outlineLevel="0" collapsed="false">
      <c r="E481" s="510"/>
      <c r="H481" s="177"/>
      <c r="I481" s="177"/>
      <c r="J481" s="177"/>
    </row>
    <row r="482" s="2" customFormat="true" ht="18.75" hidden="false" customHeight="true" outlineLevel="0" collapsed="false">
      <c r="E482" s="510"/>
      <c r="H482" s="177"/>
      <c r="I482" s="177"/>
      <c r="J482" s="177"/>
    </row>
    <row r="483" s="2" customFormat="true" ht="18.75" hidden="false" customHeight="true" outlineLevel="0" collapsed="false">
      <c r="E483" s="510"/>
      <c r="H483" s="177"/>
      <c r="I483" s="177"/>
      <c r="J483" s="177"/>
    </row>
    <row r="484" s="2" customFormat="true" ht="18.75" hidden="false" customHeight="true" outlineLevel="0" collapsed="false">
      <c r="E484" s="510"/>
      <c r="H484" s="177"/>
      <c r="I484" s="177"/>
      <c r="J484" s="177"/>
    </row>
    <row r="485" s="2" customFormat="true" ht="18.75" hidden="false" customHeight="true" outlineLevel="0" collapsed="false">
      <c r="E485" s="510"/>
      <c r="H485" s="177"/>
      <c r="I485" s="177"/>
      <c r="J485" s="177"/>
    </row>
    <row r="486" s="2" customFormat="true" ht="18.75" hidden="false" customHeight="true" outlineLevel="0" collapsed="false">
      <c r="E486" s="510"/>
      <c r="H486" s="177"/>
      <c r="I486" s="177"/>
      <c r="J486" s="177"/>
    </row>
    <row r="487" s="2" customFormat="true" ht="18.75" hidden="false" customHeight="true" outlineLevel="0" collapsed="false">
      <c r="E487" s="510"/>
      <c r="H487" s="177"/>
      <c r="I487" s="177"/>
      <c r="J487" s="177"/>
    </row>
    <row r="488" s="2" customFormat="true" ht="18.75" hidden="false" customHeight="true" outlineLevel="0" collapsed="false">
      <c r="E488" s="510"/>
      <c r="H488" s="177"/>
      <c r="I488" s="177"/>
      <c r="J488" s="177"/>
    </row>
    <row r="489" s="2" customFormat="true" ht="18.75" hidden="false" customHeight="true" outlineLevel="0" collapsed="false">
      <c r="E489" s="510"/>
      <c r="H489" s="177"/>
      <c r="I489" s="177"/>
      <c r="J489" s="177"/>
    </row>
    <row r="490" s="2" customFormat="true" ht="18.75" hidden="false" customHeight="true" outlineLevel="0" collapsed="false">
      <c r="E490" s="510"/>
      <c r="H490" s="177"/>
      <c r="I490" s="177"/>
      <c r="J490" s="177"/>
    </row>
    <row r="491" s="2" customFormat="true" ht="18.75" hidden="false" customHeight="true" outlineLevel="0" collapsed="false">
      <c r="E491" s="510"/>
      <c r="H491" s="177"/>
      <c r="I491" s="177"/>
      <c r="J491" s="177"/>
    </row>
    <row r="492" s="2" customFormat="true" ht="18.75" hidden="false" customHeight="true" outlineLevel="0" collapsed="false">
      <c r="E492" s="510"/>
      <c r="H492" s="177"/>
      <c r="I492" s="177"/>
      <c r="J492" s="177"/>
    </row>
    <row r="493" s="2" customFormat="true" ht="18.75" hidden="false" customHeight="true" outlineLevel="0" collapsed="false">
      <c r="E493" s="510"/>
      <c r="H493" s="177"/>
      <c r="I493" s="177"/>
      <c r="J493" s="177"/>
    </row>
    <row r="494" s="2" customFormat="true" ht="18.75" hidden="false" customHeight="true" outlineLevel="0" collapsed="false">
      <c r="E494" s="510"/>
      <c r="H494" s="177"/>
      <c r="I494" s="177"/>
      <c r="J494" s="177"/>
    </row>
    <row r="495" s="2" customFormat="true" ht="18.75" hidden="false" customHeight="true" outlineLevel="0" collapsed="false">
      <c r="E495" s="510"/>
      <c r="H495" s="177"/>
      <c r="I495" s="177"/>
      <c r="J495" s="177"/>
    </row>
    <row r="496" s="2" customFormat="true" ht="18.75" hidden="false" customHeight="true" outlineLevel="0" collapsed="false">
      <c r="E496" s="510"/>
      <c r="H496" s="177"/>
      <c r="I496" s="177"/>
      <c r="J496" s="177"/>
    </row>
    <row r="497" s="2" customFormat="true" ht="18.75" hidden="false" customHeight="true" outlineLevel="0" collapsed="false">
      <c r="E497" s="510"/>
      <c r="H497" s="177"/>
      <c r="I497" s="177"/>
      <c r="J497" s="177"/>
    </row>
    <row r="498" s="2" customFormat="true" ht="18.75" hidden="false" customHeight="true" outlineLevel="0" collapsed="false">
      <c r="E498" s="510"/>
      <c r="H498" s="177"/>
      <c r="I498" s="177"/>
      <c r="J498" s="177"/>
    </row>
    <row r="499" s="2" customFormat="true" ht="18.75" hidden="false" customHeight="true" outlineLevel="0" collapsed="false">
      <c r="E499" s="510"/>
      <c r="H499" s="177"/>
      <c r="I499" s="177"/>
      <c r="J499" s="177"/>
    </row>
    <row r="500" s="2" customFormat="true" ht="18.75" hidden="false" customHeight="true" outlineLevel="0" collapsed="false">
      <c r="E500" s="510"/>
      <c r="H500" s="177"/>
      <c r="I500" s="177"/>
      <c r="J500" s="177"/>
    </row>
    <row r="501" s="2" customFormat="true" ht="18.75" hidden="false" customHeight="true" outlineLevel="0" collapsed="false">
      <c r="E501" s="510"/>
      <c r="H501" s="177"/>
      <c r="I501" s="177"/>
      <c r="J501" s="177"/>
    </row>
    <row r="502" s="2" customFormat="true" ht="18.75" hidden="false" customHeight="true" outlineLevel="0" collapsed="false">
      <c r="E502" s="510"/>
      <c r="H502" s="177"/>
      <c r="I502" s="177"/>
      <c r="J502" s="177"/>
    </row>
    <row r="503" s="2" customFormat="true" ht="18.75" hidden="false" customHeight="true" outlineLevel="0" collapsed="false">
      <c r="E503" s="510"/>
      <c r="H503" s="177"/>
      <c r="I503" s="177"/>
      <c r="J503" s="177"/>
    </row>
    <row r="504" s="2" customFormat="true" ht="18.75" hidden="false" customHeight="true" outlineLevel="0" collapsed="false">
      <c r="E504" s="510"/>
      <c r="H504" s="177"/>
      <c r="I504" s="177"/>
      <c r="J504" s="177"/>
    </row>
    <row r="505" s="2" customFormat="true" ht="18.75" hidden="false" customHeight="true" outlineLevel="0" collapsed="false">
      <c r="E505" s="510"/>
      <c r="H505" s="177"/>
      <c r="I505" s="177"/>
      <c r="J505" s="177"/>
    </row>
    <row r="506" s="2" customFormat="true" ht="18.75" hidden="false" customHeight="true" outlineLevel="0" collapsed="false">
      <c r="E506" s="510"/>
      <c r="H506" s="177"/>
      <c r="I506" s="177"/>
      <c r="J506" s="177"/>
    </row>
    <row r="507" s="2" customFormat="true" ht="18.75" hidden="false" customHeight="true" outlineLevel="0" collapsed="false">
      <c r="E507" s="510"/>
      <c r="H507" s="177"/>
      <c r="I507" s="177"/>
      <c r="J507" s="177"/>
    </row>
    <row r="508" s="2" customFormat="true" ht="18.75" hidden="false" customHeight="true" outlineLevel="0" collapsed="false">
      <c r="E508" s="510"/>
      <c r="H508" s="177"/>
      <c r="I508" s="177"/>
      <c r="J508" s="177"/>
    </row>
    <row r="509" s="2" customFormat="true" ht="18.75" hidden="false" customHeight="true" outlineLevel="0" collapsed="false">
      <c r="E509" s="510"/>
      <c r="H509" s="177"/>
      <c r="I509" s="177"/>
      <c r="J509" s="177"/>
    </row>
    <row r="510" s="2" customFormat="true" ht="18.75" hidden="false" customHeight="true" outlineLevel="0" collapsed="false">
      <c r="E510" s="510"/>
      <c r="H510" s="177"/>
      <c r="I510" s="177"/>
      <c r="J510" s="177"/>
    </row>
    <row r="511" s="2" customFormat="true" ht="18.75" hidden="false" customHeight="true" outlineLevel="0" collapsed="false">
      <c r="E511" s="510"/>
      <c r="H511" s="177"/>
      <c r="I511" s="177"/>
      <c r="J511" s="177"/>
    </row>
    <row r="512" s="2" customFormat="true" ht="18.75" hidden="false" customHeight="true" outlineLevel="0" collapsed="false">
      <c r="E512" s="510"/>
      <c r="H512" s="177"/>
      <c r="I512" s="177"/>
      <c r="J512" s="177"/>
    </row>
    <row r="513" s="2" customFormat="true" ht="18.75" hidden="false" customHeight="true" outlineLevel="0" collapsed="false">
      <c r="E513" s="510"/>
      <c r="H513" s="177"/>
      <c r="I513" s="177"/>
      <c r="J513" s="177"/>
    </row>
    <row r="514" s="2" customFormat="true" ht="18.75" hidden="false" customHeight="true" outlineLevel="0" collapsed="false">
      <c r="E514" s="510"/>
      <c r="H514" s="177"/>
      <c r="I514" s="177"/>
      <c r="J514" s="177"/>
    </row>
    <row r="515" s="2" customFormat="true" ht="18.75" hidden="false" customHeight="true" outlineLevel="0" collapsed="false">
      <c r="E515" s="510"/>
      <c r="H515" s="177"/>
      <c r="I515" s="177"/>
      <c r="J515" s="177"/>
    </row>
    <row r="516" s="2" customFormat="true" ht="18.75" hidden="false" customHeight="true" outlineLevel="0" collapsed="false">
      <c r="E516" s="510"/>
      <c r="H516" s="177"/>
      <c r="I516" s="177"/>
      <c r="J516" s="177"/>
    </row>
    <row r="517" s="2" customFormat="true" ht="18.75" hidden="false" customHeight="true" outlineLevel="0" collapsed="false">
      <c r="E517" s="510"/>
      <c r="H517" s="177"/>
      <c r="I517" s="177"/>
      <c r="J517" s="177"/>
    </row>
    <row r="518" s="2" customFormat="true" ht="18.75" hidden="false" customHeight="true" outlineLevel="0" collapsed="false">
      <c r="E518" s="510"/>
      <c r="H518" s="177"/>
      <c r="I518" s="177"/>
      <c r="J518" s="177"/>
    </row>
    <row r="519" s="2" customFormat="true" ht="18.75" hidden="false" customHeight="true" outlineLevel="0" collapsed="false">
      <c r="E519" s="510"/>
      <c r="H519" s="177"/>
      <c r="I519" s="177"/>
      <c r="J519" s="177"/>
    </row>
    <row r="520" s="2" customFormat="true" ht="18.75" hidden="false" customHeight="true" outlineLevel="0" collapsed="false">
      <c r="E520" s="510"/>
      <c r="H520" s="177"/>
      <c r="I520" s="177"/>
      <c r="J520" s="177"/>
    </row>
    <row r="521" s="2" customFormat="true" ht="18.75" hidden="false" customHeight="true" outlineLevel="0" collapsed="false">
      <c r="E521" s="510"/>
      <c r="H521" s="177"/>
      <c r="I521" s="177"/>
      <c r="J521" s="177"/>
    </row>
    <row r="522" s="2" customFormat="true" ht="18.75" hidden="false" customHeight="true" outlineLevel="0" collapsed="false">
      <c r="E522" s="510"/>
      <c r="H522" s="177"/>
      <c r="I522" s="177"/>
      <c r="J522" s="177"/>
    </row>
    <row r="523" s="2" customFormat="true" ht="18.75" hidden="false" customHeight="true" outlineLevel="0" collapsed="false">
      <c r="E523" s="510"/>
      <c r="H523" s="177"/>
      <c r="I523" s="177"/>
      <c r="J523" s="177"/>
    </row>
    <row r="524" s="2" customFormat="true" ht="18.75" hidden="false" customHeight="true" outlineLevel="0" collapsed="false">
      <c r="E524" s="510"/>
      <c r="H524" s="177"/>
      <c r="I524" s="177"/>
      <c r="J524" s="177"/>
    </row>
    <row r="525" s="2" customFormat="true" ht="18.75" hidden="false" customHeight="true" outlineLevel="0" collapsed="false">
      <c r="E525" s="510"/>
      <c r="H525" s="177"/>
      <c r="I525" s="177"/>
      <c r="J525" s="177"/>
    </row>
    <row r="526" s="2" customFormat="true" ht="18.75" hidden="false" customHeight="true" outlineLevel="0" collapsed="false">
      <c r="E526" s="510"/>
      <c r="H526" s="177"/>
      <c r="I526" s="177"/>
      <c r="J526" s="177"/>
    </row>
    <row r="527" s="2" customFormat="true" ht="18.75" hidden="false" customHeight="true" outlineLevel="0" collapsed="false">
      <c r="E527" s="510"/>
      <c r="H527" s="177"/>
      <c r="I527" s="177"/>
      <c r="J527" s="177"/>
    </row>
    <row r="528" s="2" customFormat="true" ht="18.75" hidden="false" customHeight="true" outlineLevel="0" collapsed="false">
      <c r="E528" s="510"/>
      <c r="H528" s="177"/>
      <c r="I528" s="177"/>
      <c r="J528" s="177"/>
    </row>
    <row r="529" s="2" customFormat="true" ht="18.75" hidden="false" customHeight="true" outlineLevel="0" collapsed="false">
      <c r="E529" s="510"/>
      <c r="H529" s="177"/>
      <c r="I529" s="177"/>
      <c r="J529" s="177"/>
    </row>
    <row r="530" s="2" customFormat="true" ht="18.75" hidden="false" customHeight="true" outlineLevel="0" collapsed="false">
      <c r="E530" s="510"/>
      <c r="H530" s="177"/>
      <c r="I530" s="177"/>
      <c r="J530" s="177"/>
    </row>
    <row r="531" s="2" customFormat="true" ht="18.75" hidden="false" customHeight="true" outlineLevel="0" collapsed="false">
      <c r="E531" s="510"/>
      <c r="H531" s="177"/>
      <c r="I531" s="177"/>
      <c r="J531" s="177"/>
    </row>
    <row r="532" s="2" customFormat="true" ht="18.75" hidden="false" customHeight="true" outlineLevel="0" collapsed="false">
      <c r="E532" s="510"/>
      <c r="H532" s="177"/>
      <c r="I532" s="177"/>
      <c r="J532" s="177"/>
    </row>
    <row r="533" s="2" customFormat="true" ht="18.75" hidden="false" customHeight="true" outlineLevel="0" collapsed="false">
      <c r="E533" s="510"/>
      <c r="H533" s="177"/>
      <c r="I533" s="177"/>
      <c r="J533" s="177"/>
    </row>
    <row r="534" s="2" customFormat="true" ht="18.75" hidden="false" customHeight="true" outlineLevel="0" collapsed="false">
      <c r="E534" s="510"/>
      <c r="H534" s="177"/>
      <c r="I534" s="177"/>
      <c r="J534" s="177"/>
    </row>
    <row r="535" s="2" customFormat="true" ht="18.75" hidden="false" customHeight="true" outlineLevel="0" collapsed="false">
      <c r="E535" s="510"/>
      <c r="H535" s="177"/>
      <c r="I535" s="177"/>
      <c r="J535" s="177"/>
    </row>
    <row r="536" s="2" customFormat="true" ht="18.75" hidden="false" customHeight="true" outlineLevel="0" collapsed="false">
      <c r="E536" s="510"/>
      <c r="H536" s="177"/>
      <c r="I536" s="177"/>
      <c r="J536" s="177"/>
    </row>
    <row r="537" s="2" customFormat="true" ht="18.75" hidden="false" customHeight="true" outlineLevel="0" collapsed="false">
      <c r="E537" s="510"/>
      <c r="H537" s="177"/>
      <c r="I537" s="177"/>
      <c r="J537" s="177"/>
    </row>
    <row r="538" s="2" customFormat="true" ht="18.75" hidden="false" customHeight="true" outlineLevel="0" collapsed="false">
      <c r="E538" s="510"/>
      <c r="H538" s="177"/>
      <c r="I538" s="177"/>
      <c r="J538" s="177"/>
    </row>
    <row r="539" s="2" customFormat="true" ht="18.75" hidden="false" customHeight="true" outlineLevel="0" collapsed="false">
      <c r="E539" s="510"/>
      <c r="H539" s="177"/>
      <c r="I539" s="177"/>
      <c r="J539" s="177"/>
    </row>
    <row r="540" s="2" customFormat="true" ht="18.75" hidden="false" customHeight="true" outlineLevel="0" collapsed="false">
      <c r="E540" s="510"/>
      <c r="H540" s="177"/>
      <c r="I540" s="177"/>
      <c r="J540" s="177"/>
    </row>
    <row r="541" s="2" customFormat="true" ht="18.75" hidden="false" customHeight="true" outlineLevel="0" collapsed="false">
      <c r="E541" s="510"/>
      <c r="H541" s="177"/>
      <c r="I541" s="177"/>
      <c r="J541" s="177"/>
    </row>
    <row r="542" s="2" customFormat="true" ht="18.75" hidden="false" customHeight="true" outlineLevel="0" collapsed="false">
      <c r="E542" s="510"/>
      <c r="H542" s="177"/>
      <c r="I542" s="177"/>
      <c r="J542" s="177"/>
    </row>
    <row r="543" s="2" customFormat="true" ht="18.75" hidden="false" customHeight="true" outlineLevel="0" collapsed="false">
      <c r="E543" s="510"/>
      <c r="H543" s="177"/>
      <c r="I543" s="177"/>
      <c r="J543" s="177"/>
    </row>
    <row r="544" s="2" customFormat="true" ht="18.75" hidden="false" customHeight="true" outlineLevel="0" collapsed="false">
      <c r="E544" s="510"/>
      <c r="H544" s="177"/>
      <c r="I544" s="177"/>
      <c r="J544" s="177"/>
    </row>
    <row r="545" s="2" customFormat="true" ht="18.75" hidden="false" customHeight="true" outlineLevel="0" collapsed="false">
      <c r="E545" s="510"/>
      <c r="H545" s="177"/>
      <c r="I545" s="177"/>
      <c r="J545" s="177"/>
    </row>
    <row r="546" s="2" customFormat="true" ht="18.75" hidden="false" customHeight="true" outlineLevel="0" collapsed="false">
      <c r="E546" s="510"/>
      <c r="H546" s="177"/>
      <c r="I546" s="177"/>
      <c r="J546" s="177"/>
    </row>
    <row r="547" s="2" customFormat="true" ht="18.75" hidden="false" customHeight="true" outlineLevel="0" collapsed="false">
      <c r="E547" s="510"/>
      <c r="H547" s="177"/>
      <c r="I547" s="177"/>
      <c r="J547" s="177"/>
    </row>
    <row r="548" s="2" customFormat="true" ht="18.75" hidden="false" customHeight="true" outlineLevel="0" collapsed="false">
      <c r="E548" s="510"/>
      <c r="H548" s="177"/>
      <c r="I548" s="177"/>
      <c r="J548" s="177"/>
    </row>
    <row r="549" s="2" customFormat="true" ht="18.75" hidden="false" customHeight="true" outlineLevel="0" collapsed="false">
      <c r="E549" s="510"/>
      <c r="H549" s="177"/>
      <c r="I549" s="177"/>
      <c r="J549" s="177"/>
    </row>
    <row r="550" s="2" customFormat="true" ht="18.75" hidden="false" customHeight="true" outlineLevel="0" collapsed="false">
      <c r="E550" s="510"/>
      <c r="H550" s="177"/>
      <c r="I550" s="177"/>
      <c r="J550" s="177"/>
    </row>
    <row r="551" s="2" customFormat="true" ht="18.75" hidden="false" customHeight="true" outlineLevel="0" collapsed="false">
      <c r="E551" s="510"/>
      <c r="H551" s="177"/>
      <c r="I551" s="177"/>
      <c r="J551" s="177"/>
    </row>
    <row r="552" s="2" customFormat="true" ht="18.75" hidden="false" customHeight="true" outlineLevel="0" collapsed="false">
      <c r="E552" s="510"/>
      <c r="H552" s="177"/>
      <c r="I552" s="177"/>
      <c r="J552" s="177"/>
    </row>
    <row r="553" s="2" customFormat="true" ht="18.75" hidden="false" customHeight="true" outlineLevel="0" collapsed="false">
      <c r="E553" s="510"/>
      <c r="H553" s="177"/>
      <c r="I553" s="177"/>
      <c r="J553" s="177"/>
    </row>
    <row r="554" s="2" customFormat="true" ht="18.75" hidden="false" customHeight="true" outlineLevel="0" collapsed="false">
      <c r="E554" s="510"/>
      <c r="H554" s="177"/>
      <c r="I554" s="177"/>
      <c r="J554" s="177"/>
    </row>
    <row r="555" s="2" customFormat="true" ht="18.75" hidden="false" customHeight="true" outlineLevel="0" collapsed="false">
      <c r="E555" s="510"/>
      <c r="H555" s="177"/>
      <c r="I555" s="177"/>
      <c r="J555" s="177"/>
    </row>
    <row r="556" s="2" customFormat="true" ht="18.75" hidden="false" customHeight="true" outlineLevel="0" collapsed="false">
      <c r="E556" s="510"/>
      <c r="H556" s="177"/>
      <c r="I556" s="177"/>
      <c r="J556" s="177"/>
    </row>
    <row r="557" s="2" customFormat="true" ht="18.75" hidden="false" customHeight="true" outlineLevel="0" collapsed="false">
      <c r="E557" s="510"/>
      <c r="H557" s="177"/>
      <c r="I557" s="177"/>
      <c r="J557" s="177"/>
    </row>
    <row r="558" s="2" customFormat="true" ht="18.75" hidden="false" customHeight="true" outlineLevel="0" collapsed="false">
      <c r="E558" s="510"/>
      <c r="H558" s="177"/>
      <c r="I558" s="177"/>
      <c r="J558" s="177"/>
    </row>
    <row r="559" s="2" customFormat="true" ht="18.75" hidden="false" customHeight="true" outlineLevel="0" collapsed="false">
      <c r="E559" s="510"/>
      <c r="H559" s="177"/>
      <c r="I559" s="177"/>
      <c r="J559" s="177"/>
    </row>
    <row r="560" s="2" customFormat="true" ht="18.75" hidden="false" customHeight="true" outlineLevel="0" collapsed="false">
      <c r="E560" s="510"/>
      <c r="H560" s="177"/>
      <c r="I560" s="177"/>
      <c r="J560" s="177"/>
    </row>
    <row r="561" s="2" customFormat="true" ht="18.75" hidden="false" customHeight="true" outlineLevel="0" collapsed="false">
      <c r="E561" s="510"/>
      <c r="H561" s="177"/>
      <c r="I561" s="177"/>
      <c r="J561" s="177"/>
    </row>
    <row r="562" s="2" customFormat="true" ht="18.75" hidden="false" customHeight="true" outlineLevel="0" collapsed="false">
      <c r="E562" s="510"/>
      <c r="H562" s="177"/>
      <c r="I562" s="177"/>
      <c r="J562" s="177"/>
    </row>
    <row r="563" s="2" customFormat="true" ht="18.75" hidden="false" customHeight="true" outlineLevel="0" collapsed="false">
      <c r="E563" s="510"/>
      <c r="H563" s="177"/>
      <c r="I563" s="177"/>
      <c r="J563" s="177"/>
    </row>
    <row r="564" s="2" customFormat="true" ht="18.75" hidden="false" customHeight="true" outlineLevel="0" collapsed="false">
      <c r="E564" s="510"/>
      <c r="H564" s="177"/>
      <c r="I564" s="177"/>
      <c r="J564" s="177"/>
    </row>
    <row r="565" s="2" customFormat="true" ht="18.75" hidden="false" customHeight="true" outlineLevel="0" collapsed="false">
      <c r="E565" s="510"/>
      <c r="H565" s="177"/>
      <c r="I565" s="177"/>
      <c r="J565" s="177"/>
    </row>
    <row r="566" s="2" customFormat="true" ht="18.75" hidden="false" customHeight="true" outlineLevel="0" collapsed="false">
      <c r="E566" s="510"/>
      <c r="H566" s="177"/>
      <c r="I566" s="177"/>
      <c r="J566" s="177"/>
    </row>
    <row r="567" s="2" customFormat="true" ht="18.75" hidden="false" customHeight="true" outlineLevel="0" collapsed="false">
      <c r="E567" s="510"/>
      <c r="H567" s="177"/>
      <c r="I567" s="177"/>
      <c r="J567" s="177"/>
    </row>
    <row r="568" s="2" customFormat="true" ht="18.75" hidden="false" customHeight="true" outlineLevel="0" collapsed="false">
      <c r="E568" s="510"/>
      <c r="H568" s="177"/>
      <c r="I568" s="177"/>
      <c r="J568" s="177"/>
    </row>
    <row r="569" s="2" customFormat="true" ht="18.75" hidden="false" customHeight="true" outlineLevel="0" collapsed="false">
      <c r="E569" s="510"/>
      <c r="H569" s="177"/>
      <c r="I569" s="177"/>
      <c r="J569" s="177"/>
    </row>
    <row r="570" s="2" customFormat="true" ht="18.75" hidden="false" customHeight="true" outlineLevel="0" collapsed="false">
      <c r="E570" s="510"/>
      <c r="H570" s="177"/>
      <c r="I570" s="177"/>
      <c r="J570" s="177"/>
    </row>
    <row r="571" s="2" customFormat="true" ht="18.75" hidden="false" customHeight="true" outlineLevel="0" collapsed="false">
      <c r="E571" s="510"/>
      <c r="H571" s="177"/>
      <c r="I571" s="177"/>
      <c r="J571" s="177"/>
    </row>
    <row r="572" s="2" customFormat="true" ht="18.75" hidden="false" customHeight="true" outlineLevel="0" collapsed="false">
      <c r="E572" s="510"/>
      <c r="H572" s="177"/>
      <c r="I572" s="177"/>
      <c r="J572" s="177"/>
    </row>
    <row r="573" s="2" customFormat="true" ht="18.75" hidden="false" customHeight="true" outlineLevel="0" collapsed="false">
      <c r="E573" s="510"/>
      <c r="H573" s="177"/>
      <c r="I573" s="177"/>
      <c r="J573" s="177"/>
    </row>
    <row r="574" s="2" customFormat="true" ht="18.75" hidden="false" customHeight="true" outlineLevel="0" collapsed="false">
      <c r="E574" s="510"/>
      <c r="H574" s="177"/>
      <c r="I574" s="177"/>
      <c r="J574" s="177"/>
    </row>
    <row r="575" s="2" customFormat="true" ht="18.75" hidden="false" customHeight="true" outlineLevel="0" collapsed="false">
      <c r="E575" s="510"/>
      <c r="H575" s="177"/>
      <c r="I575" s="177"/>
      <c r="J575" s="177"/>
    </row>
    <row r="576" s="2" customFormat="true" ht="18.75" hidden="false" customHeight="true" outlineLevel="0" collapsed="false">
      <c r="E576" s="510"/>
      <c r="H576" s="177"/>
      <c r="I576" s="177"/>
      <c r="J576" s="177"/>
    </row>
    <row r="577" s="2" customFormat="true" ht="18.75" hidden="false" customHeight="true" outlineLevel="0" collapsed="false">
      <c r="E577" s="510"/>
      <c r="H577" s="177"/>
      <c r="I577" s="177"/>
      <c r="J577" s="177"/>
    </row>
    <row r="578" s="2" customFormat="true" ht="18.75" hidden="false" customHeight="true" outlineLevel="0" collapsed="false">
      <c r="E578" s="510"/>
      <c r="H578" s="177"/>
      <c r="I578" s="177"/>
      <c r="J578" s="177"/>
    </row>
    <row r="579" s="2" customFormat="true" ht="18.75" hidden="false" customHeight="true" outlineLevel="0" collapsed="false">
      <c r="E579" s="510"/>
      <c r="H579" s="177"/>
      <c r="I579" s="177"/>
      <c r="J579" s="177"/>
    </row>
    <row r="580" s="2" customFormat="true" ht="18.75" hidden="false" customHeight="true" outlineLevel="0" collapsed="false">
      <c r="E580" s="510"/>
      <c r="H580" s="177"/>
      <c r="I580" s="177"/>
      <c r="J580" s="177"/>
    </row>
    <row r="581" s="2" customFormat="true" ht="18.75" hidden="false" customHeight="true" outlineLevel="0" collapsed="false">
      <c r="E581" s="510"/>
      <c r="H581" s="177"/>
      <c r="I581" s="177"/>
      <c r="J581" s="177"/>
    </row>
    <row r="582" s="2" customFormat="true" ht="18.75" hidden="false" customHeight="true" outlineLevel="0" collapsed="false">
      <c r="E582" s="510"/>
      <c r="H582" s="177"/>
      <c r="I582" s="177"/>
      <c r="J582" s="177"/>
    </row>
    <row r="583" s="2" customFormat="true" ht="18.75" hidden="false" customHeight="true" outlineLevel="0" collapsed="false">
      <c r="E583" s="510"/>
      <c r="H583" s="177"/>
      <c r="I583" s="177"/>
      <c r="J583" s="177"/>
    </row>
    <row r="584" s="2" customFormat="true" ht="18.75" hidden="false" customHeight="true" outlineLevel="0" collapsed="false">
      <c r="E584" s="510"/>
      <c r="H584" s="177"/>
      <c r="I584" s="177"/>
      <c r="J584" s="177"/>
    </row>
    <row r="585" s="2" customFormat="true" ht="18.75" hidden="false" customHeight="true" outlineLevel="0" collapsed="false">
      <c r="E585" s="510"/>
      <c r="H585" s="177"/>
      <c r="I585" s="177"/>
      <c r="J585" s="177"/>
    </row>
    <row r="586" s="2" customFormat="true" ht="18.75" hidden="false" customHeight="true" outlineLevel="0" collapsed="false">
      <c r="E586" s="510"/>
      <c r="H586" s="177"/>
      <c r="I586" s="177"/>
      <c r="J586" s="177"/>
    </row>
    <row r="587" s="2" customFormat="true" ht="18.75" hidden="false" customHeight="true" outlineLevel="0" collapsed="false">
      <c r="E587" s="510"/>
      <c r="H587" s="177"/>
      <c r="I587" s="177"/>
      <c r="J587" s="177"/>
    </row>
    <row r="588" s="2" customFormat="true" ht="18.75" hidden="false" customHeight="true" outlineLevel="0" collapsed="false">
      <c r="E588" s="510"/>
      <c r="H588" s="177"/>
      <c r="I588" s="177"/>
      <c r="J588" s="177"/>
    </row>
    <row r="589" s="2" customFormat="true" ht="18.75" hidden="false" customHeight="true" outlineLevel="0" collapsed="false">
      <c r="E589" s="510"/>
      <c r="H589" s="177"/>
      <c r="I589" s="177"/>
      <c r="J589" s="177"/>
    </row>
    <row r="590" s="2" customFormat="true" ht="18.75" hidden="false" customHeight="true" outlineLevel="0" collapsed="false">
      <c r="E590" s="510"/>
      <c r="H590" s="177"/>
      <c r="I590" s="177"/>
      <c r="J590" s="177"/>
    </row>
    <row r="591" s="2" customFormat="true" ht="18.75" hidden="false" customHeight="true" outlineLevel="0" collapsed="false">
      <c r="E591" s="510"/>
      <c r="H591" s="177"/>
      <c r="I591" s="177"/>
      <c r="J591" s="177"/>
    </row>
    <row r="592" s="2" customFormat="true" ht="18.75" hidden="false" customHeight="true" outlineLevel="0" collapsed="false">
      <c r="E592" s="510"/>
      <c r="H592" s="177"/>
      <c r="I592" s="177"/>
      <c r="J592" s="177"/>
    </row>
    <row r="593" s="2" customFormat="true" ht="18.75" hidden="false" customHeight="true" outlineLevel="0" collapsed="false">
      <c r="E593" s="510"/>
      <c r="H593" s="177"/>
      <c r="I593" s="177"/>
      <c r="J593" s="177"/>
    </row>
    <row r="594" s="2" customFormat="true" ht="18.75" hidden="false" customHeight="true" outlineLevel="0" collapsed="false">
      <c r="E594" s="510"/>
      <c r="H594" s="177"/>
      <c r="I594" s="177"/>
      <c r="J594" s="177"/>
    </row>
    <row r="595" s="2" customFormat="true" ht="18.75" hidden="false" customHeight="true" outlineLevel="0" collapsed="false">
      <c r="E595" s="510"/>
      <c r="H595" s="177"/>
      <c r="I595" s="177"/>
      <c r="J595" s="177"/>
    </row>
    <row r="596" s="2" customFormat="true" ht="18.75" hidden="false" customHeight="true" outlineLevel="0" collapsed="false">
      <c r="E596" s="510"/>
      <c r="H596" s="177"/>
      <c r="I596" s="177"/>
      <c r="J596" s="177"/>
    </row>
    <row r="597" s="2" customFormat="true" ht="18.75" hidden="false" customHeight="true" outlineLevel="0" collapsed="false">
      <c r="E597" s="510"/>
      <c r="H597" s="177"/>
      <c r="I597" s="177"/>
      <c r="J597" s="177"/>
    </row>
    <row r="598" s="2" customFormat="true" ht="18.75" hidden="false" customHeight="true" outlineLevel="0" collapsed="false">
      <c r="E598" s="510"/>
      <c r="H598" s="177"/>
      <c r="I598" s="177"/>
      <c r="J598" s="177"/>
    </row>
    <row r="599" s="2" customFormat="true" ht="18.75" hidden="false" customHeight="true" outlineLevel="0" collapsed="false">
      <c r="E599" s="510"/>
      <c r="H599" s="177"/>
      <c r="I599" s="177"/>
      <c r="J599" s="177"/>
    </row>
    <row r="600" s="2" customFormat="true" ht="18.75" hidden="false" customHeight="true" outlineLevel="0" collapsed="false">
      <c r="E600" s="510"/>
      <c r="H600" s="177"/>
      <c r="I600" s="177"/>
      <c r="J600" s="177"/>
    </row>
    <row r="601" s="2" customFormat="true" ht="18.75" hidden="false" customHeight="true" outlineLevel="0" collapsed="false">
      <c r="E601" s="510"/>
      <c r="H601" s="177"/>
      <c r="I601" s="177"/>
      <c r="J601" s="177"/>
    </row>
    <row r="602" s="2" customFormat="true" ht="18.75" hidden="false" customHeight="true" outlineLevel="0" collapsed="false">
      <c r="E602" s="510"/>
      <c r="H602" s="177"/>
      <c r="I602" s="177"/>
      <c r="J602" s="177"/>
    </row>
    <row r="603" s="2" customFormat="true" ht="18.75" hidden="false" customHeight="true" outlineLevel="0" collapsed="false">
      <c r="E603" s="510"/>
      <c r="H603" s="177"/>
      <c r="I603" s="177"/>
      <c r="J603" s="177"/>
    </row>
    <row r="604" s="2" customFormat="true" ht="18.75" hidden="false" customHeight="true" outlineLevel="0" collapsed="false">
      <c r="E604" s="510"/>
      <c r="H604" s="177"/>
      <c r="I604" s="177"/>
      <c r="J604" s="177"/>
    </row>
    <row r="605" s="2" customFormat="true" ht="18.75" hidden="false" customHeight="true" outlineLevel="0" collapsed="false">
      <c r="E605" s="510"/>
      <c r="H605" s="177"/>
      <c r="I605" s="177"/>
      <c r="J605" s="177"/>
    </row>
    <row r="606" s="2" customFormat="true" ht="18.75" hidden="false" customHeight="true" outlineLevel="0" collapsed="false">
      <c r="E606" s="510"/>
      <c r="H606" s="177"/>
      <c r="I606" s="177"/>
      <c r="J606" s="177"/>
    </row>
    <row r="607" s="2" customFormat="true" ht="18.75" hidden="false" customHeight="true" outlineLevel="0" collapsed="false">
      <c r="E607" s="510"/>
      <c r="H607" s="177"/>
      <c r="I607" s="177"/>
      <c r="J607" s="177"/>
    </row>
    <row r="608" s="2" customFormat="true" ht="18.75" hidden="false" customHeight="true" outlineLevel="0" collapsed="false">
      <c r="E608" s="510"/>
      <c r="H608" s="177"/>
      <c r="I608" s="177"/>
      <c r="J608" s="177"/>
    </row>
    <row r="609" s="2" customFormat="true" ht="18.75" hidden="false" customHeight="true" outlineLevel="0" collapsed="false">
      <c r="E609" s="510"/>
      <c r="H609" s="177"/>
      <c r="I609" s="177"/>
      <c r="J609" s="177"/>
    </row>
    <row r="610" s="2" customFormat="true" ht="18.75" hidden="false" customHeight="true" outlineLevel="0" collapsed="false">
      <c r="E610" s="510"/>
      <c r="H610" s="177"/>
      <c r="I610" s="177"/>
      <c r="J610" s="177"/>
    </row>
    <row r="611" s="2" customFormat="true" ht="18.75" hidden="false" customHeight="true" outlineLevel="0" collapsed="false">
      <c r="E611" s="510"/>
      <c r="H611" s="177"/>
      <c r="I611" s="177"/>
      <c r="J611" s="177"/>
    </row>
    <row r="612" s="2" customFormat="true" ht="18.75" hidden="false" customHeight="true" outlineLevel="0" collapsed="false">
      <c r="E612" s="510"/>
      <c r="H612" s="177"/>
      <c r="I612" s="177"/>
      <c r="J612" s="177"/>
    </row>
    <row r="613" s="2" customFormat="true" ht="18.75" hidden="false" customHeight="true" outlineLevel="0" collapsed="false">
      <c r="E613" s="510"/>
      <c r="H613" s="177"/>
      <c r="I613" s="177"/>
      <c r="J613" s="177"/>
    </row>
    <row r="614" s="2" customFormat="true" ht="18.75" hidden="false" customHeight="true" outlineLevel="0" collapsed="false">
      <c r="E614" s="510"/>
      <c r="H614" s="177"/>
      <c r="I614" s="177"/>
      <c r="J614" s="177"/>
    </row>
    <row r="615" s="2" customFormat="true" ht="18.75" hidden="false" customHeight="true" outlineLevel="0" collapsed="false">
      <c r="E615" s="510"/>
      <c r="H615" s="177"/>
      <c r="I615" s="177"/>
      <c r="J615" s="177"/>
    </row>
    <row r="616" s="2" customFormat="true" ht="18.75" hidden="false" customHeight="true" outlineLevel="0" collapsed="false">
      <c r="E616" s="510"/>
      <c r="H616" s="177"/>
      <c r="I616" s="177"/>
      <c r="J616" s="177"/>
    </row>
    <row r="617" s="2" customFormat="true" ht="18.75" hidden="false" customHeight="true" outlineLevel="0" collapsed="false">
      <c r="E617" s="510"/>
      <c r="H617" s="177"/>
      <c r="I617" s="177"/>
      <c r="J617" s="177"/>
    </row>
    <row r="618" s="2" customFormat="true" ht="18.75" hidden="false" customHeight="true" outlineLevel="0" collapsed="false">
      <c r="E618" s="510"/>
      <c r="H618" s="177"/>
      <c r="I618" s="177"/>
      <c r="J618" s="177"/>
    </row>
    <row r="619" s="2" customFormat="true" ht="18.75" hidden="false" customHeight="true" outlineLevel="0" collapsed="false">
      <c r="E619" s="510"/>
      <c r="H619" s="177"/>
      <c r="I619" s="177"/>
      <c r="J619" s="177"/>
    </row>
    <row r="620" s="2" customFormat="true" ht="18.75" hidden="false" customHeight="true" outlineLevel="0" collapsed="false">
      <c r="E620" s="510"/>
      <c r="H620" s="177"/>
      <c r="I620" s="177"/>
      <c r="J620" s="177"/>
    </row>
    <row r="621" s="2" customFormat="true" ht="18.75" hidden="false" customHeight="true" outlineLevel="0" collapsed="false">
      <c r="E621" s="510"/>
      <c r="H621" s="177"/>
      <c r="I621" s="177"/>
      <c r="J621" s="177"/>
    </row>
    <row r="622" s="2" customFormat="true" ht="18.75" hidden="false" customHeight="true" outlineLevel="0" collapsed="false">
      <c r="E622" s="510"/>
      <c r="H622" s="177"/>
      <c r="I622" s="177"/>
      <c r="J622" s="177"/>
    </row>
    <row r="623" s="2" customFormat="true" ht="18.75" hidden="false" customHeight="true" outlineLevel="0" collapsed="false">
      <c r="E623" s="510"/>
      <c r="H623" s="177"/>
      <c r="I623" s="177"/>
      <c r="J623" s="177"/>
    </row>
    <row r="624" s="2" customFormat="true" ht="18.75" hidden="false" customHeight="true" outlineLevel="0" collapsed="false">
      <c r="E624" s="510"/>
      <c r="H624" s="177"/>
      <c r="I624" s="177"/>
      <c r="J624" s="177"/>
    </row>
    <row r="625" s="2" customFormat="true" ht="18.75" hidden="false" customHeight="true" outlineLevel="0" collapsed="false">
      <c r="E625" s="510"/>
      <c r="H625" s="177"/>
      <c r="I625" s="177"/>
      <c r="J625" s="177"/>
    </row>
    <row r="626" s="2" customFormat="true" ht="18.75" hidden="false" customHeight="true" outlineLevel="0" collapsed="false">
      <c r="E626" s="510"/>
      <c r="H626" s="177"/>
      <c r="I626" s="177"/>
      <c r="J626" s="177"/>
    </row>
    <row r="627" s="2" customFormat="true" ht="18.75" hidden="false" customHeight="true" outlineLevel="0" collapsed="false">
      <c r="E627" s="510"/>
      <c r="H627" s="177"/>
      <c r="I627" s="177"/>
      <c r="J627" s="177"/>
    </row>
    <row r="628" s="2" customFormat="true" ht="18.75" hidden="false" customHeight="true" outlineLevel="0" collapsed="false">
      <c r="E628" s="510"/>
      <c r="H628" s="177"/>
      <c r="I628" s="177"/>
      <c r="J628" s="177"/>
    </row>
    <row r="629" s="2" customFormat="true" ht="18.75" hidden="false" customHeight="true" outlineLevel="0" collapsed="false">
      <c r="E629" s="510"/>
      <c r="H629" s="177"/>
      <c r="I629" s="177"/>
      <c r="J629" s="177"/>
    </row>
    <row r="630" s="2" customFormat="true" ht="18.75" hidden="false" customHeight="true" outlineLevel="0" collapsed="false">
      <c r="E630" s="510"/>
      <c r="H630" s="177"/>
      <c r="I630" s="177"/>
      <c r="J630" s="177"/>
    </row>
    <row r="631" s="2" customFormat="true" ht="18.75" hidden="false" customHeight="true" outlineLevel="0" collapsed="false">
      <c r="E631" s="510"/>
      <c r="H631" s="177"/>
      <c r="I631" s="177"/>
      <c r="J631" s="177"/>
    </row>
    <row r="632" s="2" customFormat="true" ht="18.75" hidden="false" customHeight="true" outlineLevel="0" collapsed="false">
      <c r="E632" s="510"/>
      <c r="H632" s="177"/>
      <c r="I632" s="177"/>
      <c r="J632" s="177"/>
    </row>
    <row r="633" s="2" customFormat="true" ht="18.75" hidden="false" customHeight="true" outlineLevel="0" collapsed="false">
      <c r="E633" s="510"/>
      <c r="H633" s="177"/>
      <c r="I633" s="177"/>
      <c r="J633" s="177"/>
    </row>
    <row r="634" s="2" customFormat="true" ht="18.75" hidden="false" customHeight="true" outlineLevel="0" collapsed="false">
      <c r="E634" s="510"/>
      <c r="H634" s="177"/>
      <c r="I634" s="177"/>
      <c r="J634" s="177"/>
    </row>
    <row r="635" s="2" customFormat="true" ht="18.75" hidden="false" customHeight="true" outlineLevel="0" collapsed="false">
      <c r="E635" s="510"/>
      <c r="H635" s="177"/>
      <c r="I635" s="177"/>
      <c r="J635" s="177"/>
    </row>
    <row r="636" s="2" customFormat="true" ht="18.75" hidden="false" customHeight="true" outlineLevel="0" collapsed="false">
      <c r="E636" s="510"/>
      <c r="H636" s="177"/>
      <c r="I636" s="177"/>
      <c r="J636" s="177"/>
    </row>
    <row r="637" s="2" customFormat="true" ht="18.75" hidden="false" customHeight="true" outlineLevel="0" collapsed="false">
      <c r="E637" s="510"/>
      <c r="H637" s="177"/>
      <c r="I637" s="177"/>
      <c r="J637" s="177"/>
    </row>
    <row r="638" s="2" customFormat="true" ht="18.75" hidden="false" customHeight="true" outlineLevel="0" collapsed="false">
      <c r="E638" s="510"/>
      <c r="H638" s="177"/>
      <c r="I638" s="177"/>
      <c r="J638" s="177"/>
    </row>
    <row r="639" s="2" customFormat="true" ht="18.75" hidden="false" customHeight="true" outlineLevel="0" collapsed="false">
      <c r="E639" s="510"/>
      <c r="H639" s="177"/>
      <c r="I639" s="177"/>
      <c r="J639" s="177"/>
    </row>
    <row r="640" s="2" customFormat="true" ht="18.75" hidden="false" customHeight="true" outlineLevel="0" collapsed="false">
      <c r="E640" s="510"/>
      <c r="H640" s="177"/>
      <c r="I640" s="177"/>
      <c r="J640" s="177"/>
    </row>
    <row r="641" s="2" customFormat="true" ht="18.75" hidden="false" customHeight="true" outlineLevel="0" collapsed="false">
      <c r="E641" s="510"/>
      <c r="H641" s="177"/>
      <c r="I641" s="177"/>
      <c r="J641" s="177"/>
    </row>
    <row r="642" s="2" customFormat="true" ht="18.75" hidden="false" customHeight="true" outlineLevel="0" collapsed="false">
      <c r="E642" s="510"/>
      <c r="H642" s="177"/>
      <c r="I642" s="177"/>
      <c r="J642" s="177"/>
    </row>
    <row r="643" s="2" customFormat="true" ht="18.75" hidden="false" customHeight="true" outlineLevel="0" collapsed="false">
      <c r="E643" s="510"/>
      <c r="H643" s="177"/>
      <c r="I643" s="177"/>
      <c r="J643" s="177"/>
    </row>
    <row r="644" s="2" customFormat="true" ht="18.75" hidden="false" customHeight="true" outlineLevel="0" collapsed="false">
      <c r="E644" s="510"/>
      <c r="H644" s="177"/>
      <c r="I644" s="177"/>
      <c r="J644" s="177"/>
    </row>
    <row r="645" s="2" customFormat="true" ht="18.75" hidden="false" customHeight="true" outlineLevel="0" collapsed="false">
      <c r="E645" s="510"/>
      <c r="H645" s="177"/>
      <c r="I645" s="177"/>
      <c r="J645" s="177"/>
    </row>
    <row r="646" s="2" customFormat="true" ht="18.75" hidden="false" customHeight="true" outlineLevel="0" collapsed="false">
      <c r="E646" s="510"/>
      <c r="H646" s="177"/>
      <c r="I646" s="177"/>
      <c r="J646" s="177"/>
    </row>
    <row r="647" s="2" customFormat="true" ht="18.75" hidden="false" customHeight="true" outlineLevel="0" collapsed="false">
      <c r="E647" s="510"/>
      <c r="H647" s="177"/>
      <c r="I647" s="177"/>
      <c r="J647" s="177"/>
    </row>
    <row r="648" s="2" customFormat="true" ht="18.75" hidden="false" customHeight="true" outlineLevel="0" collapsed="false">
      <c r="E648" s="510"/>
      <c r="H648" s="177"/>
      <c r="I648" s="177"/>
      <c r="J648" s="177"/>
    </row>
    <row r="649" s="2" customFormat="true" ht="18.75" hidden="false" customHeight="true" outlineLevel="0" collapsed="false">
      <c r="E649" s="510"/>
      <c r="H649" s="177"/>
      <c r="I649" s="177"/>
      <c r="J649" s="177"/>
    </row>
    <row r="650" s="2" customFormat="true" ht="18.75" hidden="false" customHeight="true" outlineLevel="0" collapsed="false">
      <c r="E650" s="510"/>
      <c r="H650" s="177"/>
      <c r="I650" s="177"/>
      <c r="J650" s="177"/>
    </row>
    <row r="651" s="2" customFormat="true" ht="18.75" hidden="false" customHeight="true" outlineLevel="0" collapsed="false">
      <c r="E651" s="510"/>
      <c r="H651" s="177"/>
      <c r="I651" s="177"/>
      <c r="J651" s="177"/>
    </row>
    <row r="652" s="2" customFormat="true" ht="18.75" hidden="false" customHeight="true" outlineLevel="0" collapsed="false">
      <c r="E652" s="510"/>
      <c r="H652" s="177"/>
      <c r="I652" s="177"/>
      <c r="J652" s="177"/>
    </row>
    <row r="653" s="2" customFormat="true" ht="18.75" hidden="false" customHeight="true" outlineLevel="0" collapsed="false">
      <c r="E653" s="510"/>
      <c r="H653" s="177"/>
      <c r="I653" s="177"/>
      <c r="J653" s="177"/>
    </row>
    <row r="654" s="2" customFormat="true" ht="18.75" hidden="false" customHeight="true" outlineLevel="0" collapsed="false">
      <c r="E654" s="510"/>
      <c r="H654" s="177"/>
      <c r="I654" s="177"/>
      <c r="J654" s="177"/>
    </row>
    <row r="655" s="2" customFormat="true" ht="18.75" hidden="false" customHeight="true" outlineLevel="0" collapsed="false">
      <c r="E655" s="510"/>
      <c r="H655" s="177"/>
      <c r="I655" s="177"/>
      <c r="J655" s="177"/>
    </row>
    <row r="656" s="2" customFormat="true" ht="18.75" hidden="false" customHeight="true" outlineLevel="0" collapsed="false">
      <c r="E656" s="510"/>
      <c r="H656" s="177"/>
      <c r="I656" s="177"/>
      <c r="J656" s="177"/>
    </row>
    <row r="657" s="2" customFormat="true" ht="18.75" hidden="false" customHeight="true" outlineLevel="0" collapsed="false">
      <c r="E657" s="510"/>
      <c r="H657" s="177"/>
      <c r="I657" s="177"/>
      <c r="J657" s="177"/>
    </row>
    <row r="658" s="2" customFormat="true" ht="18.75" hidden="false" customHeight="true" outlineLevel="0" collapsed="false">
      <c r="E658" s="510"/>
      <c r="H658" s="177"/>
      <c r="I658" s="177"/>
      <c r="J658" s="177"/>
    </row>
    <row r="659" s="2" customFormat="true" ht="18.75" hidden="false" customHeight="true" outlineLevel="0" collapsed="false">
      <c r="E659" s="510"/>
      <c r="H659" s="177"/>
      <c r="I659" s="177"/>
      <c r="J659" s="177"/>
    </row>
    <row r="660" s="2" customFormat="true" ht="18.75" hidden="false" customHeight="true" outlineLevel="0" collapsed="false">
      <c r="E660" s="510"/>
      <c r="H660" s="177"/>
      <c r="I660" s="177"/>
      <c r="J660" s="177"/>
    </row>
    <row r="661" s="2" customFormat="true" ht="18.75" hidden="false" customHeight="true" outlineLevel="0" collapsed="false">
      <c r="E661" s="510"/>
      <c r="H661" s="177"/>
      <c r="I661" s="177"/>
      <c r="J661" s="177"/>
    </row>
    <row r="662" s="2" customFormat="true" ht="18.75" hidden="false" customHeight="true" outlineLevel="0" collapsed="false">
      <c r="E662" s="510"/>
      <c r="H662" s="177"/>
      <c r="I662" s="177"/>
      <c r="J662" s="177"/>
    </row>
    <row r="663" s="2" customFormat="true" ht="18.75" hidden="false" customHeight="true" outlineLevel="0" collapsed="false">
      <c r="E663" s="510"/>
      <c r="H663" s="177"/>
      <c r="I663" s="177"/>
      <c r="J663" s="177"/>
    </row>
    <row r="664" s="2" customFormat="true" ht="18.75" hidden="false" customHeight="true" outlineLevel="0" collapsed="false">
      <c r="E664" s="510"/>
      <c r="H664" s="177"/>
      <c r="I664" s="177"/>
      <c r="J664" s="177"/>
    </row>
    <row r="665" s="2" customFormat="true" ht="18.75" hidden="false" customHeight="true" outlineLevel="0" collapsed="false">
      <c r="E665" s="510"/>
      <c r="H665" s="177"/>
      <c r="I665" s="177"/>
      <c r="J665" s="177"/>
    </row>
    <row r="666" s="2" customFormat="true" ht="18.75" hidden="false" customHeight="true" outlineLevel="0" collapsed="false">
      <c r="E666" s="510"/>
      <c r="H666" s="177"/>
      <c r="I666" s="177"/>
      <c r="J666" s="177"/>
    </row>
    <row r="667" s="2" customFormat="true" ht="18.75" hidden="false" customHeight="true" outlineLevel="0" collapsed="false">
      <c r="E667" s="510"/>
      <c r="H667" s="177"/>
      <c r="I667" s="177"/>
      <c r="J667" s="177"/>
    </row>
    <row r="668" s="2" customFormat="true" ht="18.75" hidden="false" customHeight="true" outlineLevel="0" collapsed="false">
      <c r="E668" s="510"/>
      <c r="H668" s="177"/>
      <c r="I668" s="177"/>
      <c r="J668" s="177"/>
    </row>
    <row r="669" s="2" customFormat="true" ht="18.75" hidden="false" customHeight="true" outlineLevel="0" collapsed="false">
      <c r="E669" s="510"/>
      <c r="H669" s="177"/>
      <c r="I669" s="177"/>
      <c r="J669" s="177"/>
    </row>
    <row r="670" s="2" customFormat="true" ht="18.75" hidden="false" customHeight="true" outlineLevel="0" collapsed="false">
      <c r="E670" s="510"/>
      <c r="H670" s="177"/>
      <c r="I670" s="177"/>
      <c r="J670" s="177"/>
    </row>
    <row r="671" s="2" customFormat="true" ht="18.75" hidden="false" customHeight="true" outlineLevel="0" collapsed="false">
      <c r="E671" s="510"/>
      <c r="H671" s="177"/>
      <c r="I671" s="177"/>
      <c r="J671" s="177"/>
    </row>
    <row r="672" s="2" customFormat="true" ht="18.75" hidden="false" customHeight="true" outlineLevel="0" collapsed="false">
      <c r="E672" s="510"/>
      <c r="H672" s="177"/>
      <c r="I672" s="177"/>
      <c r="J672" s="177"/>
    </row>
    <row r="673" s="2" customFormat="true" ht="18.75" hidden="false" customHeight="true" outlineLevel="0" collapsed="false">
      <c r="E673" s="510"/>
      <c r="H673" s="177"/>
      <c r="I673" s="177"/>
      <c r="J673" s="177"/>
    </row>
    <row r="674" s="2" customFormat="true" ht="18.75" hidden="false" customHeight="true" outlineLevel="0" collapsed="false">
      <c r="E674" s="510"/>
      <c r="H674" s="177"/>
      <c r="I674" s="177"/>
      <c r="J674" s="177"/>
    </row>
    <row r="675" s="2" customFormat="true" ht="18.75" hidden="false" customHeight="true" outlineLevel="0" collapsed="false">
      <c r="E675" s="510"/>
      <c r="H675" s="177"/>
      <c r="I675" s="177"/>
      <c r="J675" s="177"/>
    </row>
    <row r="676" s="2" customFormat="true" ht="18.75" hidden="false" customHeight="true" outlineLevel="0" collapsed="false">
      <c r="E676" s="510"/>
      <c r="H676" s="177"/>
      <c r="I676" s="177"/>
      <c r="J676" s="177"/>
    </row>
    <row r="677" s="2" customFormat="true" ht="18.75" hidden="false" customHeight="true" outlineLevel="0" collapsed="false">
      <c r="E677" s="510"/>
      <c r="H677" s="177"/>
      <c r="I677" s="177"/>
      <c r="J677" s="177"/>
    </row>
    <row r="678" s="2" customFormat="true" ht="18.75" hidden="false" customHeight="true" outlineLevel="0" collapsed="false">
      <c r="E678" s="510"/>
      <c r="H678" s="177"/>
      <c r="I678" s="177"/>
      <c r="J678" s="177"/>
    </row>
    <row r="679" s="2" customFormat="true" ht="18.75" hidden="false" customHeight="true" outlineLevel="0" collapsed="false">
      <c r="E679" s="510"/>
      <c r="H679" s="177"/>
      <c r="I679" s="177"/>
      <c r="J679" s="177"/>
    </row>
    <row r="680" s="2" customFormat="true" ht="18.75" hidden="false" customHeight="true" outlineLevel="0" collapsed="false">
      <c r="E680" s="510"/>
      <c r="H680" s="177"/>
      <c r="I680" s="177"/>
      <c r="J680" s="177"/>
    </row>
    <row r="681" s="2" customFormat="true" ht="18.75" hidden="false" customHeight="true" outlineLevel="0" collapsed="false">
      <c r="E681" s="510"/>
      <c r="H681" s="177"/>
      <c r="I681" s="177"/>
      <c r="J681" s="177"/>
    </row>
    <row r="682" s="2" customFormat="true" ht="18.75" hidden="false" customHeight="true" outlineLevel="0" collapsed="false">
      <c r="E682" s="510"/>
      <c r="H682" s="177"/>
      <c r="I682" s="177"/>
      <c r="J682" s="177"/>
    </row>
    <row r="683" s="2" customFormat="true" ht="18.75" hidden="false" customHeight="true" outlineLevel="0" collapsed="false">
      <c r="E683" s="510"/>
      <c r="H683" s="177"/>
      <c r="I683" s="177"/>
      <c r="J683" s="177"/>
    </row>
    <row r="684" s="2" customFormat="true" ht="18.75" hidden="false" customHeight="true" outlineLevel="0" collapsed="false">
      <c r="E684" s="510"/>
      <c r="H684" s="177"/>
      <c r="I684" s="177"/>
      <c r="J684" s="177"/>
    </row>
    <row r="685" s="2" customFormat="true" ht="18.75" hidden="false" customHeight="true" outlineLevel="0" collapsed="false">
      <c r="E685" s="510"/>
      <c r="H685" s="177"/>
      <c r="I685" s="177"/>
      <c r="J685" s="177"/>
    </row>
    <row r="686" s="2" customFormat="true" ht="18.75" hidden="false" customHeight="true" outlineLevel="0" collapsed="false">
      <c r="E686" s="510"/>
      <c r="H686" s="177"/>
      <c r="I686" s="177"/>
      <c r="J686" s="177"/>
    </row>
    <row r="687" s="2" customFormat="true" ht="18.75" hidden="false" customHeight="true" outlineLevel="0" collapsed="false">
      <c r="E687" s="510"/>
      <c r="H687" s="177"/>
      <c r="I687" s="177"/>
      <c r="J687" s="177"/>
    </row>
    <row r="688" s="2" customFormat="true" ht="18.75" hidden="false" customHeight="true" outlineLevel="0" collapsed="false">
      <c r="E688" s="510"/>
      <c r="H688" s="177"/>
      <c r="I688" s="177"/>
      <c r="J688" s="177"/>
    </row>
    <row r="689" s="2" customFormat="true" ht="18.75" hidden="false" customHeight="true" outlineLevel="0" collapsed="false">
      <c r="E689" s="510"/>
      <c r="H689" s="177"/>
      <c r="I689" s="177"/>
      <c r="J689" s="177"/>
    </row>
    <row r="690" s="2" customFormat="true" ht="18.75" hidden="false" customHeight="true" outlineLevel="0" collapsed="false">
      <c r="E690" s="510"/>
      <c r="H690" s="177"/>
      <c r="I690" s="177"/>
      <c r="J690" s="177"/>
    </row>
    <row r="691" s="2" customFormat="true" ht="18.75" hidden="false" customHeight="true" outlineLevel="0" collapsed="false">
      <c r="E691" s="510"/>
      <c r="H691" s="177"/>
      <c r="I691" s="177"/>
      <c r="J691" s="177"/>
    </row>
    <row r="692" s="2" customFormat="true" ht="18.75" hidden="false" customHeight="true" outlineLevel="0" collapsed="false">
      <c r="E692" s="510"/>
      <c r="H692" s="177"/>
      <c r="I692" s="177"/>
      <c r="J692" s="177"/>
    </row>
    <row r="693" s="2" customFormat="true" ht="18.75" hidden="false" customHeight="true" outlineLevel="0" collapsed="false">
      <c r="E693" s="510"/>
      <c r="H693" s="177"/>
      <c r="I693" s="177"/>
      <c r="J693" s="177"/>
    </row>
    <row r="694" s="2" customFormat="true" ht="18.75" hidden="false" customHeight="true" outlineLevel="0" collapsed="false">
      <c r="E694" s="510"/>
      <c r="H694" s="177"/>
      <c r="I694" s="177"/>
      <c r="J694" s="177"/>
    </row>
    <row r="695" s="2" customFormat="true" ht="18.75" hidden="false" customHeight="true" outlineLevel="0" collapsed="false">
      <c r="E695" s="510"/>
      <c r="H695" s="177"/>
      <c r="I695" s="177"/>
      <c r="J695" s="177"/>
    </row>
    <row r="696" s="2" customFormat="true" ht="18.75" hidden="false" customHeight="true" outlineLevel="0" collapsed="false">
      <c r="E696" s="510"/>
      <c r="H696" s="177"/>
      <c r="I696" s="177"/>
      <c r="J696" s="177"/>
    </row>
    <row r="697" s="2" customFormat="true" ht="18.75" hidden="false" customHeight="true" outlineLevel="0" collapsed="false">
      <c r="E697" s="510"/>
      <c r="H697" s="177"/>
      <c r="I697" s="177"/>
      <c r="J697" s="177"/>
    </row>
    <row r="698" s="2" customFormat="true" ht="18.75" hidden="false" customHeight="true" outlineLevel="0" collapsed="false">
      <c r="E698" s="510"/>
      <c r="H698" s="177"/>
      <c r="I698" s="177"/>
      <c r="J698" s="177"/>
    </row>
    <row r="699" s="2" customFormat="true" ht="18.75" hidden="false" customHeight="true" outlineLevel="0" collapsed="false">
      <c r="E699" s="510"/>
      <c r="H699" s="177"/>
      <c r="I699" s="177"/>
      <c r="J699" s="177"/>
    </row>
    <row r="700" s="2" customFormat="true" ht="18.75" hidden="false" customHeight="true" outlineLevel="0" collapsed="false">
      <c r="E700" s="510"/>
      <c r="H700" s="177"/>
      <c r="I700" s="177"/>
      <c r="J700" s="177"/>
    </row>
    <row r="701" s="2" customFormat="true" ht="18.75" hidden="false" customHeight="true" outlineLevel="0" collapsed="false">
      <c r="E701" s="510"/>
      <c r="H701" s="177"/>
      <c r="I701" s="177"/>
      <c r="J701" s="177"/>
    </row>
    <row r="702" s="2" customFormat="true" ht="18.75" hidden="false" customHeight="true" outlineLevel="0" collapsed="false">
      <c r="E702" s="510"/>
      <c r="H702" s="177"/>
      <c r="I702" s="177"/>
      <c r="J702" s="177"/>
    </row>
    <row r="703" s="2" customFormat="true" ht="18.75" hidden="false" customHeight="true" outlineLevel="0" collapsed="false">
      <c r="E703" s="510"/>
      <c r="H703" s="177"/>
      <c r="I703" s="177"/>
      <c r="J703" s="177"/>
    </row>
    <row r="704" s="2" customFormat="true" ht="18.75" hidden="false" customHeight="true" outlineLevel="0" collapsed="false">
      <c r="E704" s="510"/>
      <c r="H704" s="177"/>
      <c r="I704" s="177"/>
      <c r="J704" s="177"/>
    </row>
    <row r="705" s="2" customFormat="true" ht="18.75" hidden="false" customHeight="true" outlineLevel="0" collapsed="false">
      <c r="E705" s="510"/>
      <c r="H705" s="177"/>
      <c r="I705" s="177"/>
      <c r="J705" s="177"/>
    </row>
    <row r="706" s="2" customFormat="true" ht="18.75" hidden="false" customHeight="true" outlineLevel="0" collapsed="false">
      <c r="E706" s="510"/>
      <c r="H706" s="177"/>
      <c r="I706" s="177"/>
      <c r="J706" s="177"/>
    </row>
    <row r="707" s="2" customFormat="true" ht="18.75" hidden="false" customHeight="true" outlineLevel="0" collapsed="false">
      <c r="E707" s="510"/>
      <c r="H707" s="177"/>
      <c r="I707" s="177"/>
      <c r="J707" s="177"/>
    </row>
    <row r="708" s="2" customFormat="true" ht="18.75" hidden="false" customHeight="true" outlineLevel="0" collapsed="false">
      <c r="E708" s="510"/>
      <c r="H708" s="177"/>
      <c r="I708" s="177"/>
      <c r="J708" s="177"/>
    </row>
    <row r="709" s="2" customFormat="true" ht="18.75" hidden="false" customHeight="true" outlineLevel="0" collapsed="false">
      <c r="E709" s="510"/>
      <c r="H709" s="177"/>
      <c r="I709" s="177"/>
      <c r="J709" s="177"/>
    </row>
    <row r="710" s="2" customFormat="true" ht="18.75" hidden="false" customHeight="true" outlineLevel="0" collapsed="false">
      <c r="E710" s="510"/>
      <c r="H710" s="177"/>
      <c r="I710" s="177"/>
      <c r="J710" s="177"/>
    </row>
    <row r="711" s="2" customFormat="true" ht="18.75" hidden="false" customHeight="true" outlineLevel="0" collapsed="false">
      <c r="E711" s="510"/>
      <c r="H711" s="177"/>
      <c r="I711" s="177"/>
      <c r="J711" s="177"/>
    </row>
    <row r="712" s="2" customFormat="true" ht="18.75" hidden="false" customHeight="true" outlineLevel="0" collapsed="false">
      <c r="E712" s="510"/>
      <c r="H712" s="177"/>
      <c r="I712" s="177"/>
      <c r="J712" s="177"/>
    </row>
    <row r="713" s="2" customFormat="true" ht="18.75" hidden="false" customHeight="true" outlineLevel="0" collapsed="false">
      <c r="E713" s="510"/>
      <c r="H713" s="177"/>
      <c r="I713" s="177"/>
      <c r="J713" s="177"/>
    </row>
    <row r="714" s="2" customFormat="true" ht="18.75" hidden="false" customHeight="true" outlineLevel="0" collapsed="false">
      <c r="E714" s="510"/>
      <c r="H714" s="177"/>
      <c r="I714" s="177"/>
      <c r="J714" s="177"/>
    </row>
    <row r="715" s="2" customFormat="true" ht="18.75" hidden="false" customHeight="true" outlineLevel="0" collapsed="false">
      <c r="E715" s="510"/>
      <c r="H715" s="177"/>
      <c r="I715" s="177"/>
      <c r="J715" s="177"/>
    </row>
    <row r="716" s="2" customFormat="true" ht="18.75" hidden="false" customHeight="true" outlineLevel="0" collapsed="false">
      <c r="E716" s="510"/>
      <c r="H716" s="177"/>
      <c r="I716" s="177"/>
      <c r="J716" s="177"/>
    </row>
    <row r="717" s="2" customFormat="true" ht="18.75" hidden="false" customHeight="true" outlineLevel="0" collapsed="false">
      <c r="E717" s="510"/>
      <c r="H717" s="177"/>
      <c r="I717" s="177"/>
      <c r="J717" s="177"/>
    </row>
    <row r="718" s="2" customFormat="true" ht="18.75" hidden="false" customHeight="true" outlineLevel="0" collapsed="false">
      <c r="E718" s="510"/>
      <c r="H718" s="177"/>
      <c r="I718" s="177"/>
      <c r="J718" s="177"/>
    </row>
    <row r="719" s="2" customFormat="true" ht="18.75" hidden="false" customHeight="true" outlineLevel="0" collapsed="false">
      <c r="E719" s="510"/>
      <c r="H719" s="177"/>
      <c r="I719" s="177"/>
      <c r="J719" s="177"/>
    </row>
    <row r="720" s="2" customFormat="true" ht="18.75" hidden="false" customHeight="true" outlineLevel="0" collapsed="false">
      <c r="E720" s="510"/>
      <c r="H720" s="177"/>
      <c r="I720" s="177"/>
      <c r="J720" s="177"/>
    </row>
    <row r="721" s="2" customFormat="true" ht="18.75" hidden="false" customHeight="true" outlineLevel="0" collapsed="false">
      <c r="E721" s="510"/>
      <c r="H721" s="177"/>
      <c r="I721" s="177"/>
      <c r="J721" s="177"/>
    </row>
    <row r="722" s="2" customFormat="true" ht="18.75" hidden="false" customHeight="true" outlineLevel="0" collapsed="false">
      <c r="E722" s="510"/>
      <c r="H722" s="177"/>
      <c r="I722" s="177"/>
      <c r="J722" s="177"/>
    </row>
    <row r="723" s="2" customFormat="true" ht="18.75" hidden="false" customHeight="true" outlineLevel="0" collapsed="false">
      <c r="E723" s="510"/>
      <c r="H723" s="177"/>
      <c r="I723" s="177"/>
      <c r="J723" s="177"/>
    </row>
    <row r="724" s="2" customFormat="true" ht="18.75" hidden="false" customHeight="true" outlineLevel="0" collapsed="false">
      <c r="E724" s="510"/>
      <c r="H724" s="177"/>
      <c r="I724" s="177"/>
      <c r="J724" s="177"/>
    </row>
    <row r="725" s="2" customFormat="true" ht="18.75" hidden="false" customHeight="true" outlineLevel="0" collapsed="false">
      <c r="E725" s="510"/>
      <c r="H725" s="177"/>
      <c r="I725" s="177"/>
      <c r="J725" s="177"/>
    </row>
    <row r="726" s="2" customFormat="true" ht="18.75" hidden="false" customHeight="true" outlineLevel="0" collapsed="false">
      <c r="E726" s="510"/>
      <c r="H726" s="177"/>
      <c r="I726" s="177"/>
      <c r="J726" s="177"/>
    </row>
    <row r="727" s="2" customFormat="true" ht="18.75" hidden="false" customHeight="true" outlineLevel="0" collapsed="false">
      <c r="E727" s="510"/>
      <c r="H727" s="177"/>
      <c r="I727" s="177"/>
      <c r="J727" s="177"/>
    </row>
    <row r="728" s="2" customFormat="true" ht="18.75" hidden="false" customHeight="true" outlineLevel="0" collapsed="false">
      <c r="E728" s="510"/>
      <c r="H728" s="177"/>
      <c r="I728" s="177"/>
      <c r="J728" s="177"/>
    </row>
    <row r="729" s="2" customFormat="true" ht="18.75" hidden="false" customHeight="true" outlineLevel="0" collapsed="false">
      <c r="E729" s="510"/>
      <c r="H729" s="177"/>
      <c r="I729" s="177"/>
      <c r="J729" s="177"/>
    </row>
    <row r="730" s="2" customFormat="true" ht="18.75" hidden="false" customHeight="true" outlineLevel="0" collapsed="false">
      <c r="E730" s="510"/>
      <c r="H730" s="177"/>
      <c r="I730" s="177"/>
      <c r="J730" s="177"/>
    </row>
    <row r="731" s="2" customFormat="true" ht="18.75" hidden="false" customHeight="true" outlineLevel="0" collapsed="false">
      <c r="E731" s="510"/>
      <c r="H731" s="177"/>
      <c r="I731" s="177"/>
      <c r="J731" s="177"/>
    </row>
    <row r="732" s="2" customFormat="true" ht="18.75" hidden="false" customHeight="true" outlineLevel="0" collapsed="false">
      <c r="E732" s="510"/>
      <c r="H732" s="177"/>
      <c r="I732" s="177"/>
      <c r="J732" s="177"/>
    </row>
    <row r="733" s="2" customFormat="true" ht="18.75" hidden="false" customHeight="true" outlineLevel="0" collapsed="false">
      <c r="E733" s="510"/>
      <c r="H733" s="177"/>
      <c r="I733" s="177"/>
      <c r="J733" s="177"/>
    </row>
    <row r="734" s="2" customFormat="true" ht="18.75" hidden="false" customHeight="true" outlineLevel="0" collapsed="false">
      <c r="E734" s="510"/>
      <c r="H734" s="177"/>
      <c r="I734" s="177"/>
      <c r="J734" s="177"/>
    </row>
    <row r="735" s="2" customFormat="true" ht="18.75" hidden="false" customHeight="true" outlineLevel="0" collapsed="false">
      <c r="E735" s="510"/>
      <c r="H735" s="177"/>
      <c r="I735" s="177"/>
      <c r="J735" s="177"/>
    </row>
    <row r="736" s="2" customFormat="true" ht="18.75" hidden="false" customHeight="true" outlineLevel="0" collapsed="false">
      <c r="E736" s="510"/>
      <c r="H736" s="177"/>
      <c r="I736" s="177"/>
      <c r="J736" s="177"/>
    </row>
    <row r="737" s="2" customFormat="true" ht="18.75" hidden="false" customHeight="true" outlineLevel="0" collapsed="false">
      <c r="E737" s="510"/>
      <c r="H737" s="177"/>
      <c r="I737" s="177"/>
      <c r="J737" s="177"/>
    </row>
    <row r="738" s="2" customFormat="true" ht="18.75" hidden="false" customHeight="true" outlineLevel="0" collapsed="false">
      <c r="E738" s="510"/>
      <c r="H738" s="177"/>
      <c r="I738" s="177"/>
      <c r="J738" s="177"/>
    </row>
    <row r="739" s="2" customFormat="true" ht="18.75" hidden="false" customHeight="true" outlineLevel="0" collapsed="false">
      <c r="E739" s="510"/>
      <c r="H739" s="177"/>
      <c r="I739" s="177"/>
      <c r="J739" s="177"/>
    </row>
    <row r="740" s="2" customFormat="true" ht="18.75" hidden="false" customHeight="true" outlineLevel="0" collapsed="false">
      <c r="E740" s="510"/>
      <c r="H740" s="177"/>
      <c r="I740" s="177"/>
      <c r="J740" s="177"/>
    </row>
    <row r="741" s="2" customFormat="true" ht="18.75" hidden="false" customHeight="true" outlineLevel="0" collapsed="false">
      <c r="E741" s="510"/>
      <c r="H741" s="177"/>
      <c r="I741" s="177"/>
      <c r="J741" s="177"/>
    </row>
    <row r="742" s="2" customFormat="true" ht="18.75" hidden="false" customHeight="true" outlineLevel="0" collapsed="false">
      <c r="E742" s="510"/>
      <c r="H742" s="177"/>
      <c r="I742" s="177"/>
      <c r="J742" s="177"/>
    </row>
    <row r="743" s="2" customFormat="true" ht="18.75" hidden="false" customHeight="true" outlineLevel="0" collapsed="false">
      <c r="E743" s="510"/>
      <c r="H743" s="177"/>
      <c r="I743" s="177"/>
      <c r="J743" s="177"/>
    </row>
    <row r="744" s="2" customFormat="true" ht="18.75" hidden="false" customHeight="true" outlineLevel="0" collapsed="false">
      <c r="E744" s="510"/>
      <c r="H744" s="177"/>
      <c r="I744" s="177"/>
      <c r="J744" s="177"/>
    </row>
    <row r="745" s="2" customFormat="true" ht="18.75" hidden="false" customHeight="true" outlineLevel="0" collapsed="false">
      <c r="E745" s="510"/>
      <c r="H745" s="177"/>
      <c r="I745" s="177"/>
      <c r="J745" s="177"/>
    </row>
    <row r="746" s="2" customFormat="true" ht="18.75" hidden="false" customHeight="true" outlineLevel="0" collapsed="false">
      <c r="E746" s="510"/>
      <c r="H746" s="177"/>
      <c r="I746" s="177"/>
      <c r="J746" s="177"/>
    </row>
    <row r="747" s="2" customFormat="true" ht="18.75" hidden="false" customHeight="true" outlineLevel="0" collapsed="false">
      <c r="E747" s="510"/>
      <c r="H747" s="177"/>
      <c r="I747" s="177"/>
      <c r="J747" s="177"/>
    </row>
    <row r="748" s="2" customFormat="true" ht="18.75" hidden="false" customHeight="true" outlineLevel="0" collapsed="false">
      <c r="E748" s="510"/>
      <c r="H748" s="177"/>
      <c r="I748" s="177"/>
      <c r="J748" s="177"/>
    </row>
    <row r="749" s="2" customFormat="true" ht="18.75" hidden="false" customHeight="true" outlineLevel="0" collapsed="false">
      <c r="E749" s="510"/>
      <c r="H749" s="177"/>
      <c r="I749" s="177"/>
      <c r="J749" s="177"/>
    </row>
    <row r="750" s="2" customFormat="true" ht="18.75" hidden="false" customHeight="true" outlineLevel="0" collapsed="false">
      <c r="E750" s="510"/>
      <c r="H750" s="177"/>
      <c r="I750" s="177"/>
      <c r="J750" s="177"/>
    </row>
    <row r="751" s="2" customFormat="true" ht="18.75" hidden="false" customHeight="true" outlineLevel="0" collapsed="false">
      <c r="E751" s="510"/>
      <c r="H751" s="177"/>
      <c r="I751" s="177"/>
      <c r="J751" s="177"/>
    </row>
    <row r="752" s="2" customFormat="true" ht="18.75" hidden="false" customHeight="true" outlineLevel="0" collapsed="false">
      <c r="E752" s="510"/>
      <c r="H752" s="177"/>
      <c r="I752" s="177"/>
      <c r="J752" s="177"/>
    </row>
    <row r="753" s="2" customFormat="true" ht="18.75" hidden="false" customHeight="true" outlineLevel="0" collapsed="false">
      <c r="E753" s="510"/>
      <c r="H753" s="177"/>
      <c r="I753" s="177"/>
      <c r="J753" s="177"/>
    </row>
    <row r="754" s="2" customFormat="true" ht="18.75" hidden="false" customHeight="true" outlineLevel="0" collapsed="false">
      <c r="E754" s="510"/>
      <c r="H754" s="177"/>
      <c r="I754" s="177"/>
      <c r="J754" s="177"/>
    </row>
    <row r="755" s="2" customFormat="true" ht="18.75" hidden="false" customHeight="true" outlineLevel="0" collapsed="false">
      <c r="E755" s="510"/>
      <c r="H755" s="177"/>
      <c r="I755" s="177"/>
      <c r="J755" s="177"/>
    </row>
    <row r="756" s="2" customFormat="true" ht="18.75" hidden="false" customHeight="true" outlineLevel="0" collapsed="false">
      <c r="E756" s="510"/>
      <c r="H756" s="177"/>
      <c r="I756" s="177"/>
      <c r="J756" s="177"/>
    </row>
    <row r="757" s="2" customFormat="true" ht="18.75" hidden="false" customHeight="true" outlineLevel="0" collapsed="false">
      <c r="E757" s="510"/>
      <c r="H757" s="177"/>
      <c r="I757" s="177"/>
      <c r="J757" s="177"/>
    </row>
    <row r="758" s="2" customFormat="true" ht="18.75" hidden="false" customHeight="true" outlineLevel="0" collapsed="false">
      <c r="E758" s="510"/>
      <c r="H758" s="177"/>
      <c r="I758" s="177"/>
      <c r="J758" s="177"/>
    </row>
    <row r="759" s="2" customFormat="true" ht="18.75" hidden="false" customHeight="true" outlineLevel="0" collapsed="false">
      <c r="E759" s="510"/>
      <c r="H759" s="177"/>
      <c r="I759" s="177"/>
      <c r="J759" s="177"/>
    </row>
    <row r="760" s="2" customFormat="true" ht="18.75" hidden="false" customHeight="true" outlineLevel="0" collapsed="false">
      <c r="E760" s="510"/>
      <c r="H760" s="177"/>
      <c r="I760" s="177"/>
      <c r="J760" s="177"/>
    </row>
    <row r="761" s="2" customFormat="true" ht="18.75" hidden="false" customHeight="true" outlineLevel="0" collapsed="false">
      <c r="E761" s="510"/>
      <c r="H761" s="177"/>
      <c r="I761" s="177"/>
      <c r="J761" s="177"/>
    </row>
    <row r="762" s="2" customFormat="true" ht="18.75" hidden="false" customHeight="true" outlineLevel="0" collapsed="false">
      <c r="E762" s="510"/>
      <c r="H762" s="177"/>
      <c r="I762" s="177"/>
      <c r="J762" s="177"/>
    </row>
    <row r="763" s="2" customFormat="true" ht="18.75" hidden="false" customHeight="true" outlineLevel="0" collapsed="false">
      <c r="E763" s="510"/>
      <c r="H763" s="177"/>
      <c r="I763" s="177"/>
      <c r="J763" s="177"/>
    </row>
    <row r="764" s="2" customFormat="true" ht="18.75" hidden="false" customHeight="true" outlineLevel="0" collapsed="false">
      <c r="E764" s="510"/>
      <c r="H764" s="177"/>
      <c r="I764" s="177"/>
      <c r="J764" s="177"/>
    </row>
    <row r="765" s="2" customFormat="true" ht="18.75" hidden="false" customHeight="true" outlineLevel="0" collapsed="false">
      <c r="E765" s="510"/>
      <c r="H765" s="177"/>
      <c r="I765" s="177"/>
      <c r="J765" s="177"/>
    </row>
    <row r="766" s="2" customFormat="true" ht="18.75" hidden="false" customHeight="true" outlineLevel="0" collapsed="false">
      <c r="E766" s="510"/>
      <c r="H766" s="177"/>
      <c r="I766" s="177"/>
      <c r="J766" s="177"/>
    </row>
    <row r="767" s="2" customFormat="true" ht="18.75" hidden="false" customHeight="true" outlineLevel="0" collapsed="false">
      <c r="E767" s="510"/>
      <c r="H767" s="177"/>
      <c r="I767" s="177"/>
      <c r="J767" s="177"/>
    </row>
    <row r="768" s="2" customFormat="true" ht="18.75" hidden="false" customHeight="true" outlineLevel="0" collapsed="false">
      <c r="E768" s="510"/>
      <c r="H768" s="177"/>
      <c r="I768" s="177"/>
      <c r="J768" s="177"/>
    </row>
    <row r="769" s="2" customFormat="true" ht="18.75" hidden="false" customHeight="true" outlineLevel="0" collapsed="false">
      <c r="E769" s="510"/>
      <c r="H769" s="177"/>
      <c r="I769" s="177"/>
      <c r="J769" s="177"/>
    </row>
    <row r="770" s="2" customFormat="true" ht="18.75" hidden="false" customHeight="true" outlineLevel="0" collapsed="false">
      <c r="E770" s="510"/>
      <c r="H770" s="177"/>
      <c r="I770" s="177"/>
      <c r="J770" s="177"/>
    </row>
    <row r="771" s="2" customFormat="true" ht="18.75" hidden="false" customHeight="true" outlineLevel="0" collapsed="false">
      <c r="E771" s="510"/>
      <c r="H771" s="177"/>
      <c r="I771" s="177"/>
      <c r="J771" s="177"/>
    </row>
    <row r="772" s="2" customFormat="true" ht="18.75" hidden="false" customHeight="true" outlineLevel="0" collapsed="false">
      <c r="E772" s="510"/>
      <c r="H772" s="177"/>
      <c r="I772" s="177"/>
      <c r="J772" s="177"/>
    </row>
    <row r="773" s="2" customFormat="true" ht="18.75" hidden="false" customHeight="true" outlineLevel="0" collapsed="false">
      <c r="E773" s="510"/>
      <c r="H773" s="177"/>
      <c r="I773" s="177"/>
      <c r="J773" s="177"/>
    </row>
    <row r="774" s="2" customFormat="true" ht="18.75" hidden="false" customHeight="true" outlineLevel="0" collapsed="false">
      <c r="E774" s="510"/>
      <c r="H774" s="177"/>
      <c r="I774" s="177"/>
      <c r="J774" s="177"/>
    </row>
    <row r="775" s="2" customFormat="true" ht="18.75" hidden="false" customHeight="true" outlineLevel="0" collapsed="false">
      <c r="E775" s="510"/>
      <c r="H775" s="177"/>
      <c r="I775" s="177"/>
      <c r="J775" s="177"/>
    </row>
    <row r="776" s="2" customFormat="true" ht="18.75" hidden="false" customHeight="true" outlineLevel="0" collapsed="false">
      <c r="E776" s="510"/>
      <c r="H776" s="177"/>
      <c r="I776" s="177"/>
      <c r="J776" s="177"/>
    </row>
    <row r="777" s="2" customFormat="true" ht="18.75" hidden="false" customHeight="true" outlineLevel="0" collapsed="false">
      <c r="E777" s="510"/>
      <c r="H777" s="177"/>
      <c r="I777" s="177"/>
      <c r="J777" s="177"/>
    </row>
    <row r="778" s="2" customFormat="true" ht="18.75" hidden="false" customHeight="true" outlineLevel="0" collapsed="false">
      <c r="E778" s="510"/>
      <c r="H778" s="177"/>
      <c r="I778" s="177"/>
      <c r="J778" s="177"/>
    </row>
    <row r="779" s="2" customFormat="true" ht="18.75" hidden="false" customHeight="true" outlineLevel="0" collapsed="false">
      <c r="E779" s="510"/>
      <c r="H779" s="177"/>
      <c r="I779" s="177"/>
      <c r="J779" s="177"/>
    </row>
    <row r="780" s="2" customFormat="true" ht="18.75" hidden="false" customHeight="true" outlineLevel="0" collapsed="false">
      <c r="E780" s="510"/>
      <c r="H780" s="177"/>
      <c r="I780" s="177"/>
      <c r="J780" s="177"/>
    </row>
    <row r="781" s="2" customFormat="true" ht="18.75" hidden="false" customHeight="true" outlineLevel="0" collapsed="false">
      <c r="E781" s="510"/>
      <c r="H781" s="177"/>
      <c r="I781" s="177"/>
      <c r="J781" s="177"/>
    </row>
    <row r="782" s="2" customFormat="true" ht="18.75" hidden="false" customHeight="true" outlineLevel="0" collapsed="false">
      <c r="E782" s="510"/>
      <c r="H782" s="177"/>
      <c r="I782" s="177"/>
      <c r="J782" s="177"/>
    </row>
    <row r="783" s="2" customFormat="true" ht="18.75" hidden="false" customHeight="true" outlineLevel="0" collapsed="false">
      <c r="E783" s="510"/>
      <c r="H783" s="177"/>
      <c r="I783" s="177"/>
      <c r="J783" s="177"/>
    </row>
    <row r="784" s="2" customFormat="true" ht="18.75" hidden="false" customHeight="true" outlineLevel="0" collapsed="false">
      <c r="E784" s="510"/>
      <c r="H784" s="177"/>
      <c r="I784" s="177"/>
      <c r="J784" s="177"/>
    </row>
    <row r="785" s="2" customFormat="true" ht="18.75" hidden="false" customHeight="true" outlineLevel="0" collapsed="false">
      <c r="E785" s="510"/>
      <c r="H785" s="177"/>
      <c r="I785" s="177"/>
      <c r="J785" s="177"/>
    </row>
    <row r="786" s="2" customFormat="true" ht="18.75" hidden="false" customHeight="true" outlineLevel="0" collapsed="false">
      <c r="E786" s="510"/>
      <c r="H786" s="177"/>
      <c r="I786" s="177"/>
      <c r="J786" s="177"/>
    </row>
    <row r="787" s="2" customFormat="true" ht="18.75" hidden="false" customHeight="true" outlineLevel="0" collapsed="false">
      <c r="E787" s="510"/>
      <c r="H787" s="177"/>
      <c r="I787" s="177"/>
      <c r="J787" s="177"/>
    </row>
    <row r="788" s="2" customFormat="true" ht="18.75" hidden="false" customHeight="true" outlineLevel="0" collapsed="false">
      <c r="E788" s="510"/>
      <c r="H788" s="177"/>
      <c r="I788" s="177"/>
      <c r="J788" s="177"/>
    </row>
    <row r="789" s="2" customFormat="true" ht="18.75" hidden="false" customHeight="true" outlineLevel="0" collapsed="false">
      <c r="E789" s="510"/>
      <c r="H789" s="177"/>
      <c r="I789" s="177"/>
      <c r="J789" s="177"/>
    </row>
    <row r="790" s="2" customFormat="true" ht="18.75" hidden="false" customHeight="true" outlineLevel="0" collapsed="false">
      <c r="E790" s="510"/>
      <c r="H790" s="177"/>
      <c r="I790" s="177"/>
      <c r="J790" s="177"/>
    </row>
    <row r="791" s="2" customFormat="true" ht="18.75" hidden="false" customHeight="true" outlineLevel="0" collapsed="false">
      <c r="E791" s="510"/>
      <c r="H791" s="177"/>
      <c r="I791" s="177"/>
      <c r="J791" s="177"/>
    </row>
    <row r="792" s="2" customFormat="true" ht="18.75" hidden="false" customHeight="true" outlineLevel="0" collapsed="false">
      <c r="E792" s="510"/>
      <c r="H792" s="177"/>
      <c r="I792" s="177"/>
      <c r="J792" s="177"/>
    </row>
    <row r="793" s="2" customFormat="true" ht="18.75" hidden="false" customHeight="true" outlineLevel="0" collapsed="false">
      <c r="E793" s="510"/>
      <c r="H793" s="177"/>
      <c r="I793" s="177"/>
      <c r="J793" s="177"/>
    </row>
    <row r="794" s="2" customFormat="true" ht="18.75" hidden="false" customHeight="true" outlineLevel="0" collapsed="false">
      <c r="E794" s="510"/>
      <c r="H794" s="177"/>
      <c r="I794" s="177"/>
      <c r="J794" s="177"/>
    </row>
    <row r="795" s="2" customFormat="true" ht="18.75" hidden="false" customHeight="true" outlineLevel="0" collapsed="false">
      <c r="E795" s="510"/>
      <c r="H795" s="177"/>
      <c r="I795" s="177"/>
      <c r="J795" s="177"/>
    </row>
    <row r="796" s="2" customFormat="true" ht="18.75" hidden="false" customHeight="true" outlineLevel="0" collapsed="false">
      <c r="E796" s="510"/>
      <c r="H796" s="177"/>
      <c r="I796" s="177"/>
      <c r="J796" s="177"/>
    </row>
    <row r="797" s="2" customFormat="true" ht="18.75" hidden="false" customHeight="true" outlineLevel="0" collapsed="false">
      <c r="E797" s="510"/>
      <c r="H797" s="177"/>
      <c r="I797" s="177"/>
      <c r="J797" s="177"/>
    </row>
    <row r="798" s="2" customFormat="true" ht="18.75" hidden="false" customHeight="true" outlineLevel="0" collapsed="false">
      <c r="E798" s="510"/>
      <c r="H798" s="177"/>
      <c r="I798" s="177"/>
      <c r="J798" s="177"/>
    </row>
    <row r="799" s="2" customFormat="true" ht="18.75" hidden="false" customHeight="true" outlineLevel="0" collapsed="false">
      <c r="E799" s="510"/>
      <c r="H799" s="177"/>
      <c r="I799" s="177"/>
      <c r="J799" s="177"/>
    </row>
    <row r="800" s="2" customFormat="true" ht="18.75" hidden="false" customHeight="true" outlineLevel="0" collapsed="false">
      <c r="E800" s="510"/>
      <c r="H800" s="177"/>
      <c r="I800" s="177"/>
      <c r="J800" s="177"/>
    </row>
    <row r="801" s="2" customFormat="true" ht="18.75" hidden="false" customHeight="true" outlineLevel="0" collapsed="false">
      <c r="E801" s="510"/>
      <c r="H801" s="177"/>
      <c r="I801" s="177"/>
      <c r="J801" s="177"/>
    </row>
    <row r="802" s="2" customFormat="true" ht="18.75" hidden="false" customHeight="true" outlineLevel="0" collapsed="false">
      <c r="E802" s="510"/>
      <c r="H802" s="177"/>
      <c r="I802" s="177"/>
      <c r="J802" s="177"/>
    </row>
    <row r="803" s="2" customFormat="true" ht="18.75" hidden="false" customHeight="true" outlineLevel="0" collapsed="false">
      <c r="E803" s="510"/>
      <c r="H803" s="177"/>
      <c r="I803" s="177"/>
      <c r="J803" s="177"/>
    </row>
    <row r="804" s="2" customFormat="true" ht="18.75" hidden="false" customHeight="true" outlineLevel="0" collapsed="false">
      <c r="E804" s="510"/>
      <c r="H804" s="177"/>
      <c r="I804" s="177"/>
      <c r="J804" s="177"/>
    </row>
    <row r="805" s="2" customFormat="true" ht="18.75" hidden="false" customHeight="true" outlineLevel="0" collapsed="false">
      <c r="E805" s="510"/>
      <c r="H805" s="177"/>
      <c r="I805" s="177"/>
      <c r="J805" s="177"/>
    </row>
    <row r="806" s="2" customFormat="true" ht="18.75" hidden="false" customHeight="true" outlineLevel="0" collapsed="false">
      <c r="E806" s="510"/>
      <c r="H806" s="177"/>
      <c r="I806" s="177"/>
      <c r="J806" s="177"/>
    </row>
    <row r="807" s="2" customFormat="true" ht="18.75" hidden="false" customHeight="true" outlineLevel="0" collapsed="false">
      <c r="E807" s="510"/>
      <c r="H807" s="177"/>
      <c r="I807" s="177"/>
      <c r="J807" s="177"/>
    </row>
    <row r="808" s="2" customFormat="true" ht="18.75" hidden="false" customHeight="true" outlineLevel="0" collapsed="false">
      <c r="E808" s="510"/>
      <c r="H808" s="177"/>
      <c r="I808" s="177"/>
      <c r="J808" s="177"/>
    </row>
    <row r="809" s="2" customFormat="true" ht="18.75" hidden="false" customHeight="true" outlineLevel="0" collapsed="false">
      <c r="E809" s="510"/>
      <c r="H809" s="177"/>
      <c r="I809" s="177"/>
      <c r="J809" s="177"/>
    </row>
    <row r="810" s="2" customFormat="true" ht="18.75" hidden="false" customHeight="true" outlineLevel="0" collapsed="false">
      <c r="E810" s="510"/>
      <c r="H810" s="177"/>
      <c r="I810" s="177"/>
      <c r="J810" s="177"/>
    </row>
    <row r="811" s="2" customFormat="true" ht="18.75" hidden="false" customHeight="true" outlineLevel="0" collapsed="false">
      <c r="E811" s="510"/>
      <c r="H811" s="177"/>
      <c r="I811" s="177"/>
      <c r="J811" s="177"/>
    </row>
    <row r="812" s="2" customFormat="true" ht="18.75" hidden="false" customHeight="true" outlineLevel="0" collapsed="false">
      <c r="E812" s="510"/>
      <c r="H812" s="177"/>
      <c r="I812" s="177"/>
      <c r="J812" s="177"/>
    </row>
    <row r="813" s="2" customFormat="true" ht="18.75" hidden="false" customHeight="true" outlineLevel="0" collapsed="false">
      <c r="E813" s="510"/>
      <c r="H813" s="177"/>
      <c r="I813" s="177"/>
      <c r="J813" s="177"/>
    </row>
    <row r="814" s="2" customFormat="true" ht="18.75" hidden="false" customHeight="true" outlineLevel="0" collapsed="false">
      <c r="E814" s="510"/>
      <c r="H814" s="177"/>
      <c r="I814" s="177"/>
      <c r="J814" s="177"/>
    </row>
    <row r="815" s="2" customFormat="true" ht="18.75" hidden="false" customHeight="true" outlineLevel="0" collapsed="false">
      <c r="E815" s="510"/>
      <c r="H815" s="177"/>
      <c r="I815" s="177"/>
      <c r="J815" s="177"/>
    </row>
    <row r="816" s="2" customFormat="true" ht="18.75" hidden="false" customHeight="true" outlineLevel="0" collapsed="false">
      <c r="E816" s="510"/>
      <c r="H816" s="177"/>
      <c r="I816" s="177"/>
      <c r="J816" s="177"/>
    </row>
    <row r="817" s="2" customFormat="true" ht="18.75" hidden="false" customHeight="true" outlineLevel="0" collapsed="false">
      <c r="E817" s="510"/>
      <c r="H817" s="177"/>
      <c r="I817" s="177"/>
      <c r="J817" s="177"/>
    </row>
    <row r="818" s="2" customFormat="true" ht="18.75" hidden="false" customHeight="true" outlineLevel="0" collapsed="false">
      <c r="E818" s="510"/>
      <c r="H818" s="177"/>
      <c r="I818" s="177"/>
      <c r="J818" s="177"/>
    </row>
    <row r="819" s="2" customFormat="true" ht="18.75" hidden="false" customHeight="true" outlineLevel="0" collapsed="false">
      <c r="E819" s="510"/>
      <c r="H819" s="177"/>
      <c r="I819" s="177"/>
      <c r="J819" s="177"/>
    </row>
    <row r="820" s="2" customFormat="true" ht="18.75" hidden="false" customHeight="true" outlineLevel="0" collapsed="false">
      <c r="E820" s="510"/>
      <c r="H820" s="177"/>
      <c r="I820" s="177"/>
      <c r="J820" s="177"/>
    </row>
    <row r="821" s="2" customFormat="true" ht="18.75" hidden="false" customHeight="true" outlineLevel="0" collapsed="false">
      <c r="E821" s="510"/>
      <c r="H821" s="177"/>
      <c r="I821" s="177"/>
      <c r="J821" s="177"/>
    </row>
    <row r="822" s="2" customFormat="true" ht="18.75" hidden="false" customHeight="true" outlineLevel="0" collapsed="false">
      <c r="E822" s="510"/>
      <c r="H822" s="177"/>
      <c r="I822" s="177"/>
      <c r="J822" s="177"/>
    </row>
    <row r="823" s="2" customFormat="true" ht="18.75" hidden="false" customHeight="true" outlineLevel="0" collapsed="false">
      <c r="E823" s="510"/>
      <c r="H823" s="177"/>
      <c r="I823" s="177"/>
      <c r="J823" s="177"/>
    </row>
    <row r="824" s="2" customFormat="true" ht="18.75" hidden="false" customHeight="true" outlineLevel="0" collapsed="false">
      <c r="E824" s="510"/>
      <c r="H824" s="177"/>
      <c r="I824" s="177"/>
      <c r="J824" s="177"/>
    </row>
    <row r="825" s="2" customFormat="true" ht="18.75" hidden="false" customHeight="true" outlineLevel="0" collapsed="false">
      <c r="E825" s="510"/>
      <c r="H825" s="177"/>
      <c r="I825" s="177"/>
      <c r="J825" s="177"/>
    </row>
    <row r="826" s="2" customFormat="true" ht="18.75" hidden="false" customHeight="true" outlineLevel="0" collapsed="false">
      <c r="E826" s="510"/>
      <c r="H826" s="177"/>
      <c r="I826" s="177"/>
      <c r="J826" s="177"/>
    </row>
    <row r="827" s="2" customFormat="true" ht="18.75" hidden="false" customHeight="true" outlineLevel="0" collapsed="false">
      <c r="E827" s="510"/>
      <c r="H827" s="177"/>
      <c r="I827" s="177"/>
      <c r="J827" s="177"/>
    </row>
    <row r="828" s="2" customFormat="true" ht="18.75" hidden="false" customHeight="true" outlineLevel="0" collapsed="false">
      <c r="E828" s="510"/>
      <c r="H828" s="177"/>
      <c r="I828" s="177"/>
      <c r="J828" s="177"/>
    </row>
    <row r="829" s="2" customFormat="true" ht="18.75" hidden="false" customHeight="true" outlineLevel="0" collapsed="false">
      <c r="E829" s="510"/>
      <c r="H829" s="177"/>
      <c r="I829" s="177"/>
      <c r="J829" s="177"/>
    </row>
    <row r="830" s="2" customFormat="true" ht="18.75" hidden="false" customHeight="true" outlineLevel="0" collapsed="false">
      <c r="E830" s="510"/>
      <c r="H830" s="177"/>
      <c r="I830" s="177"/>
      <c r="J830" s="177"/>
    </row>
    <row r="831" s="2" customFormat="true" ht="18.75" hidden="false" customHeight="true" outlineLevel="0" collapsed="false">
      <c r="E831" s="510"/>
      <c r="H831" s="177"/>
      <c r="I831" s="177"/>
      <c r="J831" s="177"/>
    </row>
    <row r="832" s="2" customFormat="true" ht="18.75" hidden="false" customHeight="true" outlineLevel="0" collapsed="false">
      <c r="E832" s="510"/>
      <c r="H832" s="177"/>
      <c r="I832" s="177"/>
      <c r="J832" s="177"/>
    </row>
    <row r="833" s="2" customFormat="true" ht="18.75" hidden="false" customHeight="true" outlineLevel="0" collapsed="false">
      <c r="E833" s="510"/>
      <c r="H833" s="177"/>
      <c r="I833" s="177"/>
      <c r="J833" s="177"/>
    </row>
    <row r="834" s="2" customFormat="true" ht="18.75" hidden="false" customHeight="true" outlineLevel="0" collapsed="false">
      <c r="E834" s="510"/>
      <c r="H834" s="177"/>
      <c r="I834" s="177"/>
      <c r="J834" s="177"/>
    </row>
    <row r="835" s="2" customFormat="true" ht="18.75" hidden="false" customHeight="true" outlineLevel="0" collapsed="false">
      <c r="E835" s="510"/>
      <c r="H835" s="177"/>
      <c r="I835" s="177"/>
      <c r="J835" s="177"/>
    </row>
    <row r="836" s="2" customFormat="true" ht="18.75" hidden="false" customHeight="true" outlineLevel="0" collapsed="false">
      <c r="E836" s="510"/>
      <c r="H836" s="177"/>
      <c r="I836" s="177"/>
      <c r="J836" s="177"/>
    </row>
    <row r="837" s="2" customFormat="true" ht="18.75" hidden="false" customHeight="true" outlineLevel="0" collapsed="false">
      <c r="E837" s="510"/>
      <c r="H837" s="177"/>
      <c r="I837" s="177"/>
      <c r="J837" s="177"/>
    </row>
    <row r="838" s="2" customFormat="true" ht="18.75" hidden="false" customHeight="true" outlineLevel="0" collapsed="false">
      <c r="E838" s="510"/>
      <c r="H838" s="177"/>
      <c r="I838" s="177"/>
      <c r="J838" s="177"/>
    </row>
    <row r="839" s="2" customFormat="true" ht="18.75" hidden="false" customHeight="true" outlineLevel="0" collapsed="false">
      <c r="E839" s="510"/>
      <c r="H839" s="177"/>
      <c r="I839" s="177"/>
      <c r="J839" s="177"/>
    </row>
    <row r="840" s="2" customFormat="true" ht="18.75" hidden="false" customHeight="true" outlineLevel="0" collapsed="false">
      <c r="E840" s="510"/>
      <c r="H840" s="177"/>
      <c r="I840" s="177"/>
      <c r="J840" s="177"/>
    </row>
    <row r="841" s="2" customFormat="true" ht="18.75" hidden="false" customHeight="true" outlineLevel="0" collapsed="false">
      <c r="E841" s="510"/>
      <c r="H841" s="177"/>
      <c r="I841" s="177"/>
      <c r="J841" s="177"/>
    </row>
    <row r="842" s="2" customFormat="true" ht="18.75" hidden="false" customHeight="true" outlineLevel="0" collapsed="false">
      <c r="E842" s="510"/>
      <c r="H842" s="177"/>
      <c r="I842" s="177"/>
      <c r="J842" s="177"/>
    </row>
    <row r="843" s="2" customFormat="true" ht="18.75" hidden="false" customHeight="true" outlineLevel="0" collapsed="false">
      <c r="E843" s="510"/>
      <c r="H843" s="177"/>
      <c r="I843" s="177"/>
      <c r="J843" s="177"/>
    </row>
    <row r="844" s="2" customFormat="true" ht="18.75" hidden="false" customHeight="true" outlineLevel="0" collapsed="false">
      <c r="E844" s="510"/>
      <c r="H844" s="177"/>
      <c r="I844" s="177"/>
      <c r="J844" s="177"/>
    </row>
    <row r="845" s="2" customFormat="true" ht="18.75" hidden="false" customHeight="true" outlineLevel="0" collapsed="false">
      <c r="E845" s="510"/>
      <c r="H845" s="177"/>
      <c r="I845" s="177"/>
      <c r="J845" s="177"/>
    </row>
    <row r="846" s="2" customFormat="true" ht="18.75" hidden="false" customHeight="true" outlineLevel="0" collapsed="false">
      <c r="E846" s="510"/>
      <c r="H846" s="177"/>
      <c r="I846" s="177"/>
      <c r="J846" s="177"/>
    </row>
    <row r="847" s="2" customFormat="true" ht="18.75" hidden="false" customHeight="true" outlineLevel="0" collapsed="false">
      <c r="E847" s="510"/>
      <c r="H847" s="177"/>
      <c r="I847" s="177"/>
      <c r="J847" s="177"/>
    </row>
    <row r="848" s="2" customFormat="true" ht="18.75" hidden="false" customHeight="true" outlineLevel="0" collapsed="false">
      <c r="E848" s="510"/>
      <c r="H848" s="177"/>
      <c r="I848" s="177"/>
      <c r="J848" s="177"/>
    </row>
    <row r="849" s="2" customFormat="true" ht="18.75" hidden="false" customHeight="true" outlineLevel="0" collapsed="false">
      <c r="E849" s="510"/>
      <c r="H849" s="177"/>
      <c r="I849" s="177"/>
      <c r="J849" s="177"/>
    </row>
    <row r="850" s="2" customFormat="true" ht="18.75" hidden="false" customHeight="true" outlineLevel="0" collapsed="false">
      <c r="E850" s="510"/>
      <c r="H850" s="177"/>
      <c r="I850" s="177"/>
      <c r="J850" s="177"/>
    </row>
    <row r="851" s="2" customFormat="true" ht="18.75" hidden="false" customHeight="true" outlineLevel="0" collapsed="false">
      <c r="E851" s="510"/>
      <c r="H851" s="177"/>
      <c r="I851" s="177"/>
      <c r="J851" s="177"/>
    </row>
    <row r="852" s="2" customFormat="true" ht="18.75" hidden="false" customHeight="true" outlineLevel="0" collapsed="false">
      <c r="E852" s="510"/>
      <c r="H852" s="177"/>
      <c r="I852" s="177"/>
      <c r="J852" s="177"/>
    </row>
    <row r="853" s="2" customFormat="true" ht="18.75" hidden="false" customHeight="true" outlineLevel="0" collapsed="false">
      <c r="E853" s="510"/>
      <c r="H853" s="177"/>
      <c r="I853" s="177"/>
      <c r="J853" s="177"/>
    </row>
    <row r="854" s="2" customFormat="true" ht="18.75" hidden="false" customHeight="true" outlineLevel="0" collapsed="false">
      <c r="E854" s="510"/>
      <c r="H854" s="177"/>
      <c r="I854" s="177"/>
      <c r="J854" s="177"/>
    </row>
    <row r="855" s="2" customFormat="true" ht="18.75" hidden="false" customHeight="true" outlineLevel="0" collapsed="false">
      <c r="E855" s="510"/>
      <c r="H855" s="177"/>
      <c r="I855" s="177"/>
      <c r="J855" s="177"/>
    </row>
    <row r="856" s="2" customFormat="true" ht="18.75" hidden="false" customHeight="true" outlineLevel="0" collapsed="false">
      <c r="E856" s="510"/>
      <c r="H856" s="177"/>
      <c r="I856" s="177"/>
      <c r="J856" s="177"/>
    </row>
    <row r="857" s="2" customFormat="true" ht="18.75" hidden="false" customHeight="true" outlineLevel="0" collapsed="false">
      <c r="E857" s="510"/>
      <c r="H857" s="177"/>
      <c r="I857" s="177"/>
      <c r="J857" s="177"/>
    </row>
    <row r="858" s="2" customFormat="true" ht="18.75" hidden="false" customHeight="true" outlineLevel="0" collapsed="false">
      <c r="E858" s="510"/>
      <c r="H858" s="177"/>
      <c r="I858" s="177"/>
      <c r="J858" s="177"/>
    </row>
    <row r="859" s="2" customFormat="true" ht="18.75" hidden="false" customHeight="true" outlineLevel="0" collapsed="false">
      <c r="E859" s="510"/>
      <c r="H859" s="177"/>
      <c r="I859" s="177"/>
      <c r="J859" s="177"/>
    </row>
    <row r="860" s="2" customFormat="true" ht="18.75" hidden="false" customHeight="true" outlineLevel="0" collapsed="false">
      <c r="E860" s="510"/>
      <c r="H860" s="177"/>
      <c r="I860" s="177"/>
      <c r="J860" s="177"/>
    </row>
    <row r="861" s="2" customFormat="true" ht="18.75" hidden="false" customHeight="true" outlineLevel="0" collapsed="false">
      <c r="E861" s="510"/>
      <c r="H861" s="177"/>
      <c r="I861" s="177"/>
      <c r="J861" s="177"/>
    </row>
    <row r="862" s="2" customFormat="true" ht="18.75" hidden="false" customHeight="true" outlineLevel="0" collapsed="false">
      <c r="E862" s="510"/>
      <c r="H862" s="177"/>
      <c r="I862" s="177"/>
      <c r="J862" s="177"/>
    </row>
    <row r="863" s="2" customFormat="true" ht="18.75" hidden="false" customHeight="true" outlineLevel="0" collapsed="false">
      <c r="E863" s="510"/>
      <c r="H863" s="177"/>
      <c r="I863" s="177"/>
      <c r="J863" s="177"/>
    </row>
    <row r="864" s="2" customFormat="true" ht="18.75" hidden="false" customHeight="true" outlineLevel="0" collapsed="false">
      <c r="E864" s="510"/>
      <c r="H864" s="177"/>
      <c r="I864" s="177"/>
      <c r="J864" s="177"/>
    </row>
    <row r="865" s="2" customFormat="true" ht="18.75" hidden="false" customHeight="true" outlineLevel="0" collapsed="false">
      <c r="E865" s="510"/>
      <c r="H865" s="177"/>
      <c r="I865" s="177"/>
      <c r="J865" s="177"/>
    </row>
    <row r="866" s="2" customFormat="true" ht="18.75" hidden="false" customHeight="true" outlineLevel="0" collapsed="false">
      <c r="E866" s="510"/>
      <c r="H866" s="177"/>
      <c r="I866" s="177"/>
      <c r="J866" s="177"/>
    </row>
    <row r="867" s="2" customFormat="true" ht="18.75" hidden="false" customHeight="true" outlineLevel="0" collapsed="false">
      <c r="E867" s="510"/>
      <c r="H867" s="177"/>
      <c r="I867" s="177"/>
      <c r="J867" s="177"/>
    </row>
    <row r="868" s="2" customFormat="true" ht="18.75" hidden="false" customHeight="true" outlineLevel="0" collapsed="false">
      <c r="E868" s="510"/>
      <c r="H868" s="177"/>
      <c r="I868" s="177"/>
      <c r="J868" s="177"/>
    </row>
    <row r="869" s="2" customFormat="true" ht="18.75" hidden="false" customHeight="true" outlineLevel="0" collapsed="false">
      <c r="E869" s="510"/>
      <c r="H869" s="177"/>
      <c r="I869" s="177"/>
      <c r="J869" s="177"/>
    </row>
    <row r="870" s="2" customFormat="true" ht="18.75" hidden="false" customHeight="true" outlineLevel="0" collapsed="false">
      <c r="E870" s="510"/>
      <c r="H870" s="177"/>
      <c r="I870" s="177"/>
      <c r="J870" s="177"/>
    </row>
    <row r="871" s="2" customFormat="true" ht="18.75" hidden="false" customHeight="true" outlineLevel="0" collapsed="false">
      <c r="E871" s="510"/>
      <c r="H871" s="177"/>
      <c r="I871" s="177"/>
      <c r="J871" s="177"/>
    </row>
    <row r="872" s="2" customFormat="true" ht="18.75" hidden="false" customHeight="true" outlineLevel="0" collapsed="false">
      <c r="E872" s="510"/>
      <c r="H872" s="177"/>
      <c r="I872" s="177"/>
      <c r="J872" s="177"/>
    </row>
    <row r="873" s="2" customFormat="true" ht="18.75" hidden="false" customHeight="true" outlineLevel="0" collapsed="false">
      <c r="E873" s="510"/>
      <c r="H873" s="177"/>
      <c r="I873" s="177"/>
      <c r="J873" s="177"/>
    </row>
    <row r="874" s="2" customFormat="true" ht="18.75" hidden="false" customHeight="true" outlineLevel="0" collapsed="false">
      <c r="E874" s="510"/>
      <c r="H874" s="177"/>
      <c r="I874" s="177"/>
      <c r="J874" s="177"/>
    </row>
    <row r="875" s="2" customFormat="true" ht="18.75" hidden="false" customHeight="true" outlineLevel="0" collapsed="false">
      <c r="E875" s="510"/>
      <c r="H875" s="177"/>
      <c r="I875" s="177"/>
      <c r="J875" s="177"/>
    </row>
    <row r="876" s="2" customFormat="true" ht="18.75" hidden="false" customHeight="true" outlineLevel="0" collapsed="false">
      <c r="E876" s="510"/>
      <c r="H876" s="177"/>
      <c r="I876" s="177"/>
      <c r="J876" s="177"/>
    </row>
    <row r="877" s="2" customFormat="true" ht="18.75" hidden="false" customHeight="true" outlineLevel="0" collapsed="false">
      <c r="E877" s="510"/>
      <c r="H877" s="177"/>
      <c r="I877" s="177"/>
      <c r="J877" s="177"/>
    </row>
    <row r="878" s="2" customFormat="true" ht="18.75" hidden="false" customHeight="true" outlineLevel="0" collapsed="false">
      <c r="E878" s="510"/>
      <c r="H878" s="177"/>
      <c r="I878" s="177"/>
      <c r="J878" s="177"/>
    </row>
    <row r="879" s="2" customFormat="true" ht="18.75" hidden="false" customHeight="true" outlineLevel="0" collapsed="false">
      <c r="E879" s="510"/>
      <c r="H879" s="177"/>
      <c r="I879" s="177"/>
      <c r="J879" s="177"/>
    </row>
    <row r="880" s="2" customFormat="true" ht="18.75" hidden="false" customHeight="true" outlineLevel="0" collapsed="false">
      <c r="E880" s="510"/>
      <c r="H880" s="177"/>
      <c r="I880" s="177"/>
      <c r="J880" s="177"/>
    </row>
    <row r="881" s="2" customFormat="true" ht="18.75" hidden="false" customHeight="true" outlineLevel="0" collapsed="false">
      <c r="E881" s="510"/>
      <c r="H881" s="177"/>
      <c r="I881" s="177"/>
      <c r="J881" s="177"/>
    </row>
    <row r="882" s="2" customFormat="true" ht="18.75" hidden="false" customHeight="true" outlineLevel="0" collapsed="false">
      <c r="E882" s="510"/>
      <c r="H882" s="177"/>
      <c r="I882" s="177"/>
      <c r="J882" s="177"/>
    </row>
    <row r="883" s="2" customFormat="true" ht="18.75" hidden="false" customHeight="true" outlineLevel="0" collapsed="false">
      <c r="E883" s="510"/>
      <c r="H883" s="177"/>
      <c r="I883" s="177"/>
      <c r="J883" s="177"/>
    </row>
    <row r="884" s="2" customFormat="true" ht="18.75" hidden="false" customHeight="true" outlineLevel="0" collapsed="false">
      <c r="E884" s="510"/>
      <c r="H884" s="177"/>
      <c r="I884" s="177"/>
      <c r="J884" s="177"/>
    </row>
    <row r="885" s="2" customFormat="true" ht="18.75" hidden="false" customHeight="true" outlineLevel="0" collapsed="false">
      <c r="E885" s="510"/>
      <c r="H885" s="177"/>
      <c r="I885" s="177"/>
      <c r="J885" s="177"/>
    </row>
    <row r="886" s="2" customFormat="true" ht="18.75" hidden="false" customHeight="true" outlineLevel="0" collapsed="false">
      <c r="E886" s="510"/>
      <c r="H886" s="177"/>
      <c r="I886" s="177"/>
      <c r="J886" s="177"/>
    </row>
    <row r="887" s="2" customFormat="true" ht="18.75" hidden="false" customHeight="true" outlineLevel="0" collapsed="false">
      <c r="E887" s="510"/>
      <c r="H887" s="177"/>
      <c r="I887" s="177"/>
      <c r="J887" s="177"/>
    </row>
    <row r="888" s="2" customFormat="true" ht="18.75" hidden="false" customHeight="true" outlineLevel="0" collapsed="false">
      <c r="E888" s="510"/>
      <c r="H888" s="177"/>
      <c r="I888" s="177"/>
      <c r="J888" s="177"/>
    </row>
    <row r="889" s="2" customFormat="true" ht="18.75" hidden="false" customHeight="true" outlineLevel="0" collapsed="false">
      <c r="E889" s="510"/>
      <c r="H889" s="177"/>
      <c r="I889" s="177"/>
      <c r="J889" s="177"/>
    </row>
    <row r="890" s="2" customFormat="true" ht="18.75" hidden="false" customHeight="true" outlineLevel="0" collapsed="false">
      <c r="E890" s="510"/>
      <c r="H890" s="177"/>
      <c r="I890" s="177"/>
      <c r="J890" s="177"/>
    </row>
    <row r="891" s="2" customFormat="true" ht="18.75" hidden="false" customHeight="true" outlineLevel="0" collapsed="false">
      <c r="E891" s="510"/>
      <c r="H891" s="177"/>
      <c r="I891" s="177"/>
      <c r="J891" s="177"/>
    </row>
    <row r="892" s="2" customFormat="true" ht="18.75" hidden="false" customHeight="true" outlineLevel="0" collapsed="false">
      <c r="E892" s="510"/>
      <c r="H892" s="177"/>
      <c r="I892" s="177"/>
      <c r="J892" s="177"/>
    </row>
    <row r="893" s="2" customFormat="true" ht="18.75" hidden="false" customHeight="true" outlineLevel="0" collapsed="false">
      <c r="E893" s="510"/>
      <c r="H893" s="177"/>
      <c r="I893" s="177"/>
      <c r="J893" s="177"/>
    </row>
    <row r="894" s="2" customFormat="true" ht="18.75" hidden="false" customHeight="true" outlineLevel="0" collapsed="false">
      <c r="E894" s="510"/>
      <c r="H894" s="177"/>
      <c r="I894" s="177"/>
      <c r="J894" s="177"/>
    </row>
    <row r="895" s="2" customFormat="true" ht="18.75" hidden="false" customHeight="true" outlineLevel="0" collapsed="false">
      <c r="E895" s="510"/>
      <c r="H895" s="177"/>
      <c r="I895" s="177"/>
      <c r="J895" s="177"/>
    </row>
    <row r="896" s="2" customFormat="true" ht="18.75" hidden="false" customHeight="true" outlineLevel="0" collapsed="false">
      <c r="E896" s="510"/>
      <c r="H896" s="177"/>
      <c r="I896" s="177"/>
      <c r="J896" s="177"/>
    </row>
    <row r="897" s="2" customFormat="true" ht="18.75" hidden="false" customHeight="true" outlineLevel="0" collapsed="false">
      <c r="E897" s="510"/>
      <c r="H897" s="177"/>
      <c r="I897" s="177"/>
      <c r="J897" s="177"/>
    </row>
    <row r="898" s="2" customFormat="true" ht="18.75" hidden="false" customHeight="true" outlineLevel="0" collapsed="false">
      <c r="E898" s="510"/>
      <c r="H898" s="177"/>
      <c r="I898" s="177"/>
      <c r="J898" s="177"/>
    </row>
    <row r="899" s="2" customFormat="true" ht="18.75" hidden="false" customHeight="true" outlineLevel="0" collapsed="false">
      <c r="E899" s="510"/>
      <c r="H899" s="177"/>
      <c r="I899" s="177"/>
      <c r="J899" s="177"/>
    </row>
    <row r="900" s="2" customFormat="true" ht="18.75" hidden="false" customHeight="true" outlineLevel="0" collapsed="false">
      <c r="E900" s="510"/>
      <c r="H900" s="177"/>
      <c r="I900" s="177"/>
      <c r="J900" s="177"/>
    </row>
    <row r="901" s="2" customFormat="true" ht="18.75" hidden="false" customHeight="true" outlineLevel="0" collapsed="false">
      <c r="E901" s="510"/>
      <c r="H901" s="177"/>
      <c r="I901" s="177"/>
      <c r="J901" s="177"/>
    </row>
    <row r="902" s="2" customFormat="true" ht="18.75" hidden="false" customHeight="true" outlineLevel="0" collapsed="false">
      <c r="E902" s="510"/>
      <c r="H902" s="177"/>
      <c r="I902" s="177"/>
      <c r="J902" s="177"/>
    </row>
    <row r="903" s="2" customFormat="true" ht="18.75" hidden="false" customHeight="true" outlineLevel="0" collapsed="false">
      <c r="E903" s="510"/>
      <c r="H903" s="177"/>
      <c r="I903" s="177"/>
      <c r="J903" s="177"/>
    </row>
    <row r="904" s="2" customFormat="true" ht="18.75" hidden="false" customHeight="true" outlineLevel="0" collapsed="false">
      <c r="E904" s="510"/>
      <c r="H904" s="177"/>
      <c r="I904" s="177"/>
      <c r="J904" s="177"/>
    </row>
    <row r="905" s="2" customFormat="true" ht="18.75" hidden="false" customHeight="true" outlineLevel="0" collapsed="false">
      <c r="E905" s="510"/>
      <c r="H905" s="177"/>
      <c r="I905" s="177"/>
      <c r="J905" s="177"/>
    </row>
    <row r="906" s="2" customFormat="true" ht="18.75" hidden="false" customHeight="true" outlineLevel="0" collapsed="false">
      <c r="E906" s="510"/>
      <c r="H906" s="177"/>
      <c r="I906" s="177"/>
      <c r="J906" s="177"/>
    </row>
    <row r="907" s="2" customFormat="true" ht="18.75" hidden="false" customHeight="true" outlineLevel="0" collapsed="false">
      <c r="E907" s="510"/>
      <c r="H907" s="177"/>
      <c r="I907" s="177"/>
      <c r="J907" s="177"/>
    </row>
    <row r="908" s="2" customFormat="true" ht="18.75" hidden="false" customHeight="true" outlineLevel="0" collapsed="false">
      <c r="E908" s="510"/>
      <c r="H908" s="177"/>
      <c r="I908" s="177"/>
      <c r="J908" s="177"/>
    </row>
    <row r="909" s="2" customFormat="true" ht="18.75" hidden="false" customHeight="true" outlineLevel="0" collapsed="false">
      <c r="E909" s="510"/>
      <c r="H909" s="177"/>
      <c r="I909" s="177"/>
      <c r="J909" s="177"/>
    </row>
    <row r="910" s="2" customFormat="true" ht="18.75" hidden="false" customHeight="true" outlineLevel="0" collapsed="false">
      <c r="E910" s="510"/>
      <c r="H910" s="177"/>
      <c r="I910" s="177"/>
      <c r="J910" s="177"/>
    </row>
    <row r="911" s="2" customFormat="true" ht="18.75" hidden="false" customHeight="true" outlineLevel="0" collapsed="false">
      <c r="E911" s="510"/>
      <c r="H911" s="177"/>
      <c r="I911" s="177"/>
      <c r="J911" s="177"/>
    </row>
    <row r="912" s="2" customFormat="true" ht="18.75" hidden="false" customHeight="true" outlineLevel="0" collapsed="false">
      <c r="E912" s="510"/>
      <c r="H912" s="177"/>
      <c r="I912" s="177"/>
      <c r="J912" s="177"/>
    </row>
    <row r="913" s="2" customFormat="true" ht="18.75" hidden="false" customHeight="true" outlineLevel="0" collapsed="false">
      <c r="E913" s="510"/>
      <c r="H913" s="177"/>
      <c r="I913" s="177"/>
      <c r="J913" s="177"/>
    </row>
    <row r="914" s="2" customFormat="true" ht="18.75" hidden="false" customHeight="true" outlineLevel="0" collapsed="false">
      <c r="E914" s="510"/>
      <c r="H914" s="177"/>
      <c r="I914" s="177"/>
      <c r="J914" s="177"/>
    </row>
    <row r="915" s="2" customFormat="true" ht="18.75" hidden="false" customHeight="true" outlineLevel="0" collapsed="false">
      <c r="E915" s="510"/>
      <c r="H915" s="177"/>
      <c r="I915" s="177"/>
      <c r="J915" s="177"/>
    </row>
    <row r="916" s="2" customFormat="true" ht="18.75" hidden="false" customHeight="true" outlineLevel="0" collapsed="false">
      <c r="E916" s="510"/>
      <c r="H916" s="177"/>
      <c r="I916" s="177"/>
      <c r="J916" s="177"/>
    </row>
    <row r="917" s="2" customFormat="true" ht="18.75" hidden="false" customHeight="true" outlineLevel="0" collapsed="false">
      <c r="E917" s="510"/>
      <c r="H917" s="177"/>
      <c r="I917" s="177"/>
      <c r="J917" s="177"/>
    </row>
    <row r="918" s="2" customFormat="true" ht="18.75" hidden="false" customHeight="true" outlineLevel="0" collapsed="false">
      <c r="E918" s="510"/>
      <c r="H918" s="177"/>
      <c r="I918" s="177"/>
      <c r="J918" s="177"/>
    </row>
    <row r="919" s="2" customFormat="true" ht="18.75" hidden="false" customHeight="true" outlineLevel="0" collapsed="false">
      <c r="E919" s="510"/>
      <c r="H919" s="177"/>
      <c r="I919" s="177"/>
      <c r="J919" s="177"/>
    </row>
    <row r="920" s="2" customFormat="true" ht="18.75" hidden="false" customHeight="true" outlineLevel="0" collapsed="false">
      <c r="E920" s="510"/>
      <c r="H920" s="177"/>
      <c r="I920" s="177"/>
      <c r="J920" s="177"/>
    </row>
    <row r="921" s="2" customFormat="true" ht="18.75" hidden="false" customHeight="true" outlineLevel="0" collapsed="false">
      <c r="E921" s="510"/>
      <c r="H921" s="177"/>
      <c r="I921" s="177"/>
      <c r="J921" s="177"/>
    </row>
    <row r="922" s="2" customFormat="true" ht="18.75" hidden="false" customHeight="true" outlineLevel="0" collapsed="false">
      <c r="E922" s="510"/>
      <c r="H922" s="177"/>
      <c r="I922" s="177"/>
      <c r="J922" s="177"/>
    </row>
    <row r="923" s="2" customFormat="true" ht="18.75" hidden="false" customHeight="true" outlineLevel="0" collapsed="false">
      <c r="E923" s="510"/>
      <c r="H923" s="177"/>
      <c r="I923" s="177"/>
      <c r="J923" s="177"/>
    </row>
    <row r="924" s="2" customFormat="true" ht="18.75" hidden="false" customHeight="true" outlineLevel="0" collapsed="false">
      <c r="E924" s="510"/>
      <c r="H924" s="177"/>
      <c r="I924" s="177"/>
      <c r="J924" s="177"/>
    </row>
    <row r="925" s="2" customFormat="true" ht="18.75" hidden="false" customHeight="true" outlineLevel="0" collapsed="false">
      <c r="E925" s="510"/>
      <c r="H925" s="177"/>
      <c r="I925" s="177"/>
      <c r="J925" s="177"/>
    </row>
    <row r="926" s="2" customFormat="true" ht="18.75" hidden="false" customHeight="true" outlineLevel="0" collapsed="false">
      <c r="E926" s="510"/>
      <c r="H926" s="177"/>
      <c r="I926" s="177"/>
      <c r="J926" s="177"/>
    </row>
    <row r="927" s="2" customFormat="true" ht="18.75" hidden="false" customHeight="true" outlineLevel="0" collapsed="false">
      <c r="E927" s="510"/>
      <c r="H927" s="177"/>
      <c r="I927" s="177"/>
      <c r="J927" s="177"/>
    </row>
    <row r="928" s="2" customFormat="true" ht="18.75" hidden="false" customHeight="true" outlineLevel="0" collapsed="false">
      <c r="E928" s="510"/>
      <c r="H928" s="177"/>
      <c r="I928" s="177"/>
      <c r="J928" s="177"/>
    </row>
    <row r="929" s="2" customFormat="true" ht="18.75" hidden="false" customHeight="true" outlineLevel="0" collapsed="false">
      <c r="E929" s="510"/>
      <c r="H929" s="177"/>
      <c r="I929" s="177"/>
      <c r="J929" s="177"/>
    </row>
    <row r="930" s="2" customFormat="true" ht="18.75" hidden="false" customHeight="true" outlineLevel="0" collapsed="false">
      <c r="E930" s="510"/>
      <c r="H930" s="177"/>
      <c r="I930" s="177"/>
      <c r="J930" s="177"/>
    </row>
    <row r="931" s="2" customFormat="true" ht="18.75" hidden="false" customHeight="true" outlineLevel="0" collapsed="false">
      <c r="E931" s="510"/>
      <c r="H931" s="177"/>
      <c r="I931" s="177"/>
      <c r="J931" s="177"/>
    </row>
    <row r="932" s="2" customFormat="true" ht="18.75" hidden="false" customHeight="true" outlineLevel="0" collapsed="false">
      <c r="E932" s="510"/>
      <c r="H932" s="177"/>
      <c r="I932" s="177"/>
      <c r="J932" s="177"/>
    </row>
    <row r="933" s="2" customFormat="true" ht="18.75" hidden="false" customHeight="true" outlineLevel="0" collapsed="false">
      <c r="E933" s="510"/>
      <c r="H933" s="177"/>
      <c r="I933" s="177"/>
      <c r="J933" s="177"/>
    </row>
    <row r="934" s="2" customFormat="true" ht="18.75" hidden="false" customHeight="true" outlineLevel="0" collapsed="false">
      <c r="E934" s="510"/>
      <c r="H934" s="177"/>
      <c r="I934" s="177"/>
      <c r="J934" s="177"/>
    </row>
    <row r="935" s="2" customFormat="true" ht="18.75" hidden="false" customHeight="true" outlineLevel="0" collapsed="false">
      <c r="E935" s="510"/>
      <c r="H935" s="177"/>
      <c r="I935" s="177"/>
      <c r="J935" s="177"/>
    </row>
    <row r="936" s="2" customFormat="true" ht="18.75" hidden="false" customHeight="true" outlineLevel="0" collapsed="false">
      <c r="E936" s="510"/>
      <c r="H936" s="177"/>
      <c r="I936" s="177"/>
      <c r="J936" s="177"/>
    </row>
    <row r="937" s="2" customFormat="true" ht="18.75" hidden="false" customHeight="true" outlineLevel="0" collapsed="false">
      <c r="E937" s="510"/>
      <c r="H937" s="177"/>
      <c r="I937" s="177"/>
      <c r="J937" s="177"/>
    </row>
    <row r="938" s="2" customFormat="true" ht="18.75" hidden="false" customHeight="true" outlineLevel="0" collapsed="false">
      <c r="E938" s="510"/>
      <c r="H938" s="177"/>
      <c r="I938" s="177"/>
      <c r="J938" s="177"/>
    </row>
    <row r="939" s="2" customFormat="true" ht="18.75" hidden="false" customHeight="true" outlineLevel="0" collapsed="false">
      <c r="E939" s="510"/>
      <c r="H939" s="177"/>
      <c r="I939" s="177"/>
      <c r="J939" s="177"/>
    </row>
    <row r="940" s="2" customFormat="true" ht="18.75" hidden="false" customHeight="true" outlineLevel="0" collapsed="false">
      <c r="E940" s="510"/>
      <c r="H940" s="177"/>
      <c r="I940" s="177"/>
      <c r="J940" s="177"/>
    </row>
    <row r="941" s="2" customFormat="true" ht="18.75" hidden="false" customHeight="true" outlineLevel="0" collapsed="false">
      <c r="E941" s="510"/>
      <c r="H941" s="177"/>
      <c r="I941" s="177"/>
      <c r="J941" s="177"/>
    </row>
    <row r="942" s="2" customFormat="true" ht="18.75" hidden="false" customHeight="true" outlineLevel="0" collapsed="false">
      <c r="E942" s="510"/>
      <c r="H942" s="177"/>
      <c r="I942" s="177"/>
      <c r="J942" s="177"/>
    </row>
    <row r="943" s="2" customFormat="true" ht="18.75" hidden="false" customHeight="true" outlineLevel="0" collapsed="false">
      <c r="E943" s="510"/>
      <c r="H943" s="177"/>
      <c r="I943" s="177"/>
      <c r="J943" s="177"/>
    </row>
    <row r="944" s="2" customFormat="true" ht="18.75" hidden="false" customHeight="true" outlineLevel="0" collapsed="false">
      <c r="E944" s="510"/>
      <c r="H944" s="177"/>
      <c r="I944" s="177"/>
      <c r="J944" s="177"/>
    </row>
    <row r="945" s="2" customFormat="true" ht="18.75" hidden="false" customHeight="true" outlineLevel="0" collapsed="false">
      <c r="E945" s="510"/>
      <c r="H945" s="177"/>
      <c r="I945" s="177"/>
      <c r="J945" s="177"/>
    </row>
    <row r="946" s="2" customFormat="true" ht="18.75" hidden="false" customHeight="true" outlineLevel="0" collapsed="false">
      <c r="E946" s="510"/>
      <c r="H946" s="177"/>
      <c r="I946" s="177"/>
      <c r="J946" s="177"/>
    </row>
    <row r="947" s="2" customFormat="true" ht="18.75" hidden="false" customHeight="true" outlineLevel="0" collapsed="false">
      <c r="E947" s="510"/>
      <c r="H947" s="177"/>
      <c r="I947" s="177"/>
      <c r="J947" s="177"/>
    </row>
    <row r="948" s="2" customFormat="true" ht="18.75" hidden="false" customHeight="true" outlineLevel="0" collapsed="false">
      <c r="E948" s="510"/>
      <c r="H948" s="177"/>
      <c r="I948" s="177"/>
      <c r="J948" s="177"/>
    </row>
    <row r="949" s="2" customFormat="true" ht="18.75" hidden="false" customHeight="true" outlineLevel="0" collapsed="false">
      <c r="E949" s="510"/>
      <c r="H949" s="177"/>
      <c r="I949" s="177"/>
      <c r="J949" s="177"/>
    </row>
    <row r="950" s="2" customFormat="true" ht="18.75" hidden="false" customHeight="true" outlineLevel="0" collapsed="false">
      <c r="E950" s="510"/>
      <c r="H950" s="177"/>
      <c r="I950" s="177"/>
      <c r="J950" s="177"/>
    </row>
    <row r="951" s="2" customFormat="true" ht="18.75" hidden="false" customHeight="true" outlineLevel="0" collapsed="false">
      <c r="E951" s="510"/>
      <c r="H951" s="177"/>
      <c r="I951" s="177"/>
      <c r="J951" s="177"/>
    </row>
    <row r="952" s="2" customFormat="true" ht="18.75" hidden="false" customHeight="true" outlineLevel="0" collapsed="false">
      <c r="E952" s="510"/>
      <c r="H952" s="177"/>
      <c r="I952" s="177"/>
      <c r="J952" s="177"/>
    </row>
    <row r="953" s="2" customFormat="true" ht="18.75" hidden="false" customHeight="true" outlineLevel="0" collapsed="false">
      <c r="E953" s="510"/>
      <c r="H953" s="177"/>
      <c r="I953" s="177"/>
      <c r="J953" s="177"/>
    </row>
    <row r="954" s="2" customFormat="true" ht="18.75" hidden="false" customHeight="true" outlineLevel="0" collapsed="false">
      <c r="E954" s="510"/>
      <c r="H954" s="177"/>
      <c r="I954" s="177"/>
      <c r="J954" s="177"/>
    </row>
    <row r="955" s="2" customFormat="true" ht="18.75" hidden="false" customHeight="true" outlineLevel="0" collapsed="false">
      <c r="E955" s="510"/>
      <c r="H955" s="177"/>
      <c r="I955" s="177"/>
      <c r="J955" s="177"/>
    </row>
    <row r="956" s="2" customFormat="true" ht="18.75" hidden="false" customHeight="true" outlineLevel="0" collapsed="false">
      <c r="E956" s="510"/>
      <c r="H956" s="177"/>
      <c r="I956" s="177"/>
      <c r="J956" s="177"/>
    </row>
    <row r="957" s="2" customFormat="true" ht="18.75" hidden="false" customHeight="true" outlineLevel="0" collapsed="false">
      <c r="E957" s="510"/>
      <c r="H957" s="177"/>
      <c r="I957" s="177"/>
      <c r="J957" s="177"/>
    </row>
    <row r="958" s="2" customFormat="true" ht="18.75" hidden="false" customHeight="true" outlineLevel="0" collapsed="false">
      <c r="E958" s="510"/>
      <c r="H958" s="177"/>
      <c r="I958" s="177"/>
      <c r="J958" s="177"/>
    </row>
    <row r="959" s="2" customFormat="true" ht="18.75" hidden="false" customHeight="true" outlineLevel="0" collapsed="false">
      <c r="E959" s="510"/>
      <c r="H959" s="177"/>
      <c r="I959" s="177"/>
      <c r="J959" s="177"/>
    </row>
    <row r="960" s="2" customFormat="true" ht="18.75" hidden="false" customHeight="true" outlineLevel="0" collapsed="false">
      <c r="E960" s="510"/>
      <c r="H960" s="177"/>
      <c r="I960" s="177"/>
      <c r="J960" s="177"/>
    </row>
    <row r="961" s="2" customFormat="true" ht="18.75" hidden="false" customHeight="true" outlineLevel="0" collapsed="false">
      <c r="E961" s="510"/>
      <c r="H961" s="177"/>
      <c r="I961" s="177"/>
      <c r="J961" s="177"/>
    </row>
    <row r="962" s="2" customFormat="true" ht="18.75" hidden="false" customHeight="true" outlineLevel="0" collapsed="false">
      <c r="E962" s="510"/>
      <c r="H962" s="177"/>
      <c r="I962" s="177"/>
      <c r="J962" s="177"/>
    </row>
    <row r="963" s="2" customFormat="true" ht="18.75" hidden="false" customHeight="true" outlineLevel="0" collapsed="false">
      <c r="E963" s="510"/>
      <c r="H963" s="177"/>
      <c r="I963" s="177"/>
      <c r="J963" s="177"/>
    </row>
    <row r="964" s="2" customFormat="true" ht="18.75" hidden="false" customHeight="true" outlineLevel="0" collapsed="false">
      <c r="E964" s="510"/>
      <c r="H964" s="177"/>
      <c r="I964" s="177"/>
      <c r="J964" s="177"/>
    </row>
    <row r="965" s="2" customFormat="true" ht="18.75" hidden="false" customHeight="true" outlineLevel="0" collapsed="false">
      <c r="E965" s="510"/>
      <c r="H965" s="177"/>
      <c r="I965" s="177"/>
      <c r="J965" s="177"/>
    </row>
    <row r="966" s="2" customFormat="true" ht="18.75" hidden="false" customHeight="true" outlineLevel="0" collapsed="false">
      <c r="E966" s="510"/>
      <c r="H966" s="177"/>
      <c r="I966" s="177"/>
      <c r="J966" s="177"/>
    </row>
    <row r="967" s="2" customFormat="true" ht="18.75" hidden="false" customHeight="true" outlineLevel="0" collapsed="false">
      <c r="E967" s="510"/>
      <c r="H967" s="177"/>
      <c r="I967" s="177"/>
      <c r="J967" s="177"/>
    </row>
    <row r="968" s="2" customFormat="true" ht="18.75" hidden="false" customHeight="true" outlineLevel="0" collapsed="false">
      <c r="E968" s="510"/>
      <c r="H968" s="177"/>
      <c r="I968" s="177"/>
      <c r="J968" s="177"/>
    </row>
    <row r="969" s="2" customFormat="true" ht="18.75" hidden="false" customHeight="true" outlineLevel="0" collapsed="false">
      <c r="E969" s="510"/>
      <c r="H969" s="177"/>
      <c r="I969" s="177"/>
      <c r="J969" s="177"/>
    </row>
    <row r="970" s="2" customFormat="true" ht="18.75" hidden="false" customHeight="true" outlineLevel="0" collapsed="false">
      <c r="E970" s="510"/>
      <c r="H970" s="177"/>
      <c r="I970" s="177"/>
      <c r="J970" s="177"/>
    </row>
    <row r="971" s="2" customFormat="true" ht="18.75" hidden="false" customHeight="true" outlineLevel="0" collapsed="false">
      <c r="E971" s="510"/>
      <c r="H971" s="177"/>
      <c r="I971" s="177"/>
      <c r="J971" s="177"/>
    </row>
    <row r="972" s="2" customFormat="true" ht="18.75" hidden="false" customHeight="true" outlineLevel="0" collapsed="false">
      <c r="E972" s="510"/>
      <c r="H972" s="177"/>
      <c r="I972" s="177"/>
      <c r="J972" s="177"/>
    </row>
    <row r="973" s="2" customFormat="true" ht="18.75" hidden="false" customHeight="true" outlineLevel="0" collapsed="false">
      <c r="E973" s="510"/>
      <c r="H973" s="177"/>
      <c r="I973" s="177"/>
      <c r="J973" s="177"/>
    </row>
    <row r="974" s="2" customFormat="true" ht="18.75" hidden="false" customHeight="true" outlineLevel="0" collapsed="false">
      <c r="E974" s="510"/>
      <c r="H974" s="177"/>
      <c r="I974" s="177"/>
      <c r="J974" s="177"/>
    </row>
    <row r="975" s="2" customFormat="true" ht="18.75" hidden="false" customHeight="true" outlineLevel="0" collapsed="false">
      <c r="E975" s="510"/>
      <c r="H975" s="177"/>
      <c r="I975" s="177"/>
      <c r="J975" s="177"/>
    </row>
    <row r="976" s="2" customFormat="true" ht="18.75" hidden="false" customHeight="true" outlineLevel="0" collapsed="false">
      <c r="E976" s="510"/>
      <c r="H976" s="177"/>
      <c r="I976" s="177"/>
      <c r="J976" s="177"/>
    </row>
    <row r="977" s="2" customFormat="true" ht="18.75" hidden="false" customHeight="true" outlineLevel="0" collapsed="false">
      <c r="E977" s="510"/>
      <c r="H977" s="177"/>
      <c r="I977" s="177"/>
      <c r="J977" s="177"/>
    </row>
    <row r="978" s="2" customFormat="true" ht="18.75" hidden="false" customHeight="true" outlineLevel="0" collapsed="false">
      <c r="E978" s="510"/>
      <c r="H978" s="177"/>
      <c r="I978" s="177"/>
      <c r="J978" s="177"/>
    </row>
    <row r="979" s="2" customFormat="true" ht="18.75" hidden="false" customHeight="true" outlineLevel="0" collapsed="false">
      <c r="E979" s="510"/>
      <c r="H979" s="177"/>
      <c r="I979" s="177"/>
      <c r="J979" s="177"/>
    </row>
    <row r="980" s="2" customFormat="true" ht="18.75" hidden="false" customHeight="true" outlineLevel="0" collapsed="false">
      <c r="E980" s="510"/>
      <c r="H980" s="177"/>
      <c r="I980" s="177"/>
      <c r="J980" s="177"/>
    </row>
    <row r="981" s="2" customFormat="true" ht="18.75" hidden="false" customHeight="true" outlineLevel="0" collapsed="false">
      <c r="E981" s="510"/>
      <c r="H981" s="177"/>
      <c r="I981" s="177"/>
      <c r="J981" s="177"/>
    </row>
    <row r="982" s="2" customFormat="true" ht="18.75" hidden="false" customHeight="true" outlineLevel="0" collapsed="false">
      <c r="E982" s="510"/>
      <c r="H982" s="177"/>
      <c r="I982" s="177"/>
      <c r="J982" s="177"/>
    </row>
    <row r="983" s="2" customFormat="true" ht="18.75" hidden="false" customHeight="true" outlineLevel="0" collapsed="false">
      <c r="E983" s="510"/>
      <c r="H983" s="177"/>
      <c r="I983" s="177"/>
      <c r="J983" s="177"/>
    </row>
    <row r="984" s="2" customFormat="true" ht="18.75" hidden="false" customHeight="true" outlineLevel="0" collapsed="false">
      <c r="E984" s="510"/>
      <c r="H984" s="177"/>
      <c r="I984" s="177"/>
      <c r="J984" s="177"/>
    </row>
    <row r="985" s="2" customFormat="true" ht="18.75" hidden="false" customHeight="true" outlineLevel="0" collapsed="false">
      <c r="E985" s="510"/>
      <c r="H985" s="177"/>
      <c r="I985" s="177"/>
      <c r="J985" s="177"/>
    </row>
    <row r="986" s="2" customFormat="true" ht="18.75" hidden="false" customHeight="true" outlineLevel="0" collapsed="false">
      <c r="E986" s="510"/>
      <c r="H986" s="177"/>
      <c r="I986" s="177"/>
      <c r="J986" s="177"/>
    </row>
    <row r="987" s="2" customFormat="true" ht="18.75" hidden="false" customHeight="true" outlineLevel="0" collapsed="false">
      <c r="E987" s="510"/>
      <c r="H987" s="177"/>
      <c r="I987" s="177"/>
      <c r="J987" s="177"/>
    </row>
    <row r="988" s="2" customFormat="true" ht="18.75" hidden="false" customHeight="true" outlineLevel="0" collapsed="false">
      <c r="E988" s="510"/>
      <c r="H988" s="177"/>
      <c r="I988" s="177"/>
      <c r="J988" s="177"/>
    </row>
    <row r="989" s="2" customFormat="true" ht="18.75" hidden="false" customHeight="true" outlineLevel="0" collapsed="false">
      <c r="E989" s="510"/>
      <c r="H989" s="177"/>
      <c r="I989" s="177"/>
      <c r="J989" s="177"/>
    </row>
    <row r="990" s="2" customFormat="true" ht="18.75" hidden="false" customHeight="true" outlineLevel="0" collapsed="false">
      <c r="E990" s="510"/>
      <c r="H990" s="177"/>
      <c r="I990" s="177"/>
      <c r="J990" s="177"/>
    </row>
    <row r="991" s="2" customFormat="true" ht="18.75" hidden="false" customHeight="true" outlineLevel="0" collapsed="false">
      <c r="E991" s="510"/>
      <c r="H991" s="177"/>
      <c r="I991" s="177"/>
      <c r="J991" s="177"/>
    </row>
    <row r="992" s="2" customFormat="true" ht="18.75" hidden="false" customHeight="true" outlineLevel="0" collapsed="false">
      <c r="E992" s="510"/>
      <c r="H992" s="177"/>
      <c r="I992" s="177"/>
      <c r="J992" s="177"/>
    </row>
    <row r="993" s="2" customFormat="true" ht="18.75" hidden="false" customHeight="true" outlineLevel="0" collapsed="false">
      <c r="E993" s="510"/>
      <c r="H993" s="177"/>
      <c r="I993" s="177"/>
      <c r="J993" s="177"/>
    </row>
    <row r="994" s="2" customFormat="true" ht="18.75" hidden="false" customHeight="true" outlineLevel="0" collapsed="false">
      <c r="E994" s="510"/>
      <c r="H994" s="177"/>
      <c r="I994" s="177"/>
      <c r="J994" s="177"/>
    </row>
    <row r="995" s="2" customFormat="true" ht="18.75" hidden="false" customHeight="true" outlineLevel="0" collapsed="false">
      <c r="E995" s="510"/>
      <c r="H995" s="177"/>
      <c r="I995" s="177"/>
      <c r="J995" s="177"/>
    </row>
    <row r="996" s="2" customFormat="true" ht="18.75" hidden="false" customHeight="true" outlineLevel="0" collapsed="false">
      <c r="E996" s="510"/>
      <c r="H996" s="177"/>
      <c r="I996" s="177"/>
      <c r="J996" s="177"/>
    </row>
    <row r="997" s="2" customFormat="true" ht="18.75" hidden="false" customHeight="true" outlineLevel="0" collapsed="false">
      <c r="E997" s="510"/>
      <c r="H997" s="177"/>
      <c r="I997" s="177"/>
      <c r="J997" s="177"/>
    </row>
    <row r="998" s="2" customFormat="true" ht="18.75" hidden="false" customHeight="true" outlineLevel="0" collapsed="false">
      <c r="E998" s="510"/>
      <c r="H998" s="177"/>
      <c r="I998" s="177"/>
      <c r="J998" s="177"/>
    </row>
    <row r="999" s="2" customFormat="true" ht="18.75" hidden="false" customHeight="true" outlineLevel="0" collapsed="false">
      <c r="E999" s="510"/>
      <c r="H999" s="177"/>
      <c r="I999" s="177"/>
      <c r="J999" s="177"/>
    </row>
    <row r="1000" s="2" customFormat="true" ht="18.75" hidden="false" customHeight="true" outlineLevel="0" collapsed="false">
      <c r="E1000" s="510"/>
      <c r="H1000" s="177"/>
      <c r="I1000" s="177"/>
      <c r="J1000" s="177"/>
    </row>
    <row r="1001" s="2" customFormat="true" ht="18.75" hidden="false" customHeight="true" outlineLevel="0" collapsed="false">
      <c r="E1001" s="510"/>
      <c r="H1001" s="177"/>
      <c r="I1001" s="177"/>
      <c r="J1001" s="177"/>
    </row>
    <row r="1002" s="2" customFormat="true" ht="18.75" hidden="false" customHeight="true" outlineLevel="0" collapsed="false">
      <c r="E1002" s="510"/>
      <c r="H1002" s="177"/>
      <c r="I1002" s="177"/>
      <c r="J1002" s="177"/>
    </row>
    <row r="1003" s="2" customFormat="true" ht="18.75" hidden="false" customHeight="true" outlineLevel="0" collapsed="false">
      <c r="E1003" s="510"/>
      <c r="H1003" s="177"/>
      <c r="I1003" s="177"/>
      <c r="J1003" s="177"/>
    </row>
    <row r="1004" s="2" customFormat="true" ht="18.75" hidden="false" customHeight="true" outlineLevel="0" collapsed="false">
      <c r="E1004" s="510"/>
      <c r="H1004" s="177"/>
      <c r="I1004" s="177"/>
      <c r="J1004" s="177"/>
    </row>
    <row r="1005" s="2" customFormat="true" ht="18.75" hidden="false" customHeight="true" outlineLevel="0" collapsed="false">
      <c r="E1005" s="510"/>
      <c r="H1005" s="177"/>
      <c r="I1005" s="177"/>
      <c r="J1005" s="177"/>
    </row>
    <row r="1006" s="2" customFormat="true" ht="18.75" hidden="false" customHeight="true" outlineLevel="0" collapsed="false">
      <c r="E1006" s="510"/>
      <c r="H1006" s="177"/>
      <c r="I1006" s="177"/>
      <c r="J1006" s="177"/>
    </row>
    <row r="1007" s="2" customFormat="true" ht="18.75" hidden="false" customHeight="true" outlineLevel="0" collapsed="false">
      <c r="E1007" s="510"/>
      <c r="H1007" s="177"/>
      <c r="I1007" s="177"/>
      <c r="J1007" s="177"/>
    </row>
    <row r="1008" s="2" customFormat="true" ht="18.75" hidden="false" customHeight="true" outlineLevel="0" collapsed="false">
      <c r="E1008" s="510"/>
      <c r="H1008" s="177"/>
      <c r="I1008" s="177"/>
      <c r="J1008" s="177"/>
    </row>
    <row r="1009" s="2" customFormat="true" ht="18.75" hidden="false" customHeight="true" outlineLevel="0" collapsed="false">
      <c r="E1009" s="510"/>
      <c r="H1009" s="177"/>
      <c r="I1009" s="177"/>
      <c r="J1009" s="177"/>
    </row>
    <row r="1010" s="2" customFormat="true" ht="18.75" hidden="false" customHeight="true" outlineLevel="0" collapsed="false">
      <c r="E1010" s="510"/>
      <c r="H1010" s="177"/>
      <c r="I1010" s="177"/>
      <c r="J1010" s="177"/>
    </row>
    <row r="1011" s="2" customFormat="true" ht="18.75" hidden="false" customHeight="true" outlineLevel="0" collapsed="false">
      <c r="E1011" s="510"/>
      <c r="H1011" s="177"/>
      <c r="I1011" s="177"/>
      <c r="J1011" s="177"/>
    </row>
    <row r="1012" s="2" customFormat="true" ht="18.75" hidden="false" customHeight="true" outlineLevel="0" collapsed="false">
      <c r="E1012" s="510"/>
      <c r="H1012" s="177"/>
      <c r="I1012" s="177"/>
      <c r="J1012" s="177"/>
    </row>
    <row r="1013" s="2" customFormat="true" ht="18.75" hidden="false" customHeight="true" outlineLevel="0" collapsed="false">
      <c r="E1013" s="510"/>
      <c r="H1013" s="177"/>
      <c r="I1013" s="177"/>
      <c r="J1013" s="177"/>
    </row>
    <row r="1014" s="2" customFormat="true" ht="18.75" hidden="false" customHeight="true" outlineLevel="0" collapsed="false">
      <c r="E1014" s="510"/>
      <c r="H1014" s="177"/>
      <c r="I1014" s="177"/>
      <c r="J1014" s="177"/>
    </row>
    <row r="1015" s="2" customFormat="true" ht="18.75" hidden="false" customHeight="true" outlineLevel="0" collapsed="false">
      <c r="E1015" s="510"/>
      <c r="H1015" s="177"/>
      <c r="I1015" s="177"/>
      <c r="J1015" s="177"/>
    </row>
    <row r="1016" s="2" customFormat="true" ht="18.75" hidden="false" customHeight="true" outlineLevel="0" collapsed="false">
      <c r="E1016" s="510"/>
      <c r="H1016" s="177"/>
      <c r="I1016" s="177"/>
      <c r="J1016" s="177"/>
    </row>
    <row r="1017" s="2" customFormat="true" ht="18.75" hidden="false" customHeight="true" outlineLevel="0" collapsed="false">
      <c r="E1017" s="510"/>
      <c r="H1017" s="177"/>
      <c r="I1017" s="177"/>
      <c r="J1017" s="177"/>
    </row>
    <row r="1018" s="2" customFormat="true" ht="18.75" hidden="false" customHeight="true" outlineLevel="0" collapsed="false">
      <c r="E1018" s="510"/>
      <c r="H1018" s="177"/>
      <c r="I1018" s="177"/>
      <c r="J1018" s="177"/>
    </row>
    <row r="1019" s="2" customFormat="true" ht="18.75" hidden="false" customHeight="true" outlineLevel="0" collapsed="false">
      <c r="E1019" s="510"/>
      <c r="H1019" s="177"/>
      <c r="I1019" s="177"/>
      <c r="J1019" s="177"/>
    </row>
    <row r="1020" s="2" customFormat="true" ht="18.75" hidden="false" customHeight="true" outlineLevel="0" collapsed="false">
      <c r="E1020" s="510"/>
      <c r="H1020" s="177"/>
      <c r="I1020" s="177"/>
      <c r="J1020" s="177"/>
    </row>
    <row r="1021" s="2" customFormat="true" ht="18.75" hidden="false" customHeight="true" outlineLevel="0" collapsed="false">
      <c r="E1021" s="510"/>
      <c r="H1021" s="177"/>
      <c r="I1021" s="177"/>
      <c r="J1021" s="177"/>
    </row>
  </sheetData>
  <mergeCells count="3">
    <mergeCell ref="B4:B6"/>
    <mergeCell ref="B7:B8"/>
    <mergeCell ref="B16:B1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21"/>
  <sheetViews>
    <sheetView showFormulas="false" showGridLines="false" showRowColHeaders="true" showZeros="true" rightToLeft="false" tabSelected="false" showOutlineSymbols="true" defaultGridColor="true" view="normal" topLeftCell="A2" colorId="64" zoomScale="100" zoomScaleNormal="100" zoomScalePageLayoutView="100" workbookViewId="0">
      <selection pane="topLeft" activeCell="I4" activeCellId="0" sqref="I4"/>
    </sheetView>
  </sheetViews>
  <sheetFormatPr defaultColWidth="8.87890625" defaultRowHeight="18.75" zeroHeight="false" outlineLevelRow="0" outlineLevelCol="0"/>
  <cols>
    <col collapsed="false" customWidth="false" hidden="false" outlineLevel="0" max="1" min="1" style="2" width="8.88"/>
    <col collapsed="false" customWidth="true" hidden="false" outlineLevel="0" max="2" min="2" style="2" width="11.13"/>
    <col collapsed="false" customWidth="true" hidden="false" outlineLevel="0" max="3" min="3" style="2" width="17.5"/>
    <col collapsed="false" customWidth="true" hidden="false" outlineLevel="0" max="4" min="4" style="2" width="21.13"/>
    <col collapsed="false" customWidth="true" hidden="false" outlineLevel="0" max="5" min="5" style="510" width="13.38"/>
    <col collapsed="false" customWidth="true" hidden="false" outlineLevel="0" max="6" min="6" style="2" width="11.38"/>
    <col collapsed="false" customWidth="true" hidden="false" outlineLevel="0" max="7" min="7" style="2" width="20.38"/>
    <col collapsed="false" customWidth="true" hidden="false" outlineLevel="0" max="9" min="8" style="177" width="13.38"/>
    <col collapsed="false" customWidth="true" hidden="false" outlineLevel="0" max="10" min="10" style="2" width="34.13"/>
    <col collapsed="false" customWidth="false" hidden="false" outlineLevel="0" max="16384" min="11" style="2" width="8.88"/>
  </cols>
  <sheetData>
    <row r="1" s="2" customFormat="true" ht="18.75" hidden="false" customHeight="true" outlineLevel="0" collapsed="false"/>
    <row r="2" s="2" customFormat="true" ht="18.75" hidden="false" customHeight="true" outlineLevel="0" collapsed="false">
      <c r="B2" s="391"/>
      <c r="C2" s="391"/>
    </row>
    <row r="3" customFormat="false" ht="39" hidden="false" customHeight="true" outlineLevel="0" collapsed="false">
      <c r="B3" s="217" t="s">
        <v>335</v>
      </c>
      <c r="C3" s="217" t="s">
        <v>335</v>
      </c>
      <c r="D3" s="503" t="s">
        <v>687</v>
      </c>
      <c r="E3" s="503" t="s">
        <v>688</v>
      </c>
      <c r="F3" s="503" t="s">
        <v>701</v>
      </c>
      <c r="G3" s="503" t="s">
        <v>702</v>
      </c>
      <c r="H3" s="503" t="s">
        <v>674</v>
      </c>
      <c r="I3" s="503" t="s">
        <v>675</v>
      </c>
      <c r="J3" s="180" t="s">
        <v>240</v>
      </c>
    </row>
    <row r="4" customFormat="false" ht="39" hidden="false" customHeight="true" outlineLevel="0" collapsed="false">
      <c r="B4" s="531" t="s">
        <v>436</v>
      </c>
      <c r="C4" s="357" t="s">
        <v>703</v>
      </c>
      <c r="D4" s="532" t="s">
        <v>704</v>
      </c>
      <c r="E4" s="529"/>
      <c r="F4" s="533" t="s">
        <v>705</v>
      </c>
      <c r="G4" s="532" t="s">
        <v>526</v>
      </c>
      <c r="H4" s="507"/>
      <c r="I4" s="507"/>
      <c r="J4" s="534" t="s">
        <v>706</v>
      </c>
    </row>
    <row r="5" customFormat="false" ht="39" hidden="false" customHeight="true" outlineLevel="0" collapsed="false">
      <c r="B5" s="531" t="s">
        <v>439</v>
      </c>
      <c r="C5" s="357" t="s">
        <v>703</v>
      </c>
      <c r="D5" s="532" t="s">
        <v>707</v>
      </c>
      <c r="E5" s="529"/>
      <c r="F5" s="533" t="s">
        <v>708</v>
      </c>
      <c r="G5" s="532" t="s">
        <v>526</v>
      </c>
      <c r="H5" s="507"/>
      <c r="I5" s="507"/>
      <c r="J5" s="534" t="s">
        <v>709</v>
      </c>
    </row>
    <row r="6" customFormat="false" ht="19.5" hidden="false" customHeight="true" outlineLevel="0" collapsed="false">
      <c r="B6" s="531" t="s">
        <v>441</v>
      </c>
      <c r="C6" s="357" t="s">
        <v>703</v>
      </c>
      <c r="D6" s="532" t="s">
        <v>710</v>
      </c>
      <c r="E6" s="529"/>
      <c r="F6" s="533" t="s">
        <v>711</v>
      </c>
      <c r="G6" s="532" t="s">
        <v>526</v>
      </c>
      <c r="H6" s="507"/>
      <c r="I6" s="507"/>
      <c r="J6" s="534" t="s">
        <v>712</v>
      </c>
    </row>
    <row r="7" customFormat="false" ht="22.5" hidden="false" customHeight="true" outlineLevel="0" collapsed="false">
      <c r="B7" s="531" t="s">
        <v>466</v>
      </c>
      <c r="C7" s="357" t="s">
        <v>703</v>
      </c>
      <c r="D7" s="532" t="s">
        <v>713</v>
      </c>
      <c r="E7" s="529"/>
      <c r="F7" s="505" t="s">
        <v>682</v>
      </c>
      <c r="G7" s="532" t="s">
        <v>526</v>
      </c>
      <c r="H7" s="507"/>
      <c r="I7" s="507"/>
      <c r="J7" s="534" t="s">
        <v>714</v>
      </c>
    </row>
    <row r="8" customFormat="false" ht="22.5" hidden="false" customHeight="true" outlineLevel="0" collapsed="false">
      <c r="B8" s="531" t="s">
        <v>468</v>
      </c>
      <c r="C8" s="357" t="s">
        <v>703</v>
      </c>
      <c r="D8" s="532" t="s">
        <v>715</v>
      </c>
      <c r="E8" s="529"/>
      <c r="F8" s="505" t="s">
        <v>682</v>
      </c>
      <c r="G8" s="532" t="s">
        <v>526</v>
      </c>
      <c r="H8" s="507"/>
      <c r="I8" s="507"/>
      <c r="J8" s="534" t="s">
        <v>716</v>
      </c>
    </row>
    <row r="9" customFormat="false" ht="22.5" hidden="false" customHeight="true" outlineLevel="0" collapsed="false">
      <c r="B9" s="531" t="s">
        <v>446</v>
      </c>
      <c r="C9" s="357" t="s">
        <v>703</v>
      </c>
      <c r="D9" s="532" t="s">
        <v>717</v>
      </c>
      <c r="E9" s="529"/>
      <c r="F9" s="505" t="s">
        <v>682</v>
      </c>
      <c r="G9" s="532" t="s">
        <v>718</v>
      </c>
      <c r="H9" s="507" t="n">
        <v>749000</v>
      </c>
      <c r="I9" s="507" t="n">
        <v>2700000</v>
      </c>
      <c r="J9" s="530" t="s">
        <v>719</v>
      </c>
    </row>
    <row r="10" customFormat="false" ht="75.75" hidden="false" customHeight="true" outlineLevel="0" collapsed="false">
      <c r="B10" s="531" t="s">
        <v>450</v>
      </c>
      <c r="C10" s="357" t="s">
        <v>720</v>
      </c>
      <c r="D10" s="532" t="s">
        <v>721</v>
      </c>
      <c r="E10" s="529" t="n">
        <v>395.38</v>
      </c>
      <c r="F10" s="533" t="s">
        <v>722</v>
      </c>
      <c r="G10" s="532" t="s">
        <v>723</v>
      </c>
      <c r="H10" s="507" t="n">
        <v>640000</v>
      </c>
      <c r="I10" s="507" t="n">
        <v>2800000</v>
      </c>
      <c r="J10" s="530" t="s">
        <v>724</v>
      </c>
    </row>
    <row r="11" customFormat="false" ht="22.5" hidden="false" customHeight="true" outlineLevel="0" collapsed="false">
      <c r="B11" s="531" t="s">
        <v>453</v>
      </c>
      <c r="C11" s="357" t="s">
        <v>720</v>
      </c>
      <c r="D11" s="532" t="s">
        <v>725</v>
      </c>
      <c r="E11" s="529" t="n">
        <v>421.1</v>
      </c>
      <c r="F11" s="533" t="s">
        <v>726</v>
      </c>
      <c r="G11" s="532" t="s">
        <v>727</v>
      </c>
      <c r="H11" s="507" t="n">
        <v>920000</v>
      </c>
      <c r="I11" s="507" t="n">
        <v>3600000</v>
      </c>
      <c r="J11" s="534" t="s">
        <v>728</v>
      </c>
    </row>
    <row r="12" customFormat="false" ht="30.75" hidden="false" customHeight="true" outlineLevel="0" collapsed="false">
      <c r="B12" s="531" t="s">
        <v>500</v>
      </c>
      <c r="C12" s="357" t="s">
        <v>729</v>
      </c>
      <c r="D12" s="532" t="s">
        <v>730</v>
      </c>
      <c r="E12" s="529"/>
      <c r="F12" s="505" t="s">
        <v>682</v>
      </c>
      <c r="G12" s="532" t="s">
        <v>731</v>
      </c>
      <c r="H12" s="507" t="n">
        <v>83333</v>
      </c>
      <c r="I12" s="507"/>
      <c r="J12" s="530" t="s">
        <v>732</v>
      </c>
    </row>
    <row r="13" customFormat="false" ht="30.75" hidden="false" customHeight="true" outlineLevel="0" collapsed="false">
      <c r="B13" s="531" t="s">
        <v>733</v>
      </c>
      <c r="C13" s="357" t="s">
        <v>734</v>
      </c>
      <c r="D13" s="532" t="s">
        <v>735</v>
      </c>
      <c r="E13" s="529"/>
      <c r="F13" s="505" t="s">
        <v>682</v>
      </c>
      <c r="G13" s="532" t="s">
        <v>736</v>
      </c>
      <c r="H13" s="507" t="n">
        <v>47831</v>
      </c>
      <c r="I13" s="507"/>
      <c r="J13" s="530" t="s">
        <v>737</v>
      </c>
    </row>
    <row r="14" customFormat="false" ht="18.75" hidden="false" customHeight="true" outlineLevel="0" collapsed="false">
      <c r="B14" s="531" t="s">
        <v>738</v>
      </c>
      <c r="C14" s="357" t="s">
        <v>739</v>
      </c>
      <c r="D14" s="532" t="s">
        <v>682</v>
      </c>
      <c r="E14" s="529"/>
      <c r="F14" s="505" t="s">
        <v>682</v>
      </c>
      <c r="G14" s="532" t="s">
        <v>740</v>
      </c>
      <c r="H14" s="507" t="n">
        <v>201667</v>
      </c>
      <c r="I14" s="507"/>
      <c r="J14" s="530" t="s">
        <v>741</v>
      </c>
    </row>
    <row r="15" customFormat="false" ht="39" hidden="false" customHeight="true" outlineLevel="0" collapsed="false">
      <c r="B15" s="531" t="s">
        <v>742</v>
      </c>
      <c r="C15" s="357" t="s">
        <v>743</v>
      </c>
      <c r="D15" s="532" t="s">
        <v>682</v>
      </c>
      <c r="E15" s="529"/>
      <c r="F15" s="505" t="s">
        <v>682</v>
      </c>
      <c r="G15" s="532" t="s">
        <v>744</v>
      </c>
      <c r="H15" s="507" t="n">
        <v>42725</v>
      </c>
      <c r="I15" s="507"/>
      <c r="J15" s="530" t="s">
        <v>745</v>
      </c>
    </row>
    <row r="16" customFormat="false" ht="39" hidden="false" customHeight="true" outlineLevel="0" collapsed="false">
      <c r="B16" s="531"/>
      <c r="C16" s="357"/>
      <c r="D16" s="532"/>
      <c r="E16" s="529"/>
      <c r="F16" s="505"/>
      <c r="G16" s="532"/>
      <c r="H16" s="507"/>
      <c r="I16" s="507"/>
      <c r="J16" s="534"/>
    </row>
    <row r="17" customFormat="false" ht="22.5" hidden="false" customHeight="true" outlineLevel="0" collapsed="false">
      <c r="B17" s="357"/>
      <c r="C17" s="357"/>
      <c r="D17" s="357"/>
      <c r="E17" s="526"/>
      <c r="F17" s="357"/>
      <c r="G17" s="532"/>
      <c r="H17" s="31"/>
      <c r="I17" s="31"/>
      <c r="J17" s="534"/>
    </row>
    <row r="18" customFormat="false" ht="19.5" hidden="false" customHeight="true" outlineLevel="0" collapsed="false">
      <c r="B18" s="535" t="s">
        <v>746</v>
      </c>
      <c r="C18" s="357"/>
      <c r="D18" s="357"/>
      <c r="E18" s="536"/>
      <c r="F18" s="357"/>
      <c r="G18" s="357"/>
      <c r="H18" s="31"/>
      <c r="I18" s="31"/>
      <c r="J18" s="523"/>
    </row>
    <row r="19" customFormat="false" ht="22.5" hidden="false" customHeight="true" outlineLevel="0" collapsed="false">
      <c r="B19" s="525"/>
      <c r="C19" s="525"/>
      <c r="D19" s="357"/>
      <c r="E19" s="526"/>
      <c r="F19" s="357"/>
      <c r="G19" s="357"/>
      <c r="H19" s="31"/>
      <c r="I19" s="31"/>
      <c r="J19" s="523"/>
    </row>
    <row r="20" customFormat="false" ht="22.5" hidden="false" customHeight="true" outlineLevel="0" collapsed="false">
      <c r="B20" s="525"/>
      <c r="C20" s="525"/>
      <c r="D20" s="357"/>
      <c r="E20" s="526"/>
      <c r="F20" s="357"/>
      <c r="G20" s="357"/>
      <c r="H20" s="31"/>
      <c r="I20" s="31"/>
      <c r="J20" s="523"/>
    </row>
    <row r="21" customFormat="false" ht="22.5" hidden="false" customHeight="true" outlineLevel="0" collapsed="false">
      <c r="B21" s="525"/>
      <c r="C21" s="525"/>
      <c r="D21" s="357"/>
      <c r="E21" s="526"/>
      <c r="F21" s="357"/>
      <c r="G21" s="357"/>
      <c r="H21" s="31"/>
      <c r="I21" s="31"/>
      <c r="J21" s="52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2" activeCellId="0" sqref="C2"/>
    </sheetView>
  </sheetViews>
  <sheetFormatPr defaultColWidth="8.5390625" defaultRowHeight="18" zeroHeight="false" outlineLevelRow="0" outlineLevelCol="0"/>
  <cols>
    <col collapsed="false" customWidth="true" hidden="false" outlineLevel="0" max="2" min="2" style="1" width="5.13"/>
    <col collapsed="false" customWidth="true" hidden="false" outlineLevel="0" max="10" min="3" style="20" width="16.13"/>
    <col collapsed="false" customWidth="true" hidden="false" outlineLevel="0" max="11" min="11" style="20" width="55.5"/>
  </cols>
  <sheetData>
    <row r="2" customFormat="false" ht="19.5" hidden="false" customHeight="true" outlineLevel="0" collapsed="false">
      <c r="B2" s="372" t="s">
        <v>227</v>
      </c>
      <c r="C2" s="61" t="s">
        <v>6</v>
      </c>
      <c r="D2" s="179" t="s">
        <v>747</v>
      </c>
      <c r="E2" s="179" t="s">
        <v>748</v>
      </c>
      <c r="F2" s="179" t="s">
        <v>749</v>
      </c>
      <c r="G2" s="179" t="s">
        <v>750</v>
      </c>
      <c r="H2" s="179" t="s">
        <v>751</v>
      </c>
      <c r="I2" s="537" t="s">
        <v>752</v>
      </c>
      <c r="J2" s="537" t="s">
        <v>753</v>
      </c>
      <c r="K2" s="180" t="s">
        <v>754</v>
      </c>
    </row>
    <row r="3" customFormat="false" ht="22.5" hidden="false" customHeight="true" outlineLevel="0" collapsed="false">
      <c r="B3" s="447" t="n">
        <v>1</v>
      </c>
      <c r="C3" s="538" t="s">
        <v>419</v>
      </c>
      <c r="D3" s="538" t="s">
        <v>755</v>
      </c>
      <c r="E3" s="538" t="s">
        <v>756</v>
      </c>
      <c r="F3" s="485" t="s">
        <v>757</v>
      </c>
      <c r="G3" s="485" t="s">
        <v>758</v>
      </c>
      <c r="H3" s="485" t="s">
        <v>759</v>
      </c>
      <c r="I3" s="485" t="n">
        <v>15950000</v>
      </c>
      <c r="J3" s="485" t="n">
        <v>14347025</v>
      </c>
      <c r="K3" s="534" t="s">
        <v>760</v>
      </c>
    </row>
    <row r="4" customFormat="false" ht="22.5" hidden="false" customHeight="true" outlineLevel="0" collapsed="false">
      <c r="B4" s="447" t="n">
        <v>2</v>
      </c>
      <c r="C4" s="538" t="s">
        <v>419</v>
      </c>
      <c r="D4" s="538" t="s">
        <v>761</v>
      </c>
      <c r="E4" s="538" t="s">
        <v>756</v>
      </c>
      <c r="F4" s="485" t="s">
        <v>757</v>
      </c>
      <c r="G4" s="485" t="s">
        <v>758</v>
      </c>
      <c r="H4" s="485" t="s">
        <v>759</v>
      </c>
      <c r="I4" s="485" t="n">
        <v>13000000</v>
      </c>
      <c r="J4" s="485" t="n">
        <v>12927417</v>
      </c>
      <c r="K4" s="486"/>
    </row>
    <row r="5" customFormat="false" ht="22.5" hidden="false" customHeight="true" outlineLevel="0" collapsed="false">
      <c r="B5" s="447" t="n">
        <v>3</v>
      </c>
      <c r="C5" s="538" t="s">
        <v>419</v>
      </c>
      <c r="D5" s="538" t="s">
        <v>762</v>
      </c>
      <c r="E5" s="538" t="s">
        <v>756</v>
      </c>
      <c r="F5" s="485" t="s">
        <v>757</v>
      </c>
      <c r="G5" s="485" t="s">
        <v>763</v>
      </c>
      <c r="H5" s="485" t="s">
        <v>759</v>
      </c>
      <c r="I5" s="485" t="n">
        <v>8091127</v>
      </c>
      <c r="J5" s="485" t="n">
        <v>7368321</v>
      </c>
      <c r="K5" s="486"/>
    </row>
    <row r="6" customFormat="false" ht="22.5" hidden="false" customHeight="true" outlineLevel="0" collapsed="false">
      <c r="B6" s="447" t="n">
        <v>4</v>
      </c>
      <c r="C6" s="538" t="s">
        <v>419</v>
      </c>
      <c r="D6" s="538" t="s">
        <v>764</v>
      </c>
      <c r="E6" s="538" t="s">
        <v>756</v>
      </c>
      <c r="F6" s="485" t="s">
        <v>757</v>
      </c>
      <c r="G6" s="485" t="s">
        <v>763</v>
      </c>
      <c r="H6" s="485" t="s">
        <v>759</v>
      </c>
      <c r="I6" s="485" t="n">
        <v>4319200</v>
      </c>
      <c r="J6" s="485" t="n">
        <v>4270969</v>
      </c>
      <c r="K6" s="486"/>
    </row>
    <row r="7" customFormat="false" ht="22.5" hidden="false" customHeight="true" outlineLevel="0" collapsed="false">
      <c r="B7" s="447" t="n">
        <v>5</v>
      </c>
      <c r="C7" s="538" t="s">
        <v>419</v>
      </c>
      <c r="D7" s="538" t="s">
        <v>765</v>
      </c>
      <c r="E7" s="538" t="s">
        <v>756</v>
      </c>
      <c r="F7" s="485" t="s">
        <v>757</v>
      </c>
      <c r="G7" s="485" t="s">
        <v>766</v>
      </c>
      <c r="H7" s="485" t="s">
        <v>759</v>
      </c>
      <c r="I7" s="485" t="n">
        <v>2158650</v>
      </c>
      <c r="J7" s="485" t="n">
        <v>2050179</v>
      </c>
      <c r="K7" s="486"/>
    </row>
    <row r="8" customFormat="false" ht="22.5" hidden="false" customHeight="true" outlineLevel="0" collapsed="false">
      <c r="B8" s="447" t="n">
        <v>6</v>
      </c>
      <c r="C8" s="538" t="s">
        <v>419</v>
      </c>
      <c r="D8" s="538" t="s">
        <v>767</v>
      </c>
      <c r="E8" s="538" t="s">
        <v>756</v>
      </c>
      <c r="F8" s="485" t="s">
        <v>768</v>
      </c>
      <c r="G8" s="485" t="s">
        <v>763</v>
      </c>
      <c r="H8" s="485" t="s">
        <v>769</v>
      </c>
      <c r="I8" s="485" t="n">
        <v>1945900</v>
      </c>
      <c r="J8" s="485" t="n">
        <v>1800607</v>
      </c>
      <c r="K8" s="486"/>
    </row>
    <row r="9" customFormat="false" ht="22.5" hidden="false" customHeight="true" outlineLevel="0" collapsed="false">
      <c r="B9" s="447" t="n">
        <v>7</v>
      </c>
      <c r="C9" s="538" t="s">
        <v>419</v>
      </c>
      <c r="D9" s="538" t="s">
        <v>770</v>
      </c>
      <c r="E9" s="538" t="s">
        <v>756</v>
      </c>
      <c r="F9" s="485" t="s">
        <v>757</v>
      </c>
      <c r="G9" s="485" t="s">
        <v>771</v>
      </c>
      <c r="H9" s="485" t="s">
        <v>769</v>
      </c>
      <c r="I9" s="485" t="n">
        <v>1760000</v>
      </c>
      <c r="J9" s="485" t="n">
        <v>1751787</v>
      </c>
      <c r="K9" s="486"/>
    </row>
    <row r="10" customFormat="false" ht="22.5" hidden="false" customHeight="true" outlineLevel="0" collapsed="false">
      <c r="B10" s="447" t="n">
        <v>8</v>
      </c>
      <c r="C10" s="538" t="s">
        <v>419</v>
      </c>
      <c r="D10" s="538" t="s">
        <v>772</v>
      </c>
      <c r="E10" s="538" t="s">
        <v>756</v>
      </c>
      <c r="F10" s="485" t="s">
        <v>757</v>
      </c>
      <c r="G10" s="485" t="s">
        <v>773</v>
      </c>
      <c r="H10" s="485" t="s">
        <v>759</v>
      </c>
      <c r="I10" s="485" t="n">
        <v>1892000</v>
      </c>
      <c r="J10" s="485" t="n">
        <v>1839182</v>
      </c>
      <c r="K10" s="486"/>
    </row>
    <row r="11" customFormat="false" ht="22.5" hidden="false" customHeight="true" outlineLevel="0" collapsed="false">
      <c r="B11" s="447" t="n">
        <v>9</v>
      </c>
      <c r="C11" s="538" t="s">
        <v>419</v>
      </c>
      <c r="D11" s="538" t="s">
        <v>774</v>
      </c>
      <c r="E11" s="538" t="s">
        <v>756</v>
      </c>
      <c r="F11" s="485" t="s">
        <v>757</v>
      </c>
      <c r="G11" s="485" t="s">
        <v>773</v>
      </c>
      <c r="H11" s="485" t="s">
        <v>759</v>
      </c>
      <c r="I11" s="485" t="n">
        <v>1040200</v>
      </c>
      <c r="J11" s="485" t="n">
        <v>1011162</v>
      </c>
      <c r="K11" s="486"/>
    </row>
    <row r="12" customFormat="false" ht="22.5" hidden="false" customHeight="true" outlineLevel="0" collapsed="false">
      <c r="B12" s="447" t="n">
        <v>10</v>
      </c>
      <c r="C12" s="538" t="s">
        <v>419</v>
      </c>
      <c r="D12" s="538" t="s">
        <v>775</v>
      </c>
      <c r="E12" s="538" t="s">
        <v>756</v>
      </c>
      <c r="F12" s="485" t="s">
        <v>757</v>
      </c>
      <c r="G12" s="485" t="s">
        <v>773</v>
      </c>
      <c r="H12" s="485" t="s">
        <v>776</v>
      </c>
      <c r="I12" s="485" t="n">
        <v>286000</v>
      </c>
      <c r="J12" s="485" t="n">
        <v>241313</v>
      </c>
      <c r="K12" s="486"/>
    </row>
    <row r="13" s="466" customFormat="true" ht="22.5" hidden="false" customHeight="true" outlineLevel="0" collapsed="false">
      <c r="B13" s="447" t="n">
        <v>11</v>
      </c>
      <c r="C13" s="538" t="s">
        <v>36</v>
      </c>
      <c r="D13" s="538" t="s">
        <v>777</v>
      </c>
      <c r="E13" s="539" t="s">
        <v>778</v>
      </c>
      <c r="F13" s="485" t="s">
        <v>779</v>
      </c>
      <c r="G13" s="485" t="s">
        <v>780</v>
      </c>
      <c r="H13" s="485" t="s">
        <v>781</v>
      </c>
      <c r="I13" s="485" t="n">
        <v>3168768</v>
      </c>
      <c r="J13" s="485" t="n">
        <v>731557</v>
      </c>
      <c r="K13" s="486"/>
    </row>
    <row r="14" customFormat="false" ht="22.5" hidden="false" customHeight="true" outlineLevel="0" collapsed="false">
      <c r="B14" s="447" t="n">
        <v>12</v>
      </c>
      <c r="C14" s="538" t="s">
        <v>36</v>
      </c>
      <c r="D14" s="538" t="s">
        <v>782</v>
      </c>
      <c r="E14" s="539" t="s">
        <v>778</v>
      </c>
      <c r="F14" s="485" t="s">
        <v>768</v>
      </c>
      <c r="G14" s="485" t="s">
        <v>763</v>
      </c>
      <c r="H14" s="485" t="s">
        <v>783</v>
      </c>
      <c r="I14" s="485" t="n">
        <v>1647234</v>
      </c>
      <c r="J14" s="485" t="n">
        <v>326016</v>
      </c>
      <c r="K14" s="486"/>
    </row>
    <row r="15" customFormat="false" ht="22.5" hidden="false" customHeight="true" outlineLevel="0" collapsed="false">
      <c r="B15" s="447" t="n">
        <v>13</v>
      </c>
      <c r="C15" s="538" t="s">
        <v>36</v>
      </c>
      <c r="D15" s="538" t="s">
        <v>784</v>
      </c>
      <c r="E15" s="539" t="s">
        <v>778</v>
      </c>
      <c r="F15" s="485" t="s">
        <v>785</v>
      </c>
      <c r="G15" s="485" t="s">
        <v>786</v>
      </c>
      <c r="H15" s="485" t="s">
        <v>781</v>
      </c>
      <c r="I15" s="485" t="n">
        <v>1163000</v>
      </c>
      <c r="J15" s="485" t="n">
        <v>1</v>
      </c>
      <c r="K15" s="534" t="s">
        <v>787</v>
      </c>
    </row>
    <row r="16" customFormat="false" ht="22.5" hidden="false" customHeight="true" outlineLevel="0" collapsed="false">
      <c r="B16" s="447" t="n">
        <v>14</v>
      </c>
      <c r="C16" s="538" t="s">
        <v>36</v>
      </c>
      <c r="D16" s="539" t="s">
        <v>788</v>
      </c>
      <c r="E16" s="539" t="s">
        <v>778</v>
      </c>
      <c r="F16" s="485" t="s">
        <v>768</v>
      </c>
      <c r="G16" s="485" t="s">
        <v>758</v>
      </c>
      <c r="H16" s="485" t="s">
        <v>781</v>
      </c>
      <c r="I16" s="485" t="n">
        <v>13540645</v>
      </c>
      <c r="J16" s="485" t="n">
        <v>0</v>
      </c>
      <c r="K16" s="486" t="s">
        <v>789</v>
      </c>
    </row>
    <row r="17" customFormat="false" ht="22.5" hidden="false" customHeight="true" outlineLevel="0" collapsed="false">
      <c r="B17" s="447" t="n">
        <v>15</v>
      </c>
      <c r="C17" s="538" t="s">
        <v>790</v>
      </c>
      <c r="D17" s="538" t="s">
        <v>791</v>
      </c>
      <c r="E17" s="539" t="s">
        <v>778</v>
      </c>
      <c r="F17" s="485" t="s">
        <v>757</v>
      </c>
      <c r="G17" s="485" t="s">
        <v>763</v>
      </c>
      <c r="H17" s="485" t="s">
        <v>776</v>
      </c>
      <c r="I17" s="485" t="n">
        <v>2400000</v>
      </c>
      <c r="J17" s="485" t="n">
        <v>1612500</v>
      </c>
      <c r="K17" s="486"/>
    </row>
    <row r="18" customFormat="false" ht="22.5" hidden="false" customHeight="true" outlineLevel="0" collapsed="false">
      <c r="B18" s="447" t="n">
        <v>16</v>
      </c>
      <c r="C18" s="538" t="s">
        <v>790</v>
      </c>
      <c r="D18" s="538" t="s">
        <v>792</v>
      </c>
      <c r="E18" s="539" t="s">
        <v>778</v>
      </c>
      <c r="F18" s="485" t="s">
        <v>757</v>
      </c>
      <c r="G18" s="485" t="s">
        <v>766</v>
      </c>
      <c r="H18" s="485" t="s">
        <v>776</v>
      </c>
      <c r="I18" s="485" t="n">
        <v>3750000</v>
      </c>
      <c r="J18" s="485" t="n">
        <v>2695313</v>
      </c>
      <c r="K18" s="486"/>
    </row>
    <row r="19" customFormat="false" ht="22.5" hidden="false" customHeight="true" outlineLevel="0" collapsed="false">
      <c r="B19" s="447" t="n">
        <v>17</v>
      </c>
      <c r="C19" s="538" t="s">
        <v>790</v>
      </c>
      <c r="D19" s="538" t="s">
        <v>793</v>
      </c>
      <c r="E19" s="539" t="s">
        <v>778</v>
      </c>
      <c r="F19" s="485" t="s">
        <v>794</v>
      </c>
      <c r="G19" s="540" t="s">
        <v>17</v>
      </c>
      <c r="H19" s="485" t="s">
        <v>795</v>
      </c>
      <c r="I19" s="540" t="n">
        <v>11769229</v>
      </c>
      <c r="J19" s="540" t="n">
        <v>1736948</v>
      </c>
      <c r="K19" s="534" t="s">
        <v>796</v>
      </c>
    </row>
    <row r="20" customFormat="false" ht="22.5" hidden="false" customHeight="true" outlineLevel="0" collapsed="false">
      <c r="B20" s="447"/>
      <c r="C20" s="541" t="s">
        <v>119</v>
      </c>
      <c r="D20" s="345"/>
      <c r="E20" s="345"/>
      <c r="F20" s="455"/>
      <c r="G20" s="455"/>
      <c r="H20" s="455"/>
      <c r="I20" s="455" t="n">
        <f aca="false">SUM(I3:I19)</f>
        <v>87881953</v>
      </c>
      <c r="J20" s="542" t="n">
        <f aca="false">SUM(J3:J19)</f>
        <v>54710297</v>
      </c>
      <c r="K20" s="493"/>
    </row>
    <row r="21" customFormat="false" ht="22.5" hidden="false" customHeight="true" outlineLevel="0" collapsed="false">
      <c r="B21" s="543"/>
      <c r="C21" s="345"/>
      <c r="D21" s="345"/>
      <c r="E21" s="345"/>
      <c r="F21" s="455"/>
      <c r="G21" s="455"/>
      <c r="H21" s="455"/>
      <c r="I21" s="455"/>
      <c r="J21" s="542"/>
      <c r="K21" s="493"/>
    </row>
    <row r="22" s="466" customFormat="true" ht="22.5" hidden="false" customHeight="true" outlineLevel="0" collapsed="false">
      <c r="B22" s="544" t="s">
        <v>797</v>
      </c>
      <c r="C22" s="545"/>
      <c r="D22" s="545"/>
      <c r="E22" s="545"/>
      <c r="F22" s="546"/>
      <c r="G22" s="546"/>
      <c r="H22" s="546"/>
      <c r="I22" s="546"/>
      <c r="J22" s="546"/>
      <c r="K22" s="54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3" activeCellId="0" sqref="B3"/>
    </sheetView>
  </sheetViews>
  <sheetFormatPr defaultColWidth="8.87890625" defaultRowHeight="18" zeroHeight="false" outlineLevelRow="0" outlineLevelCol="0"/>
  <cols>
    <col collapsed="false" customWidth="false" hidden="false" outlineLevel="0" max="1" min="1" style="6" width="8.88"/>
    <col collapsed="false" customWidth="true" hidden="false" outlineLevel="0" max="5" min="2" style="6" width="16.13"/>
    <col collapsed="false" customWidth="true" hidden="false" outlineLevel="0" max="6" min="6" style="6" width="55.5"/>
    <col collapsed="false" customWidth="false" hidden="false" outlineLevel="0" max="16384" min="7" style="6" width="8.88"/>
  </cols>
  <sheetData>
    <row r="1" customFormat="false" ht="18" hidden="false" customHeight="true" outlineLevel="0" collapsed="false">
      <c r="B1" s="548"/>
    </row>
    <row r="2" customFormat="false" ht="19.5" hidden="false" customHeight="true" outlineLevel="0" collapsed="false">
      <c r="B2" s="549" t="s">
        <v>798</v>
      </c>
      <c r="C2" s="550"/>
      <c r="D2" s="550"/>
      <c r="E2" s="550"/>
      <c r="F2" s="550"/>
    </row>
    <row r="3" customFormat="false" ht="22.5" hidden="false" customHeight="true" outlineLevel="0" collapsed="false">
      <c r="B3" s="551"/>
      <c r="C3" s="552"/>
      <c r="D3" s="552"/>
      <c r="E3" s="552"/>
      <c r="F3" s="553"/>
    </row>
    <row r="4" customFormat="false" ht="22.5" hidden="false" customHeight="true" outlineLevel="0" collapsed="false">
      <c r="B4" s="554"/>
      <c r="C4" s="552"/>
      <c r="D4" s="552"/>
      <c r="E4" s="552"/>
      <c r="F4" s="553"/>
    </row>
    <row r="5" customFormat="false" ht="22.5" hidden="false" customHeight="true" outlineLevel="0" collapsed="false">
      <c r="B5" s="551"/>
      <c r="C5" s="552"/>
      <c r="D5" s="552"/>
      <c r="E5" s="552"/>
      <c r="F5" s="555"/>
    </row>
    <row r="6" customFormat="false" ht="22.5" hidden="false" customHeight="true" outlineLevel="0" collapsed="false">
      <c r="B6" s="551"/>
      <c r="C6" s="552"/>
      <c r="D6" s="552"/>
      <c r="E6" s="552"/>
      <c r="F6" s="555"/>
    </row>
    <row r="7" customFormat="false" ht="22.5" hidden="false" customHeight="true" outlineLevel="0" collapsed="false">
      <c r="B7" s="551"/>
      <c r="C7" s="552"/>
      <c r="D7" s="552"/>
      <c r="E7" s="552"/>
      <c r="F7" s="555"/>
    </row>
    <row r="8" customFormat="false" ht="22.5" hidden="false" customHeight="true" outlineLevel="0" collapsed="false">
      <c r="B8" s="551"/>
      <c r="C8" s="552"/>
      <c r="D8" s="552"/>
      <c r="E8" s="552"/>
      <c r="F8" s="555"/>
    </row>
    <row r="11" customFormat="false" ht="19.5" hidden="false" customHeight="true" outlineLevel="0" collapsed="false">
      <c r="B11" s="550"/>
      <c r="C11" s="550"/>
      <c r="D11" s="550"/>
      <c r="E11" s="550"/>
      <c r="F11" s="550"/>
    </row>
    <row r="12" customFormat="false" ht="19.5" hidden="false" customHeight="true" outlineLevel="0" collapsed="false">
      <c r="B12" s="556"/>
      <c r="C12" s="552"/>
      <c r="D12" s="552"/>
      <c r="E12" s="552"/>
      <c r="F12" s="553"/>
    </row>
    <row r="13" customFormat="false" ht="19.5" hidden="false" customHeight="true" outlineLevel="0" collapsed="false">
      <c r="B13" s="556"/>
      <c r="C13" s="552"/>
      <c r="D13" s="552"/>
      <c r="E13" s="552"/>
      <c r="F13" s="553"/>
    </row>
    <row r="14" customFormat="false" ht="19.5" hidden="false" customHeight="true" outlineLevel="0" collapsed="false">
      <c r="B14" s="556"/>
      <c r="C14" s="552"/>
      <c r="D14" s="552"/>
      <c r="E14" s="552"/>
      <c r="F14" s="555"/>
    </row>
    <row r="15" customFormat="false" ht="19.5" hidden="false" customHeight="true" outlineLevel="0" collapsed="false">
      <c r="B15" s="556"/>
      <c r="C15" s="552"/>
      <c r="D15" s="552"/>
      <c r="E15" s="552"/>
      <c r="F15" s="555"/>
    </row>
    <row r="16" customFormat="false" ht="19.5" hidden="false" customHeight="true" outlineLevel="0" collapsed="false">
      <c r="B16" s="556"/>
      <c r="C16" s="552"/>
      <c r="D16" s="552"/>
      <c r="E16" s="552"/>
      <c r="F16" s="555"/>
    </row>
    <row r="17" customFormat="false" ht="19.5" hidden="false" customHeight="true" outlineLevel="0" collapsed="false">
      <c r="B17" s="556"/>
      <c r="C17" s="552"/>
      <c r="D17" s="552"/>
      <c r="E17" s="552"/>
      <c r="F17" s="555"/>
    </row>
    <row r="20" customFormat="false" ht="19.5" hidden="false" customHeight="true" outlineLevel="0" collapsed="false">
      <c r="B20" s="550"/>
      <c r="C20" s="550"/>
      <c r="D20" s="550"/>
      <c r="E20" s="550"/>
    </row>
    <row r="21" customFormat="false" ht="18" hidden="false" customHeight="true" outlineLevel="0" collapsed="false">
      <c r="B21" s="556"/>
      <c r="C21" s="552"/>
      <c r="D21" s="557"/>
      <c r="E21" s="552"/>
    </row>
    <row r="22" customFormat="false" ht="18" hidden="false" customHeight="true" outlineLevel="0" collapsed="false">
      <c r="B22" s="556"/>
      <c r="C22" s="552"/>
      <c r="D22" s="557"/>
      <c r="E22" s="552"/>
    </row>
    <row r="23" customFormat="false" ht="18" hidden="false" customHeight="true" outlineLevel="0" collapsed="false">
      <c r="B23" s="556"/>
      <c r="C23" s="552"/>
      <c r="D23" s="557"/>
      <c r="E23" s="552"/>
    </row>
    <row r="24" customFormat="false" ht="18" hidden="false" customHeight="true" outlineLevel="0" collapsed="false">
      <c r="B24" s="556"/>
      <c r="C24" s="552"/>
      <c r="D24" s="557"/>
      <c r="E24" s="552"/>
    </row>
    <row r="25" customFormat="false" ht="18" hidden="false" customHeight="true" outlineLevel="0" collapsed="false">
      <c r="B25" s="556"/>
      <c r="C25" s="552"/>
      <c r="D25" s="557"/>
      <c r="E25" s="552"/>
    </row>
    <row r="26" customFormat="false" ht="18" hidden="false" customHeight="true" outlineLevel="0" collapsed="false">
      <c r="B26" s="556"/>
      <c r="C26" s="552"/>
      <c r="D26" s="557"/>
      <c r="E26" s="552"/>
    </row>
    <row r="29" customFormat="false" ht="19.5" hidden="false" customHeight="true" outlineLevel="0" collapsed="false">
      <c r="B29" s="550"/>
      <c r="C29" s="550"/>
      <c r="D29" s="550"/>
      <c r="E29" s="550"/>
    </row>
    <row r="30" customFormat="false" ht="18" hidden="false" customHeight="true" outlineLevel="0" collapsed="false">
      <c r="B30" s="556"/>
      <c r="C30" s="552"/>
      <c r="D30" s="552"/>
      <c r="E30" s="552"/>
    </row>
    <row r="31" customFormat="false" ht="18" hidden="false" customHeight="true" outlineLevel="0" collapsed="false">
      <c r="B31" s="556"/>
      <c r="C31" s="552"/>
      <c r="D31" s="552"/>
      <c r="E31" s="552"/>
    </row>
    <row r="32" customFormat="false" ht="18" hidden="false" customHeight="true" outlineLevel="0" collapsed="false">
      <c r="B32" s="556"/>
      <c r="C32" s="552"/>
      <c r="D32" s="552"/>
      <c r="E32" s="552"/>
    </row>
    <row r="33" customFormat="false" ht="18" hidden="false" customHeight="true" outlineLevel="0" collapsed="false">
      <c r="B33" s="556"/>
      <c r="C33" s="552"/>
      <c r="D33" s="552"/>
      <c r="E33" s="552"/>
    </row>
    <row r="34" customFormat="false" ht="18" hidden="false" customHeight="true" outlineLevel="0" collapsed="false">
      <c r="B34" s="556"/>
      <c r="C34" s="557"/>
      <c r="D34" s="557"/>
      <c r="E34" s="557"/>
    </row>
    <row r="35" customFormat="false" ht="18" hidden="false" customHeight="true" outlineLevel="0" collapsed="false">
      <c r="B35" s="556"/>
      <c r="C35" s="557"/>
      <c r="D35" s="557"/>
      <c r="E35" s="557"/>
    </row>
  </sheetData>
  <mergeCells count="9">
    <mergeCell ref="B12:B13"/>
    <mergeCell ref="B14:B15"/>
    <mergeCell ref="B16:B17"/>
    <mergeCell ref="B21:B22"/>
    <mergeCell ref="B23:B24"/>
    <mergeCell ref="B25:B26"/>
    <mergeCell ref="B30:B31"/>
    <mergeCell ref="B32:B33"/>
    <mergeCell ref="B34:B3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060"/>
    <pageSetUpPr fitToPage="false"/>
  </sheetPr>
  <dimension ref="B2: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K16" activeCellId="0" sqref="K16"/>
    </sheetView>
  </sheetViews>
  <sheetFormatPr defaultColWidth="8.5390625" defaultRowHeight="18" zeroHeight="false" outlineLevelRow="0" outlineLevelCol="0"/>
  <cols>
    <col collapsed="false" customWidth="true" hidden="false" outlineLevel="0" max="2" min="2" style="20" width="4"/>
    <col collapsed="false" customWidth="true" hidden="false" outlineLevel="0" max="3" min="3" style="20" width="16"/>
    <col collapsed="false" customWidth="true" hidden="false" outlineLevel="0" max="4" min="4" style="20" width="40"/>
    <col collapsed="false" customWidth="true" hidden="false" outlineLevel="0" max="5" min="5" style="20" width="66"/>
    <col collapsed="false" customWidth="true" hidden="false" outlineLevel="0" max="6" min="6" style="20" width="32"/>
  </cols>
  <sheetData>
    <row r="2" customFormat="false" ht="18" hidden="false" customHeight="true" outlineLevel="0" collapsed="false">
      <c r="B2" s="558" t="s">
        <v>799</v>
      </c>
    </row>
    <row r="4" customFormat="false" ht="18" hidden="false" customHeight="true" outlineLevel="0" collapsed="false">
      <c r="B4" s="559" t="s">
        <v>227</v>
      </c>
      <c r="C4" s="498" t="s">
        <v>800</v>
      </c>
      <c r="D4" s="498" t="s">
        <v>801</v>
      </c>
      <c r="E4" s="498" t="s">
        <v>802</v>
      </c>
      <c r="F4" s="498" t="s">
        <v>803</v>
      </c>
    </row>
    <row r="5" customFormat="false" ht="45.75" hidden="false" customHeight="true" outlineLevel="0" collapsed="false">
      <c r="B5" s="560" t="n">
        <v>1</v>
      </c>
      <c r="C5" s="561" t="s">
        <v>804</v>
      </c>
      <c r="D5" s="562" t="s">
        <v>805</v>
      </c>
      <c r="E5" s="563" t="s">
        <v>806</v>
      </c>
      <c r="F5" s="563" t="s">
        <v>807</v>
      </c>
    </row>
    <row r="6" customFormat="false" ht="45.75" hidden="false" customHeight="true" outlineLevel="0" collapsed="false">
      <c r="B6" s="560" t="n">
        <v>2</v>
      </c>
      <c r="C6" s="561" t="s">
        <v>808</v>
      </c>
      <c r="D6" s="563" t="s">
        <v>809</v>
      </c>
      <c r="E6" s="563" t="s">
        <v>810</v>
      </c>
      <c r="F6" s="563" t="s">
        <v>811</v>
      </c>
    </row>
    <row r="7" customFormat="false" ht="45.75" hidden="false" customHeight="true" outlineLevel="0" collapsed="false">
      <c r="B7" s="560" t="n">
        <v>3</v>
      </c>
      <c r="C7" s="561" t="s">
        <v>812</v>
      </c>
      <c r="D7" s="562" t="s">
        <v>813</v>
      </c>
      <c r="E7" s="562" t="s">
        <v>814</v>
      </c>
      <c r="F7" s="563" t="s">
        <v>815</v>
      </c>
    </row>
    <row r="8" customFormat="false" ht="45.75" hidden="false" customHeight="true" outlineLevel="0" collapsed="false">
      <c r="B8" s="560" t="n">
        <v>4</v>
      </c>
      <c r="C8" s="561" t="s">
        <v>812</v>
      </c>
      <c r="D8" s="563" t="s">
        <v>816</v>
      </c>
      <c r="E8" s="563" t="s">
        <v>817</v>
      </c>
      <c r="F8" s="563" t="s">
        <v>818</v>
      </c>
    </row>
    <row r="9" customFormat="false" ht="45.75" hidden="false" customHeight="true" outlineLevel="0" collapsed="false">
      <c r="B9" s="560" t="n">
        <v>5</v>
      </c>
      <c r="C9" s="561" t="s">
        <v>812</v>
      </c>
      <c r="D9" s="563" t="s">
        <v>819</v>
      </c>
      <c r="E9" s="563" t="s">
        <v>820</v>
      </c>
      <c r="F9" s="563" t="s">
        <v>821</v>
      </c>
    </row>
    <row r="10" customFormat="false" ht="45.75" hidden="false" customHeight="true" outlineLevel="0" collapsed="false">
      <c r="B10" s="560" t="n">
        <v>6</v>
      </c>
      <c r="C10" s="561" t="s">
        <v>812</v>
      </c>
      <c r="D10" s="562" t="s">
        <v>822</v>
      </c>
      <c r="E10" s="562" t="s">
        <v>823</v>
      </c>
      <c r="F10" s="563" t="s">
        <v>824</v>
      </c>
    </row>
    <row r="11" customFormat="false" ht="45.75" hidden="false" customHeight="true" outlineLevel="0" collapsed="false">
      <c r="B11" s="560" t="n">
        <v>7</v>
      </c>
      <c r="C11" s="561" t="s">
        <v>825</v>
      </c>
      <c r="D11" s="563" t="s">
        <v>826</v>
      </c>
      <c r="E11" s="563" t="s">
        <v>827</v>
      </c>
      <c r="F11" s="563" t="s">
        <v>828</v>
      </c>
    </row>
    <row r="12" customFormat="false" ht="45.75" hidden="false" customHeight="true" outlineLevel="0" collapsed="false">
      <c r="B12" s="560" t="n">
        <v>8</v>
      </c>
      <c r="C12" s="561" t="s">
        <v>829</v>
      </c>
      <c r="D12" s="563" t="s">
        <v>830</v>
      </c>
      <c r="E12" s="563" t="s">
        <v>831</v>
      </c>
      <c r="F12" s="563" t="s">
        <v>832</v>
      </c>
    </row>
    <row r="13" customFormat="false" ht="45.75" hidden="false" customHeight="true" outlineLevel="0" collapsed="false">
      <c r="B13" s="560" t="n">
        <v>9</v>
      </c>
      <c r="C13" s="561" t="s">
        <v>833</v>
      </c>
      <c r="D13" s="563" t="s">
        <v>834</v>
      </c>
      <c r="E13" s="563" t="s">
        <v>835</v>
      </c>
      <c r="F13" s="562" t="s">
        <v>836</v>
      </c>
    </row>
    <row r="14" customFormat="false" ht="45.75" hidden="false" customHeight="true" outlineLevel="0" collapsed="false">
      <c r="B14" s="560" t="n">
        <v>10</v>
      </c>
      <c r="C14" s="561" t="s">
        <v>837</v>
      </c>
      <c r="D14" s="563" t="s">
        <v>838</v>
      </c>
      <c r="E14" s="563" t="s">
        <v>839</v>
      </c>
      <c r="F14" s="563" t="s">
        <v>840</v>
      </c>
    </row>
    <row r="15" customFormat="false" ht="45.75" hidden="false" customHeight="true" outlineLevel="0" collapsed="false">
      <c r="B15" s="560" t="n">
        <v>11</v>
      </c>
      <c r="C15" s="561" t="s">
        <v>841</v>
      </c>
      <c r="D15" s="563" t="s">
        <v>842</v>
      </c>
      <c r="E15" s="562" t="s">
        <v>843</v>
      </c>
      <c r="F15" s="563" t="s">
        <v>844</v>
      </c>
    </row>
    <row r="16" customFormat="false" ht="45.75" hidden="false" customHeight="true" outlineLevel="0" collapsed="false">
      <c r="B16" s="560" t="n">
        <v>12</v>
      </c>
      <c r="C16" s="561" t="s">
        <v>202</v>
      </c>
      <c r="D16" s="563" t="s">
        <v>845</v>
      </c>
      <c r="E16" s="562" t="s">
        <v>846</v>
      </c>
      <c r="F16" s="563" t="s">
        <v>847</v>
      </c>
    </row>
    <row r="17" customFormat="false" ht="45.75" hidden="false" customHeight="true" outlineLevel="0" collapsed="false">
      <c r="B17" s="560" t="n">
        <v>13</v>
      </c>
      <c r="C17" s="561" t="s">
        <v>202</v>
      </c>
      <c r="D17" s="562" t="s">
        <v>848</v>
      </c>
      <c r="E17" s="563" t="s">
        <v>849</v>
      </c>
      <c r="F17" s="563" t="s">
        <v>850</v>
      </c>
    </row>
    <row r="18" customFormat="false" ht="45.75" hidden="false" customHeight="true" outlineLevel="0" collapsed="false">
      <c r="B18" s="560" t="n">
        <v>14</v>
      </c>
      <c r="C18" s="561" t="s">
        <v>202</v>
      </c>
      <c r="D18" s="563" t="s">
        <v>851</v>
      </c>
      <c r="E18" s="563" t="s">
        <v>852</v>
      </c>
      <c r="F18" s="563" t="s">
        <v>853</v>
      </c>
    </row>
    <row r="19" customFormat="false" ht="45.75" hidden="false" customHeight="true" outlineLevel="0" collapsed="false">
      <c r="B19" s="560" t="n">
        <v>15</v>
      </c>
      <c r="C19" s="561" t="s">
        <v>854</v>
      </c>
      <c r="D19" s="563" t="s">
        <v>855</v>
      </c>
      <c r="E19" s="563" t="s">
        <v>856</v>
      </c>
      <c r="F19" s="563" t="s">
        <v>857</v>
      </c>
    </row>
    <row r="20" customFormat="false" ht="45.75" hidden="false" customHeight="true" outlineLevel="0" collapsed="false">
      <c r="B20" s="560" t="n">
        <v>16</v>
      </c>
      <c r="C20" s="561" t="s">
        <v>812</v>
      </c>
      <c r="D20" s="563" t="s">
        <v>858</v>
      </c>
      <c r="E20" s="563" t="s">
        <v>859</v>
      </c>
      <c r="F20" s="563" t="s">
        <v>860</v>
      </c>
    </row>
    <row r="21" customFormat="false" ht="45.75" hidden="false" customHeight="true" outlineLevel="0" collapsed="false">
      <c r="B21" s="560" t="n">
        <v>17</v>
      </c>
      <c r="C21" s="561" t="s">
        <v>812</v>
      </c>
      <c r="D21" s="563" t="s">
        <v>861</v>
      </c>
      <c r="E21" s="563" t="s">
        <v>862</v>
      </c>
      <c r="F21" s="563" t="s">
        <v>863</v>
      </c>
    </row>
    <row r="22" customFormat="false" ht="45.75" hidden="false" customHeight="true" outlineLevel="0" collapsed="false">
      <c r="B22" s="560" t="n">
        <v>18</v>
      </c>
      <c r="C22" s="561" t="s">
        <v>864</v>
      </c>
      <c r="D22" s="563" t="s">
        <v>865</v>
      </c>
      <c r="E22" s="562" t="s">
        <v>866</v>
      </c>
      <c r="F22" s="563" t="s">
        <v>867</v>
      </c>
    </row>
    <row r="23" customFormat="false" ht="45.75" hidden="false" customHeight="true" outlineLevel="0" collapsed="false">
      <c r="B23" s="560" t="s">
        <v>657</v>
      </c>
      <c r="C23" s="561" t="s">
        <v>841</v>
      </c>
      <c r="D23" s="563" t="s">
        <v>868</v>
      </c>
      <c r="E23" s="563" t="s">
        <v>869</v>
      </c>
      <c r="F23" s="563" t="s">
        <v>870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L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0" topLeftCell="D1" activePane="topRight" state="frozen"/>
      <selection pane="topLeft" activeCell="A1" activeCellId="0" sqref="A1"/>
      <selection pane="topRight" activeCell="S25" activeCellId="0" sqref="S25"/>
    </sheetView>
  </sheetViews>
  <sheetFormatPr defaultColWidth="8.87890625" defaultRowHeight="18.75" zeroHeight="false" outlineLevelRow="0" outlineLevelCol="0"/>
  <cols>
    <col collapsed="false" customWidth="true" hidden="false" outlineLevel="0" max="1" min="1" style="564" width="6.13"/>
    <col collapsed="false" customWidth="true" hidden="false" outlineLevel="0" max="2" min="2" style="565" width="5.38"/>
    <col collapsed="false" customWidth="true" hidden="false" outlineLevel="0" max="3" min="3" style="565" width="25.13"/>
    <col collapsed="false" customWidth="true" hidden="false" outlineLevel="0" max="113" min="4" style="566" width="3.13"/>
    <col collapsed="false" customWidth="true" hidden="false" outlineLevel="0" max="114" min="114" style="564" width="3.13"/>
    <col collapsed="false" customWidth="true" hidden="false" outlineLevel="0" max="115" min="115" style="564" width="5.13"/>
    <col collapsed="false" customWidth="false" hidden="false" outlineLevel="0" max="16384" min="116" style="564" width="8.88"/>
  </cols>
  <sheetData>
    <row r="1" customFormat="false" ht="19.5" hidden="false" customHeight="true" outlineLevel="0" collapsed="false">
      <c r="D1" s="567"/>
      <c r="E1" s="567"/>
      <c r="F1" s="567"/>
      <c r="G1" s="567"/>
      <c r="H1" s="567"/>
      <c r="I1" s="567"/>
      <c r="J1" s="567"/>
      <c r="K1" s="567"/>
      <c r="L1" s="567"/>
      <c r="M1" s="567"/>
      <c r="N1" s="567"/>
      <c r="O1" s="567"/>
      <c r="P1" s="567"/>
      <c r="Q1" s="567"/>
      <c r="R1" s="567"/>
      <c r="S1" s="567"/>
      <c r="T1" s="567"/>
      <c r="U1" s="567"/>
      <c r="V1" s="567"/>
      <c r="W1" s="567"/>
      <c r="X1" s="567"/>
      <c r="Y1" s="567"/>
      <c r="Z1" s="567"/>
      <c r="AA1" s="567"/>
      <c r="AB1" s="567"/>
      <c r="AC1" s="567"/>
      <c r="AD1" s="567"/>
      <c r="AE1" s="567"/>
      <c r="AF1" s="567"/>
      <c r="AG1" s="567"/>
      <c r="AH1" s="567"/>
      <c r="AI1" s="567"/>
      <c r="AJ1" s="567"/>
      <c r="AK1" s="567"/>
      <c r="AL1" s="567"/>
      <c r="AM1" s="567"/>
      <c r="AN1" s="567"/>
      <c r="AO1" s="567"/>
      <c r="AP1" s="567"/>
      <c r="AQ1" s="567"/>
      <c r="AR1" s="567"/>
      <c r="AS1" s="567"/>
      <c r="AT1" s="567"/>
      <c r="AU1" s="567"/>
      <c r="AV1" s="567"/>
      <c r="AW1" s="567"/>
      <c r="AX1" s="567"/>
      <c r="AY1" s="567"/>
      <c r="AZ1" s="567"/>
      <c r="BA1" s="567"/>
      <c r="BB1" s="567"/>
      <c r="BC1" s="567"/>
      <c r="BD1" s="567"/>
      <c r="BE1" s="567"/>
      <c r="BF1" s="567"/>
      <c r="BG1" s="567"/>
      <c r="BH1" s="567"/>
      <c r="BI1" s="567"/>
      <c r="BJ1" s="567"/>
      <c r="BK1" s="567"/>
      <c r="BL1" s="567"/>
      <c r="BM1" s="567"/>
      <c r="BN1" s="567"/>
      <c r="BO1" s="567"/>
      <c r="BP1" s="567"/>
      <c r="BQ1" s="567"/>
      <c r="BR1" s="567"/>
      <c r="BS1" s="567"/>
      <c r="BT1" s="567"/>
      <c r="BU1" s="567"/>
      <c r="BV1" s="567"/>
      <c r="BW1" s="567"/>
      <c r="BX1" s="567"/>
      <c r="BY1" s="567"/>
      <c r="BZ1" s="567"/>
      <c r="CA1" s="567"/>
      <c r="CB1" s="567"/>
      <c r="CC1" s="567"/>
      <c r="CD1" s="567"/>
      <c r="CE1" s="567"/>
      <c r="CF1" s="567"/>
      <c r="CG1" s="567"/>
      <c r="CH1" s="567"/>
      <c r="CI1" s="567"/>
      <c r="CJ1" s="567"/>
      <c r="CK1" s="567"/>
      <c r="CL1" s="567"/>
      <c r="CM1" s="567"/>
      <c r="CN1" s="567"/>
      <c r="CO1" s="567"/>
      <c r="CP1" s="567"/>
      <c r="CQ1" s="567"/>
      <c r="CR1" s="567"/>
      <c r="CS1" s="567"/>
      <c r="CT1" s="567"/>
      <c r="CU1" s="567"/>
      <c r="CV1" s="567"/>
      <c r="CW1" s="567"/>
      <c r="CX1" s="567"/>
      <c r="CY1" s="567"/>
      <c r="CZ1" s="567"/>
      <c r="DA1" s="567"/>
      <c r="DB1" s="567"/>
      <c r="DC1" s="567"/>
      <c r="DD1" s="567"/>
      <c r="DE1" s="567"/>
      <c r="DF1" s="567"/>
      <c r="DG1" s="567"/>
      <c r="DH1" s="567"/>
      <c r="DI1" s="567"/>
    </row>
    <row r="2" customFormat="false" ht="6.75" hidden="false" customHeight="true" outlineLevel="0" collapsed="false"/>
    <row r="3" customFormat="false" ht="18.75" hidden="false" customHeight="true" outlineLevel="0" collapsed="false">
      <c r="B3" s="568" t="s">
        <v>871</v>
      </c>
      <c r="C3" s="568"/>
      <c r="D3" s="568" t="s">
        <v>872</v>
      </c>
      <c r="E3" s="568"/>
      <c r="F3" s="568"/>
      <c r="G3" s="568"/>
      <c r="H3" s="568"/>
      <c r="I3" s="568"/>
      <c r="J3" s="568"/>
      <c r="K3" s="568"/>
      <c r="L3" s="568"/>
      <c r="M3" s="568"/>
      <c r="N3" s="568"/>
      <c r="O3" s="568"/>
      <c r="P3" s="568"/>
      <c r="Q3" s="568"/>
      <c r="R3" s="568"/>
      <c r="S3" s="568"/>
      <c r="T3" s="568"/>
      <c r="U3" s="568" t="s">
        <v>873</v>
      </c>
      <c r="V3" s="568"/>
      <c r="W3" s="568"/>
      <c r="X3" s="568"/>
      <c r="Y3" s="568"/>
      <c r="Z3" s="568"/>
      <c r="AA3" s="568"/>
      <c r="AB3" s="568"/>
      <c r="AC3" s="568"/>
      <c r="AD3" s="568"/>
      <c r="AE3" s="568"/>
      <c r="AF3" s="568"/>
      <c r="AG3" s="568"/>
      <c r="AH3" s="568"/>
      <c r="AI3" s="568"/>
      <c r="AJ3" s="568"/>
      <c r="AK3" s="568"/>
      <c r="AL3" s="568"/>
      <c r="AM3" s="568"/>
      <c r="AN3" s="568"/>
      <c r="AO3" s="568"/>
      <c r="AP3" s="568"/>
      <c r="AQ3" s="568"/>
      <c r="AR3" s="568"/>
      <c r="AS3" s="568"/>
      <c r="AT3" s="568"/>
      <c r="AU3" s="568"/>
      <c r="AV3" s="568"/>
      <c r="AW3" s="568"/>
      <c r="AX3" s="568"/>
      <c r="AY3" s="568"/>
      <c r="AZ3" s="568" t="s">
        <v>874</v>
      </c>
      <c r="BA3" s="568"/>
      <c r="BB3" s="568"/>
      <c r="BC3" s="568"/>
      <c r="BD3" s="568"/>
      <c r="BE3" s="568"/>
      <c r="BF3" s="568"/>
      <c r="BG3" s="568"/>
      <c r="BH3" s="568"/>
      <c r="BI3" s="568"/>
      <c r="BJ3" s="568"/>
      <c r="BK3" s="568"/>
      <c r="BL3" s="568"/>
      <c r="BM3" s="568"/>
      <c r="BN3" s="568"/>
      <c r="BO3" s="568"/>
      <c r="BP3" s="568"/>
      <c r="BQ3" s="568"/>
      <c r="BR3" s="568"/>
      <c r="BS3" s="568"/>
      <c r="BT3" s="568"/>
      <c r="BU3" s="568"/>
      <c r="BV3" s="568"/>
      <c r="BW3" s="568"/>
      <c r="BX3" s="568"/>
      <c r="BY3" s="568"/>
      <c r="BZ3" s="568"/>
      <c r="CA3" s="568"/>
      <c r="CB3" s="568"/>
      <c r="CC3" s="568"/>
      <c r="CD3" s="568"/>
      <c r="CE3" s="568" t="s">
        <v>875</v>
      </c>
      <c r="CF3" s="568"/>
      <c r="CG3" s="568"/>
      <c r="CH3" s="568"/>
      <c r="CI3" s="568"/>
      <c r="CJ3" s="568"/>
      <c r="CK3" s="568"/>
      <c r="CL3" s="568"/>
      <c r="CM3" s="568"/>
      <c r="CN3" s="568"/>
      <c r="CO3" s="568"/>
      <c r="CP3" s="568"/>
      <c r="CQ3" s="568"/>
      <c r="CR3" s="568"/>
      <c r="CS3" s="568"/>
      <c r="CT3" s="568"/>
      <c r="CU3" s="568"/>
      <c r="CV3" s="568"/>
      <c r="CW3" s="568"/>
      <c r="CX3" s="568"/>
      <c r="CY3" s="568"/>
      <c r="CZ3" s="568"/>
      <c r="DA3" s="568"/>
      <c r="DB3" s="568"/>
      <c r="DC3" s="568"/>
      <c r="DD3" s="568"/>
      <c r="DE3" s="568"/>
      <c r="DF3" s="568"/>
      <c r="DG3" s="568"/>
      <c r="DH3" s="568"/>
      <c r="DI3" s="568"/>
    </row>
    <row r="4" customFormat="false" ht="18.75" hidden="false" customHeight="true" outlineLevel="0" collapsed="false">
      <c r="B4" s="568"/>
      <c r="C4" s="568"/>
      <c r="D4" s="569" t="n">
        <v>12</v>
      </c>
      <c r="E4" s="570" t="n">
        <v>13</v>
      </c>
      <c r="F4" s="571" t="n">
        <v>14</v>
      </c>
      <c r="G4" s="569" t="n">
        <v>15</v>
      </c>
      <c r="H4" s="569" t="n">
        <v>16</v>
      </c>
      <c r="I4" s="569" t="n">
        <v>17</v>
      </c>
      <c r="J4" s="569" t="n">
        <v>18</v>
      </c>
      <c r="K4" s="569" t="n">
        <v>19</v>
      </c>
      <c r="L4" s="569" t="n">
        <v>20</v>
      </c>
      <c r="M4" s="569" t="n">
        <v>21</v>
      </c>
      <c r="N4" s="569" t="n">
        <v>22</v>
      </c>
      <c r="O4" s="569" t="n">
        <v>23</v>
      </c>
      <c r="P4" s="569" t="n">
        <v>24</v>
      </c>
      <c r="Q4" s="569" t="n">
        <v>25</v>
      </c>
      <c r="R4" s="569" t="n">
        <v>26</v>
      </c>
      <c r="S4" s="569" t="n">
        <v>27</v>
      </c>
      <c r="T4" s="569" t="n">
        <v>28</v>
      </c>
      <c r="U4" s="569" t="n">
        <v>1</v>
      </c>
      <c r="V4" s="569" t="n">
        <v>2</v>
      </c>
      <c r="W4" s="569" t="n">
        <v>3</v>
      </c>
      <c r="X4" s="569" t="n">
        <v>4</v>
      </c>
      <c r="Y4" s="569" t="n">
        <v>5</v>
      </c>
      <c r="Z4" s="569" t="n">
        <v>6</v>
      </c>
      <c r="AA4" s="569" t="n">
        <v>7</v>
      </c>
      <c r="AB4" s="569" t="n">
        <v>8</v>
      </c>
      <c r="AC4" s="569" t="n">
        <v>9</v>
      </c>
      <c r="AD4" s="569" t="n">
        <v>10</v>
      </c>
      <c r="AE4" s="569" t="n">
        <v>11</v>
      </c>
      <c r="AF4" s="569" t="n">
        <v>12</v>
      </c>
      <c r="AG4" s="569" t="n">
        <v>13</v>
      </c>
      <c r="AH4" s="569" t="n">
        <v>14</v>
      </c>
      <c r="AI4" s="569" t="n">
        <v>15</v>
      </c>
      <c r="AJ4" s="569" t="n">
        <v>16</v>
      </c>
      <c r="AK4" s="569" t="n">
        <v>17</v>
      </c>
      <c r="AL4" s="569" t="n">
        <v>18</v>
      </c>
      <c r="AM4" s="569" t="n">
        <v>19</v>
      </c>
      <c r="AN4" s="569" t="n">
        <v>20</v>
      </c>
      <c r="AO4" s="569" t="n">
        <v>21</v>
      </c>
      <c r="AP4" s="569" t="n">
        <v>22</v>
      </c>
      <c r="AQ4" s="569" t="n">
        <v>23</v>
      </c>
      <c r="AR4" s="569" t="n">
        <v>24</v>
      </c>
      <c r="AS4" s="569" t="n">
        <v>25</v>
      </c>
      <c r="AT4" s="569" t="n">
        <v>26</v>
      </c>
      <c r="AU4" s="569" t="n">
        <v>27</v>
      </c>
      <c r="AV4" s="569" t="n">
        <v>28</v>
      </c>
      <c r="AW4" s="569" t="n">
        <v>29</v>
      </c>
      <c r="AX4" s="569" t="n">
        <v>30</v>
      </c>
      <c r="AY4" s="569" t="n">
        <v>31</v>
      </c>
      <c r="AZ4" s="569" t="n">
        <v>1</v>
      </c>
      <c r="BA4" s="569" t="n">
        <v>2</v>
      </c>
      <c r="BB4" s="569" t="n">
        <v>3</v>
      </c>
      <c r="BC4" s="569" t="n">
        <v>4</v>
      </c>
      <c r="BD4" s="569" t="n">
        <v>5</v>
      </c>
      <c r="BE4" s="569" t="n">
        <v>6</v>
      </c>
      <c r="BF4" s="569" t="n">
        <v>7</v>
      </c>
      <c r="BG4" s="569" t="n">
        <v>8</v>
      </c>
      <c r="BH4" s="569" t="n">
        <v>9</v>
      </c>
      <c r="BI4" s="569" t="n">
        <v>10</v>
      </c>
      <c r="BJ4" s="569" t="n">
        <v>11</v>
      </c>
      <c r="BK4" s="569" t="n">
        <v>12</v>
      </c>
      <c r="BL4" s="569" t="n">
        <v>13</v>
      </c>
      <c r="BM4" s="569" t="n">
        <v>14</v>
      </c>
      <c r="BN4" s="569" t="n">
        <v>15</v>
      </c>
      <c r="BO4" s="569" t="n">
        <v>16</v>
      </c>
      <c r="BP4" s="569" t="n">
        <v>17</v>
      </c>
      <c r="BQ4" s="569" t="n">
        <v>18</v>
      </c>
      <c r="BR4" s="569" t="n">
        <v>19</v>
      </c>
      <c r="BS4" s="569" t="n">
        <v>20</v>
      </c>
      <c r="BT4" s="569" t="n">
        <v>21</v>
      </c>
      <c r="BU4" s="569" t="n">
        <v>22</v>
      </c>
      <c r="BV4" s="569" t="n">
        <v>23</v>
      </c>
      <c r="BW4" s="569" t="n">
        <v>24</v>
      </c>
      <c r="BX4" s="569" t="n">
        <v>25</v>
      </c>
      <c r="BY4" s="569" t="n">
        <v>26</v>
      </c>
      <c r="BZ4" s="569" t="n">
        <v>27</v>
      </c>
      <c r="CA4" s="569" t="n">
        <v>28</v>
      </c>
      <c r="CB4" s="569" t="n">
        <v>29</v>
      </c>
      <c r="CC4" s="569" t="n">
        <v>30</v>
      </c>
      <c r="CD4" s="569" t="n">
        <v>31</v>
      </c>
      <c r="CE4" s="569" t="n">
        <v>1</v>
      </c>
      <c r="CF4" s="569" t="n">
        <v>2</v>
      </c>
      <c r="CG4" s="569" t="n">
        <v>3</v>
      </c>
      <c r="CH4" s="569" t="n">
        <v>4</v>
      </c>
      <c r="CI4" s="569" t="n">
        <v>5</v>
      </c>
      <c r="CJ4" s="569" t="n">
        <v>6</v>
      </c>
      <c r="CK4" s="569" t="n">
        <v>7</v>
      </c>
      <c r="CL4" s="569" t="n">
        <v>8</v>
      </c>
      <c r="CM4" s="569" t="n">
        <v>9</v>
      </c>
      <c r="CN4" s="569" t="n">
        <v>10</v>
      </c>
      <c r="CO4" s="569" t="n">
        <v>11</v>
      </c>
      <c r="CP4" s="569" t="n">
        <v>12</v>
      </c>
      <c r="CQ4" s="569" t="n">
        <v>13</v>
      </c>
      <c r="CR4" s="569" t="n">
        <v>14</v>
      </c>
      <c r="CS4" s="569" t="n">
        <v>15</v>
      </c>
      <c r="CT4" s="569" t="n">
        <v>16</v>
      </c>
      <c r="CU4" s="569" t="n">
        <v>17</v>
      </c>
      <c r="CV4" s="569" t="n">
        <v>18</v>
      </c>
      <c r="CW4" s="569" t="n">
        <v>19</v>
      </c>
      <c r="CX4" s="569" t="n">
        <v>20</v>
      </c>
      <c r="CY4" s="569" t="n">
        <v>21</v>
      </c>
      <c r="CZ4" s="569" t="n">
        <v>22</v>
      </c>
      <c r="DA4" s="569" t="n">
        <v>23</v>
      </c>
      <c r="DB4" s="569" t="n">
        <v>24</v>
      </c>
      <c r="DC4" s="569" t="n">
        <v>25</v>
      </c>
      <c r="DD4" s="569" t="n">
        <v>26</v>
      </c>
      <c r="DE4" s="569" t="n">
        <v>27</v>
      </c>
      <c r="DF4" s="569" t="n">
        <v>28</v>
      </c>
      <c r="DG4" s="569" t="n">
        <v>29</v>
      </c>
      <c r="DH4" s="569" t="n">
        <v>30</v>
      </c>
      <c r="DI4" s="569" t="n">
        <v>31</v>
      </c>
    </row>
    <row r="5" customFormat="false" ht="18.75" hidden="false" customHeight="true" outlineLevel="0" collapsed="false">
      <c r="B5" s="572" t="s">
        <v>876</v>
      </c>
      <c r="C5" s="573" t="s">
        <v>877</v>
      </c>
      <c r="D5" s="574"/>
      <c r="E5" s="575"/>
      <c r="F5" s="575"/>
      <c r="G5" s="575"/>
      <c r="H5" s="575"/>
      <c r="I5" s="575"/>
      <c r="J5" s="575"/>
      <c r="K5" s="575"/>
      <c r="L5" s="575"/>
      <c r="M5" s="575"/>
      <c r="N5" s="575"/>
      <c r="O5" s="575"/>
      <c r="P5" s="575"/>
      <c r="Q5" s="575"/>
      <c r="R5" s="575"/>
      <c r="S5" s="575"/>
      <c r="T5" s="575"/>
      <c r="U5" s="575"/>
      <c r="V5" s="575"/>
      <c r="W5" s="575"/>
      <c r="X5" s="575"/>
      <c r="Y5" s="575"/>
      <c r="Z5" s="575"/>
      <c r="AA5" s="575"/>
      <c r="AB5" s="575"/>
      <c r="AC5" s="575"/>
      <c r="AD5" s="575"/>
      <c r="AE5" s="575"/>
      <c r="AF5" s="575"/>
      <c r="AG5" s="575"/>
      <c r="AH5" s="575"/>
      <c r="AI5" s="575"/>
      <c r="AJ5" s="575"/>
      <c r="AK5" s="575"/>
      <c r="AL5" s="575"/>
      <c r="AM5" s="575"/>
      <c r="AN5" s="575"/>
      <c r="AO5" s="575"/>
      <c r="AP5" s="575"/>
      <c r="AQ5" s="575"/>
      <c r="AR5" s="575"/>
      <c r="AS5" s="575"/>
      <c r="AT5" s="575"/>
      <c r="AU5" s="575"/>
      <c r="AV5" s="575"/>
      <c r="AW5" s="575"/>
      <c r="AX5" s="575"/>
      <c r="AY5" s="575"/>
      <c r="AZ5" s="575"/>
      <c r="BA5" s="575"/>
      <c r="BB5" s="575"/>
      <c r="BC5" s="575"/>
      <c r="BD5" s="575"/>
      <c r="BE5" s="575"/>
      <c r="BF5" s="575"/>
      <c r="BG5" s="575"/>
      <c r="BH5" s="575"/>
      <c r="BI5" s="575"/>
      <c r="BJ5" s="575"/>
      <c r="BK5" s="575"/>
      <c r="BL5" s="575"/>
      <c r="BM5" s="575"/>
      <c r="BN5" s="575"/>
      <c r="BO5" s="575"/>
      <c r="BP5" s="575"/>
      <c r="BQ5" s="575"/>
      <c r="BR5" s="575"/>
      <c r="BS5" s="575"/>
      <c r="BT5" s="575"/>
      <c r="BU5" s="575"/>
      <c r="BV5" s="575"/>
      <c r="BW5" s="575"/>
      <c r="BX5" s="575"/>
      <c r="BY5" s="575"/>
      <c r="BZ5" s="575"/>
      <c r="CA5" s="575"/>
      <c r="CB5" s="575"/>
      <c r="CC5" s="575"/>
      <c r="CD5" s="575"/>
      <c r="CE5" s="575"/>
      <c r="CF5" s="575"/>
      <c r="CG5" s="575"/>
      <c r="CH5" s="575"/>
      <c r="CI5" s="575"/>
      <c r="CJ5" s="575"/>
      <c r="CK5" s="575"/>
      <c r="CL5" s="575"/>
      <c r="CM5" s="575"/>
      <c r="CN5" s="575"/>
      <c r="CO5" s="575"/>
      <c r="CP5" s="575"/>
      <c r="CQ5" s="575"/>
      <c r="CR5" s="575"/>
      <c r="CS5" s="575"/>
      <c r="CT5" s="575"/>
      <c r="CU5" s="575"/>
      <c r="CV5" s="575"/>
      <c r="CW5" s="575"/>
      <c r="CX5" s="575"/>
      <c r="CY5" s="575"/>
      <c r="CZ5" s="575"/>
      <c r="DA5" s="575"/>
      <c r="DB5" s="575"/>
      <c r="DC5" s="575"/>
      <c r="DD5" s="575"/>
      <c r="DE5" s="575"/>
      <c r="DF5" s="575"/>
      <c r="DG5" s="575"/>
      <c r="DH5" s="575"/>
      <c r="DI5" s="575"/>
    </row>
    <row r="6" customFormat="false" ht="18.75" hidden="false" customHeight="true" outlineLevel="0" collapsed="false">
      <c r="B6" s="572"/>
      <c r="C6" s="573" t="s">
        <v>878</v>
      </c>
      <c r="D6" s="575"/>
      <c r="E6" s="574"/>
      <c r="F6" s="574"/>
      <c r="G6" s="575"/>
      <c r="H6" s="575"/>
      <c r="I6" s="575"/>
      <c r="J6" s="575"/>
      <c r="K6" s="575"/>
      <c r="L6" s="575"/>
      <c r="M6" s="575"/>
      <c r="N6" s="575"/>
      <c r="O6" s="575"/>
      <c r="P6" s="575"/>
      <c r="Q6" s="575"/>
      <c r="R6" s="575"/>
      <c r="S6" s="575"/>
      <c r="T6" s="575"/>
      <c r="U6" s="575"/>
      <c r="V6" s="575"/>
      <c r="W6" s="575"/>
      <c r="X6" s="575"/>
      <c r="Y6" s="575"/>
      <c r="Z6" s="575"/>
      <c r="AA6" s="575"/>
      <c r="AB6" s="575"/>
      <c r="AC6" s="575"/>
      <c r="AD6" s="575"/>
      <c r="AE6" s="575"/>
      <c r="AF6" s="575"/>
      <c r="AG6" s="575"/>
      <c r="AH6" s="575"/>
      <c r="AI6" s="575"/>
      <c r="AJ6" s="575"/>
      <c r="AK6" s="575"/>
      <c r="AL6" s="575"/>
      <c r="AM6" s="575"/>
      <c r="AN6" s="575"/>
      <c r="AO6" s="575"/>
      <c r="AP6" s="575"/>
      <c r="AQ6" s="575"/>
      <c r="AR6" s="575"/>
      <c r="AS6" s="575"/>
      <c r="AT6" s="575"/>
      <c r="AU6" s="575"/>
      <c r="AV6" s="575"/>
      <c r="AW6" s="575"/>
      <c r="AX6" s="575"/>
      <c r="AY6" s="575"/>
      <c r="AZ6" s="575"/>
      <c r="BA6" s="575"/>
      <c r="BB6" s="575"/>
      <c r="BC6" s="575"/>
      <c r="BD6" s="575"/>
      <c r="BE6" s="575"/>
      <c r="BF6" s="575"/>
      <c r="BG6" s="575"/>
      <c r="BH6" s="575"/>
      <c r="BI6" s="575"/>
      <c r="BJ6" s="575"/>
      <c r="BK6" s="575"/>
      <c r="BL6" s="575"/>
      <c r="BM6" s="575"/>
      <c r="BN6" s="575"/>
      <c r="BO6" s="575"/>
      <c r="BP6" s="575"/>
      <c r="BQ6" s="575"/>
      <c r="BR6" s="575"/>
      <c r="BS6" s="575"/>
      <c r="BT6" s="575"/>
      <c r="BU6" s="575"/>
      <c r="BV6" s="575"/>
      <c r="BW6" s="575"/>
      <c r="BX6" s="575"/>
      <c r="BY6" s="575"/>
      <c r="BZ6" s="575"/>
      <c r="CA6" s="575"/>
      <c r="CB6" s="575"/>
      <c r="CC6" s="575"/>
      <c r="CD6" s="575"/>
      <c r="CE6" s="575"/>
      <c r="CF6" s="575"/>
      <c r="CG6" s="575"/>
      <c r="CH6" s="575"/>
      <c r="CI6" s="575"/>
      <c r="CJ6" s="575"/>
      <c r="CK6" s="575"/>
      <c r="CL6" s="575"/>
      <c r="CM6" s="575"/>
      <c r="CN6" s="575"/>
      <c r="CO6" s="575"/>
      <c r="CP6" s="575"/>
      <c r="CQ6" s="575"/>
      <c r="CR6" s="575"/>
      <c r="CS6" s="575"/>
      <c r="CT6" s="575"/>
      <c r="CU6" s="575"/>
      <c r="CV6" s="575"/>
      <c r="CW6" s="575"/>
      <c r="CX6" s="575"/>
      <c r="CY6" s="575"/>
      <c r="CZ6" s="575"/>
      <c r="DA6" s="575"/>
      <c r="DB6" s="575"/>
      <c r="DC6" s="575"/>
      <c r="DD6" s="575"/>
      <c r="DE6" s="575"/>
      <c r="DF6" s="575"/>
      <c r="DG6" s="575"/>
      <c r="DH6" s="575"/>
      <c r="DI6" s="575"/>
    </row>
    <row r="7" customFormat="false" ht="18.75" hidden="false" customHeight="true" outlineLevel="0" collapsed="false">
      <c r="B7" s="572"/>
      <c r="C7" s="573" t="s">
        <v>879</v>
      </c>
      <c r="D7" s="575"/>
      <c r="E7" s="575"/>
      <c r="F7" s="575"/>
      <c r="G7" s="574"/>
      <c r="H7" s="575"/>
      <c r="I7" s="575"/>
      <c r="J7" s="575"/>
      <c r="K7" s="575"/>
      <c r="L7" s="575"/>
      <c r="M7" s="575"/>
      <c r="N7" s="575"/>
      <c r="O7" s="575"/>
      <c r="P7" s="575"/>
      <c r="Q7" s="575"/>
      <c r="R7" s="575"/>
      <c r="S7" s="575"/>
      <c r="T7" s="575"/>
      <c r="U7" s="575"/>
      <c r="V7" s="575"/>
      <c r="W7" s="575"/>
      <c r="X7" s="575"/>
      <c r="Y7" s="575"/>
      <c r="Z7" s="575"/>
      <c r="AA7" s="575"/>
      <c r="AB7" s="575"/>
      <c r="AC7" s="575"/>
      <c r="AD7" s="575"/>
      <c r="AE7" s="575"/>
      <c r="AF7" s="575"/>
      <c r="AG7" s="575"/>
      <c r="AH7" s="575"/>
      <c r="AI7" s="575"/>
      <c r="AJ7" s="575"/>
      <c r="AK7" s="575"/>
      <c r="AL7" s="575"/>
      <c r="AM7" s="575"/>
      <c r="AN7" s="575"/>
      <c r="AO7" s="575"/>
      <c r="AP7" s="575"/>
      <c r="AQ7" s="575"/>
      <c r="AR7" s="575"/>
      <c r="AS7" s="575"/>
      <c r="AT7" s="575"/>
      <c r="AU7" s="575"/>
      <c r="AV7" s="575"/>
      <c r="AW7" s="575"/>
      <c r="AX7" s="575"/>
      <c r="AY7" s="575"/>
      <c r="AZ7" s="575"/>
      <c r="BA7" s="575"/>
      <c r="BB7" s="575"/>
      <c r="BC7" s="575"/>
      <c r="BD7" s="575"/>
      <c r="BE7" s="575"/>
      <c r="BF7" s="575"/>
      <c r="BG7" s="575"/>
      <c r="BH7" s="575"/>
      <c r="BI7" s="575"/>
      <c r="BJ7" s="575"/>
      <c r="BK7" s="575"/>
      <c r="BL7" s="575"/>
      <c r="BM7" s="575"/>
      <c r="BN7" s="575"/>
      <c r="BO7" s="575"/>
      <c r="BP7" s="575"/>
      <c r="BQ7" s="575"/>
      <c r="BR7" s="575"/>
      <c r="BS7" s="575"/>
      <c r="BT7" s="575"/>
      <c r="BU7" s="575"/>
      <c r="BV7" s="575"/>
      <c r="BW7" s="575"/>
      <c r="BX7" s="575"/>
      <c r="BY7" s="575"/>
      <c r="BZ7" s="575"/>
      <c r="CA7" s="575"/>
      <c r="CB7" s="575"/>
      <c r="CC7" s="575"/>
      <c r="CD7" s="575"/>
      <c r="CE7" s="575"/>
      <c r="CF7" s="575"/>
      <c r="CG7" s="575"/>
      <c r="CH7" s="575"/>
      <c r="CI7" s="575"/>
      <c r="CJ7" s="575"/>
      <c r="CK7" s="575"/>
      <c r="CL7" s="575"/>
      <c r="CM7" s="575"/>
      <c r="CN7" s="575"/>
      <c r="CO7" s="575"/>
      <c r="CP7" s="575"/>
      <c r="CQ7" s="575"/>
      <c r="CR7" s="575"/>
      <c r="CS7" s="575"/>
      <c r="CT7" s="575"/>
      <c r="CU7" s="575"/>
      <c r="CV7" s="575"/>
      <c r="CW7" s="575"/>
      <c r="CX7" s="575"/>
      <c r="CY7" s="575"/>
      <c r="CZ7" s="575"/>
      <c r="DA7" s="575"/>
      <c r="DB7" s="575"/>
      <c r="DC7" s="575"/>
      <c r="DD7" s="575"/>
      <c r="DE7" s="575"/>
      <c r="DF7" s="575"/>
      <c r="DG7" s="575"/>
      <c r="DH7" s="575"/>
      <c r="DI7" s="575"/>
    </row>
    <row r="8" customFormat="false" ht="18.75" hidden="false" customHeight="true" outlineLevel="0" collapsed="false">
      <c r="B8" s="572"/>
      <c r="C8" s="573" t="s">
        <v>880</v>
      </c>
      <c r="D8" s="575"/>
      <c r="E8" s="575"/>
      <c r="F8" s="575"/>
      <c r="G8" s="574"/>
      <c r="H8" s="575"/>
      <c r="I8" s="575"/>
      <c r="J8" s="575"/>
      <c r="K8" s="575"/>
      <c r="L8" s="575"/>
      <c r="M8" s="575"/>
      <c r="N8" s="575"/>
      <c r="O8" s="575"/>
      <c r="P8" s="575"/>
      <c r="Q8" s="575"/>
      <c r="R8" s="575"/>
      <c r="S8" s="575"/>
      <c r="T8" s="575"/>
      <c r="U8" s="576"/>
      <c r="V8" s="576"/>
      <c r="W8" s="576"/>
      <c r="X8" s="576"/>
      <c r="Y8" s="576"/>
      <c r="Z8" s="576"/>
      <c r="AA8" s="576"/>
      <c r="AB8" s="576"/>
      <c r="AC8" s="576"/>
      <c r="AD8" s="576"/>
      <c r="AE8" s="576"/>
      <c r="AF8" s="576"/>
      <c r="AG8" s="576"/>
      <c r="AH8" s="576"/>
      <c r="AI8" s="576"/>
      <c r="AJ8" s="576"/>
      <c r="AK8" s="576"/>
      <c r="AL8" s="576"/>
      <c r="AM8" s="576"/>
      <c r="AN8" s="576"/>
      <c r="AO8" s="576"/>
      <c r="AP8" s="576"/>
      <c r="AQ8" s="576"/>
      <c r="AR8" s="576"/>
      <c r="AS8" s="576"/>
      <c r="AT8" s="576"/>
      <c r="AU8" s="576"/>
      <c r="AV8" s="576"/>
      <c r="AW8" s="576"/>
      <c r="AX8" s="576"/>
      <c r="AY8" s="575"/>
      <c r="AZ8" s="576"/>
      <c r="BA8" s="576"/>
      <c r="BB8" s="576"/>
      <c r="BC8" s="576"/>
      <c r="BD8" s="576"/>
      <c r="BE8" s="576"/>
      <c r="BF8" s="576"/>
      <c r="BG8" s="576"/>
      <c r="BH8" s="576"/>
      <c r="BI8" s="576"/>
      <c r="BJ8" s="576"/>
      <c r="BK8" s="576"/>
      <c r="BL8" s="576"/>
      <c r="BM8" s="576"/>
      <c r="BN8" s="576"/>
      <c r="BO8" s="576"/>
      <c r="BP8" s="576"/>
      <c r="BQ8" s="576"/>
      <c r="BR8" s="576"/>
      <c r="BS8" s="576"/>
      <c r="BT8" s="576"/>
      <c r="BU8" s="576"/>
      <c r="BV8" s="576"/>
      <c r="BW8" s="576"/>
      <c r="BX8" s="576"/>
      <c r="BY8" s="576"/>
      <c r="BZ8" s="576"/>
      <c r="CA8" s="576"/>
      <c r="CB8" s="576"/>
      <c r="CC8" s="576"/>
      <c r="CD8" s="575"/>
      <c r="CE8" s="576"/>
      <c r="CF8" s="576"/>
      <c r="CG8" s="576"/>
      <c r="CH8" s="576"/>
      <c r="CI8" s="576"/>
      <c r="CJ8" s="576"/>
      <c r="CK8" s="576"/>
      <c r="CL8" s="576"/>
      <c r="CM8" s="576"/>
      <c r="CN8" s="576"/>
      <c r="CO8" s="576"/>
      <c r="CP8" s="576"/>
      <c r="CQ8" s="576"/>
      <c r="CR8" s="576"/>
      <c r="CS8" s="576"/>
      <c r="CT8" s="576"/>
      <c r="CU8" s="576"/>
      <c r="CV8" s="576"/>
      <c r="CW8" s="576"/>
      <c r="CX8" s="576"/>
      <c r="CY8" s="576"/>
      <c r="CZ8" s="576"/>
      <c r="DA8" s="576"/>
      <c r="DB8" s="576"/>
      <c r="DC8" s="576"/>
      <c r="DD8" s="576"/>
      <c r="DE8" s="576"/>
      <c r="DF8" s="576"/>
      <c r="DG8" s="576"/>
      <c r="DH8" s="576"/>
      <c r="DI8" s="575"/>
    </row>
    <row r="9" customFormat="false" ht="18.75" hidden="false" customHeight="true" outlineLevel="0" collapsed="false">
      <c r="B9" s="577" t="s">
        <v>881</v>
      </c>
      <c r="C9" s="573" t="s">
        <v>882</v>
      </c>
      <c r="D9" s="575"/>
      <c r="E9" s="575"/>
      <c r="F9" s="575"/>
      <c r="G9" s="575"/>
      <c r="H9" s="574"/>
      <c r="I9" s="575"/>
      <c r="J9" s="575"/>
      <c r="K9" s="575"/>
      <c r="L9" s="575"/>
      <c r="M9" s="575"/>
      <c r="N9" s="575"/>
      <c r="O9" s="575"/>
      <c r="P9" s="575"/>
      <c r="Q9" s="575"/>
      <c r="R9" s="575"/>
      <c r="S9" s="575"/>
      <c r="T9" s="575"/>
      <c r="U9" s="575"/>
      <c r="V9" s="575"/>
      <c r="W9" s="575"/>
      <c r="X9" s="575"/>
      <c r="Y9" s="575"/>
      <c r="Z9" s="575"/>
      <c r="AA9" s="575"/>
      <c r="AB9" s="575"/>
      <c r="AC9" s="575"/>
      <c r="AD9" s="575"/>
      <c r="AE9" s="575"/>
      <c r="AF9" s="575"/>
      <c r="AG9" s="575"/>
      <c r="AH9" s="575"/>
      <c r="AI9" s="575"/>
      <c r="AJ9" s="575"/>
      <c r="AK9" s="575"/>
      <c r="AL9" s="575"/>
      <c r="AM9" s="575"/>
      <c r="AN9" s="575"/>
      <c r="AO9" s="575"/>
      <c r="AP9" s="575"/>
      <c r="AQ9" s="575"/>
      <c r="AR9" s="575"/>
      <c r="AS9" s="575"/>
      <c r="AT9" s="575"/>
      <c r="AU9" s="575"/>
      <c r="AV9" s="575"/>
      <c r="AW9" s="575"/>
      <c r="AX9" s="575"/>
      <c r="AY9" s="575"/>
      <c r="AZ9" s="575"/>
      <c r="BA9" s="575"/>
      <c r="BB9" s="575"/>
      <c r="BC9" s="575"/>
      <c r="BD9" s="575"/>
      <c r="BE9" s="575"/>
      <c r="BF9" s="575"/>
      <c r="BG9" s="575"/>
      <c r="BH9" s="575"/>
      <c r="BI9" s="575"/>
      <c r="BJ9" s="575"/>
      <c r="BK9" s="575"/>
      <c r="BL9" s="575"/>
      <c r="BM9" s="575"/>
      <c r="BN9" s="575"/>
      <c r="BO9" s="575"/>
      <c r="BP9" s="575"/>
      <c r="BQ9" s="575"/>
      <c r="BR9" s="575"/>
      <c r="BS9" s="575"/>
      <c r="BT9" s="575"/>
      <c r="BU9" s="575"/>
      <c r="BV9" s="575"/>
      <c r="BW9" s="575"/>
      <c r="BX9" s="575"/>
      <c r="BY9" s="575"/>
      <c r="BZ9" s="575"/>
      <c r="CA9" s="575"/>
      <c r="CB9" s="575"/>
      <c r="CC9" s="575"/>
      <c r="CD9" s="575"/>
      <c r="CE9" s="575"/>
      <c r="CF9" s="575"/>
      <c r="CG9" s="575"/>
      <c r="CH9" s="575"/>
      <c r="CI9" s="575"/>
      <c r="CJ9" s="575"/>
      <c r="CK9" s="575"/>
      <c r="CL9" s="575"/>
      <c r="CM9" s="575"/>
      <c r="CN9" s="575"/>
      <c r="CO9" s="575"/>
      <c r="CP9" s="575"/>
      <c r="CQ9" s="575"/>
      <c r="CR9" s="575"/>
      <c r="CS9" s="575"/>
      <c r="CT9" s="575"/>
      <c r="CU9" s="575"/>
      <c r="CV9" s="575"/>
      <c r="CW9" s="575"/>
      <c r="CX9" s="575"/>
      <c r="CY9" s="575"/>
      <c r="CZ9" s="575"/>
      <c r="DA9" s="575"/>
      <c r="DB9" s="575"/>
      <c r="DC9" s="575"/>
      <c r="DD9" s="575"/>
      <c r="DE9" s="575"/>
      <c r="DF9" s="575"/>
      <c r="DG9" s="575"/>
      <c r="DH9" s="575"/>
      <c r="DI9" s="575"/>
    </row>
    <row r="10" customFormat="false" ht="18.75" hidden="false" customHeight="true" outlineLevel="0" collapsed="false">
      <c r="B10" s="577"/>
      <c r="C10" s="573" t="s">
        <v>883</v>
      </c>
      <c r="D10" s="575"/>
      <c r="E10" s="575"/>
      <c r="F10" s="575"/>
      <c r="G10" s="575"/>
      <c r="H10" s="575"/>
      <c r="I10" s="574"/>
      <c r="J10" s="575"/>
      <c r="K10" s="575"/>
      <c r="L10" s="575"/>
      <c r="M10" s="575"/>
      <c r="N10" s="575"/>
      <c r="O10" s="575"/>
      <c r="P10" s="575"/>
      <c r="Q10" s="575"/>
      <c r="R10" s="575"/>
      <c r="S10" s="575"/>
      <c r="T10" s="575"/>
      <c r="U10" s="575"/>
      <c r="V10" s="575"/>
      <c r="W10" s="575"/>
      <c r="X10" s="575"/>
      <c r="Y10" s="575"/>
      <c r="Z10" s="575"/>
      <c r="AA10" s="575"/>
      <c r="AB10" s="575"/>
      <c r="AC10" s="575"/>
      <c r="AD10" s="575"/>
      <c r="AE10" s="575"/>
      <c r="AF10" s="575"/>
      <c r="AG10" s="575"/>
      <c r="AH10" s="575"/>
      <c r="AI10" s="575"/>
      <c r="AJ10" s="575"/>
      <c r="AK10" s="575"/>
      <c r="AL10" s="575"/>
      <c r="AM10" s="575"/>
      <c r="AN10" s="575"/>
      <c r="AO10" s="575"/>
      <c r="AP10" s="575"/>
      <c r="AQ10" s="575"/>
      <c r="AR10" s="575"/>
      <c r="AS10" s="575"/>
      <c r="AT10" s="575"/>
      <c r="AU10" s="575"/>
      <c r="AV10" s="575"/>
      <c r="AW10" s="575"/>
      <c r="AX10" s="575"/>
      <c r="AY10" s="575"/>
      <c r="AZ10" s="575"/>
      <c r="BA10" s="575"/>
      <c r="BB10" s="575"/>
      <c r="BC10" s="575"/>
      <c r="BD10" s="575"/>
      <c r="BE10" s="575"/>
      <c r="BF10" s="575"/>
      <c r="BG10" s="575"/>
      <c r="BH10" s="575"/>
      <c r="BI10" s="575"/>
      <c r="BJ10" s="575"/>
      <c r="BK10" s="575"/>
      <c r="BL10" s="575"/>
      <c r="BM10" s="575"/>
      <c r="BN10" s="575"/>
      <c r="BO10" s="575"/>
      <c r="BP10" s="575"/>
      <c r="BQ10" s="575"/>
      <c r="BR10" s="575"/>
      <c r="BS10" s="575"/>
      <c r="BT10" s="575"/>
      <c r="BU10" s="575"/>
      <c r="BV10" s="575"/>
      <c r="BW10" s="575"/>
      <c r="BX10" s="575"/>
      <c r="BY10" s="575"/>
      <c r="BZ10" s="575"/>
      <c r="CA10" s="575"/>
      <c r="CB10" s="575"/>
      <c r="CC10" s="575"/>
      <c r="CD10" s="575"/>
      <c r="CE10" s="575"/>
      <c r="CF10" s="575"/>
      <c r="CG10" s="575"/>
      <c r="CH10" s="575"/>
      <c r="CI10" s="575"/>
      <c r="CJ10" s="575"/>
      <c r="CK10" s="575"/>
      <c r="CL10" s="575"/>
      <c r="CM10" s="575"/>
      <c r="CN10" s="575"/>
      <c r="CO10" s="575"/>
      <c r="CP10" s="575"/>
      <c r="CQ10" s="575"/>
      <c r="CR10" s="575"/>
      <c r="CS10" s="575"/>
      <c r="CT10" s="575"/>
      <c r="CU10" s="575"/>
      <c r="CV10" s="575"/>
      <c r="CW10" s="575"/>
      <c r="CX10" s="575"/>
      <c r="CY10" s="575"/>
      <c r="CZ10" s="575"/>
      <c r="DA10" s="575"/>
      <c r="DB10" s="575"/>
      <c r="DC10" s="575"/>
      <c r="DD10" s="575"/>
      <c r="DE10" s="575"/>
      <c r="DF10" s="575"/>
      <c r="DG10" s="575"/>
      <c r="DH10" s="575"/>
      <c r="DI10" s="575"/>
    </row>
    <row r="11" customFormat="false" ht="18.75" hidden="false" customHeight="true" outlineLevel="0" collapsed="false">
      <c r="B11" s="577"/>
      <c r="C11" s="573" t="s">
        <v>884</v>
      </c>
      <c r="D11" s="575"/>
      <c r="E11" s="575"/>
      <c r="F11" s="575"/>
      <c r="G11" s="575"/>
      <c r="H11" s="575"/>
      <c r="I11" s="575"/>
      <c r="J11" s="574"/>
      <c r="K11" s="574"/>
      <c r="L11" s="574"/>
      <c r="M11" s="574"/>
      <c r="N11" s="574"/>
      <c r="O11" s="574"/>
      <c r="P11" s="574"/>
      <c r="Q11" s="574"/>
      <c r="R11" s="574"/>
      <c r="S11" s="574"/>
      <c r="T11" s="574"/>
      <c r="U11" s="574"/>
      <c r="V11" s="574"/>
      <c r="W11" s="574"/>
      <c r="X11" s="574"/>
      <c r="Y11" s="574"/>
      <c r="Z11" s="574"/>
      <c r="AA11" s="574"/>
      <c r="AB11" s="574"/>
      <c r="AC11" s="574"/>
      <c r="AD11" s="574"/>
      <c r="AE11" s="574"/>
      <c r="AF11" s="574"/>
      <c r="AG11" s="574"/>
      <c r="AH11" s="574"/>
      <c r="AI11" s="574"/>
      <c r="AJ11" s="574"/>
      <c r="AK11" s="574"/>
      <c r="AL11" s="574"/>
      <c r="AM11" s="574"/>
      <c r="AN11" s="574"/>
      <c r="AO11" s="574"/>
      <c r="AP11" s="574"/>
      <c r="AQ11" s="575"/>
      <c r="AR11" s="575"/>
      <c r="AS11" s="575"/>
      <c r="AT11" s="575"/>
      <c r="AU11" s="575"/>
      <c r="AV11" s="575"/>
      <c r="AW11" s="575"/>
      <c r="AX11" s="575"/>
      <c r="AY11" s="575"/>
      <c r="AZ11" s="575"/>
      <c r="BA11" s="575"/>
      <c r="BB11" s="575"/>
      <c r="BC11" s="575"/>
      <c r="BD11" s="575"/>
      <c r="BE11" s="575"/>
      <c r="BF11" s="575"/>
      <c r="BG11" s="575"/>
      <c r="BH11" s="575"/>
      <c r="BI11" s="575"/>
      <c r="BJ11" s="575"/>
      <c r="BK11" s="575"/>
      <c r="BL11" s="575"/>
      <c r="BM11" s="575"/>
      <c r="BN11" s="575"/>
      <c r="BO11" s="575"/>
      <c r="BP11" s="575"/>
      <c r="BQ11" s="575"/>
      <c r="BR11" s="575"/>
      <c r="BS11" s="575"/>
      <c r="BT11" s="575"/>
      <c r="BU11" s="575"/>
      <c r="BV11" s="575"/>
      <c r="BW11" s="575"/>
      <c r="BX11" s="575"/>
      <c r="BY11" s="575"/>
      <c r="BZ11" s="575"/>
      <c r="CA11" s="575"/>
      <c r="CB11" s="575"/>
      <c r="CC11" s="575"/>
      <c r="CD11" s="575"/>
      <c r="CE11" s="575"/>
      <c r="CF11" s="575"/>
      <c r="CG11" s="575"/>
      <c r="CH11" s="575"/>
      <c r="CI11" s="575"/>
      <c r="CJ11" s="575"/>
      <c r="CK11" s="575"/>
      <c r="CL11" s="575"/>
      <c r="CM11" s="575"/>
      <c r="CN11" s="575"/>
      <c r="CO11" s="575"/>
      <c r="CP11" s="575"/>
      <c r="CQ11" s="575"/>
      <c r="CR11" s="575"/>
      <c r="CS11" s="575"/>
      <c r="CT11" s="575"/>
      <c r="CU11" s="575"/>
      <c r="CV11" s="575"/>
      <c r="CW11" s="575"/>
      <c r="CX11" s="575"/>
      <c r="CY11" s="575"/>
      <c r="CZ11" s="575"/>
      <c r="DA11" s="575"/>
      <c r="DB11" s="575"/>
      <c r="DC11" s="575"/>
      <c r="DD11" s="575"/>
      <c r="DE11" s="575"/>
      <c r="DF11" s="575"/>
      <c r="DG11" s="575"/>
      <c r="DH11" s="575"/>
      <c r="DI11" s="575"/>
    </row>
    <row r="12" customFormat="false" ht="18.75" hidden="false" customHeight="true" outlineLevel="0" collapsed="false">
      <c r="B12" s="577"/>
      <c r="C12" s="578" t="s">
        <v>885</v>
      </c>
      <c r="D12" s="575"/>
      <c r="E12" s="575"/>
      <c r="F12" s="575"/>
      <c r="G12" s="575"/>
      <c r="H12" s="575"/>
      <c r="I12" s="575"/>
      <c r="J12" s="575"/>
      <c r="K12" s="575"/>
      <c r="L12" s="579" t="s">
        <v>886</v>
      </c>
      <c r="M12" s="575"/>
      <c r="N12" s="575"/>
      <c r="O12" s="575"/>
      <c r="P12" s="575"/>
      <c r="Q12" s="575"/>
      <c r="R12" s="575"/>
      <c r="S12" s="575"/>
      <c r="T12" s="575"/>
      <c r="U12" s="575"/>
      <c r="V12" s="575"/>
      <c r="W12" s="575"/>
      <c r="X12" s="575"/>
      <c r="Y12" s="575"/>
      <c r="Z12" s="575"/>
      <c r="AA12" s="579" t="s">
        <v>887</v>
      </c>
      <c r="AB12" s="579" t="s">
        <v>888</v>
      </c>
      <c r="AC12" s="575"/>
      <c r="AD12" s="575"/>
      <c r="AE12" s="575"/>
      <c r="AF12" s="575"/>
      <c r="AG12" s="575"/>
      <c r="AH12" s="575"/>
      <c r="AI12" s="575"/>
      <c r="AJ12" s="575"/>
      <c r="AK12" s="575"/>
      <c r="AL12" s="575"/>
      <c r="AM12" s="575"/>
      <c r="AN12" s="575"/>
      <c r="AO12" s="575"/>
      <c r="AP12" s="575"/>
      <c r="AQ12" s="575"/>
      <c r="AR12" s="575"/>
      <c r="AS12" s="575"/>
      <c r="AT12" s="575"/>
      <c r="AU12" s="575"/>
      <c r="AV12" s="575"/>
      <c r="AW12" s="575"/>
      <c r="AX12" s="575"/>
      <c r="AY12" s="575"/>
      <c r="AZ12" s="575"/>
      <c r="BA12" s="575"/>
      <c r="BB12" s="575"/>
      <c r="BC12" s="575"/>
      <c r="BD12" s="575"/>
      <c r="BE12" s="575"/>
      <c r="BF12" s="575"/>
      <c r="BG12" s="575"/>
      <c r="BH12" s="575"/>
      <c r="BI12" s="575"/>
      <c r="BJ12" s="575"/>
      <c r="BK12" s="575"/>
      <c r="BL12" s="575"/>
      <c r="BM12" s="575"/>
      <c r="BN12" s="575"/>
      <c r="BO12" s="575"/>
      <c r="BP12" s="575"/>
      <c r="BQ12" s="575"/>
      <c r="BR12" s="575"/>
      <c r="BS12" s="575"/>
      <c r="BT12" s="575"/>
      <c r="BU12" s="575"/>
      <c r="BV12" s="575"/>
      <c r="BW12" s="575"/>
      <c r="BX12" s="575"/>
      <c r="BY12" s="575"/>
      <c r="BZ12" s="575"/>
      <c r="CA12" s="575"/>
      <c r="CB12" s="575"/>
      <c r="CC12" s="575"/>
      <c r="CD12" s="575"/>
      <c r="CE12" s="575"/>
      <c r="CF12" s="575"/>
      <c r="CG12" s="575"/>
      <c r="CH12" s="575"/>
      <c r="CI12" s="575"/>
      <c r="CJ12" s="575"/>
      <c r="CK12" s="575"/>
      <c r="CL12" s="575"/>
      <c r="CM12" s="575"/>
      <c r="CN12" s="575"/>
      <c r="CO12" s="575"/>
      <c r="CP12" s="575"/>
      <c r="CQ12" s="575"/>
      <c r="CR12" s="575"/>
      <c r="CS12" s="575"/>
      <c r="CT12" s="575"/>
      <c r="CU12" s="575"/>
      <c r="CV12" s="575"/>
      <c r="CW12" s="575"/>
      <c r="CX12" s="575"/>
      <c r="CY12" s="575"/>
      <c r="CZ12" s="575"/>
      <c r="DA12" s="575"/>
      <c r="DB12" s="575"/>
      <c r="DC12" s="575"/>
      <c r="DD12" s="575"/>
      <c r="DE12" s="575"/>
      <c r="DF12" s="575"/>
      <c r="DG12" s="575"/>
      <c r="DH12" s="575"/>
      <c r="DI12" s="575"/>
    </row>
    <row r="13" customFormat="false" ht="18.75" hidden="false" customHeight="true" outlineLevel="0" collapsed="false">
      <c r="B13" s="577"/>
      <c r="C13" s="573" t="s">
        <v>889</v>
      </c>
      <c r="D13" s="575"/>
      <c r="E13" s="575"/>
      <c r="F13" s="575"/>
      <c r="G13" s="575"/>
      <c r="H13" s="575"/>
      <c r="I13" s="575"/>
      <c r="J13" s="575"/>
      <c r="K13" s="575"/>
      <c r="L13" s="575"/>
      <c r="M13" s="575"/>
      <c r="N13" s="575"/>
      <c r="O13" s="575"/>
      <c r="P13" s="575"/>
      <c r="Q13" s="575"/>
      <c r="R13" s="575"/>
      <c r="S13" s="575"/>
      <c r="T13" s="575"/>
      <c r="U13" s="575"/>
      <c r="V13" s="575"/>
      <c r="W13" s="575"/>
      <c r="X13" s="575"/>
      <c r="Y13" s="575"/>
      <c r="Z13" s="575"/>
      <c r="AA13" s="575"/>
      <c r="AB13" s="575"/>
      <c r="AC13" s="575"/>
      <c r="AD13" s="575"/>
      <c r="AE13" s="575"/>
      <c r="AF13" s="575"/>
      <c r="AG13" s="575"/>
      <c r="AH13" s="575"/>
      <c r="AI13" s="575"/>
      <c r="AJ13" s="575"/>
      <c r="AK13" s="575"/>
      <c r="AL13" s="575"/>
      <c r="AM13" s="575"/>
      <c r="AN13" s="575"/>
      <c r="AO13" s="575"/>
      <c r="AP13" s="575"/>
      <c r="AQ13" s="575"/>
      <c r="AR13" s="575"/>
      <c r="AS13" s="575"/>
      <c r="AT13" s="575"/>
      <c r="AU13" s="575"/>
      <c r="AV13" s="575"/>
      <c r="AW13" s="575"/>
      <c r="AX13" s="579" t="s">
        <v>887</v>
      </c>
      <c r="AY13" s="579" t="s">
        <v>888</v>
      </c>
      <c r="AZ13" s="575"/>
      <c r="BA13" s="575"/>
      <c r="BB13" s="575"/>
      <c r="BC13" s="575"/>
      <c r="BD13" s="575"/>
      <c r="BE13" s="575"/>
      <c r="BF13" s="575"/>
      <c r="BG13" s="575"/>
      <c r="BH13" s="575"/>
      <c r="BI13" s="575"/>
      <c r="BJ13" s="575"/>
      <c r="BK13" s="575"/>
      <c r="BL13" s="575"/>
      <c r="BM13" s="575"/>
      <c r="BN13" s="575"/>
      <c r="BO13" s="575"/>
      <c r="BP13" s="575"/>
      <c r="BQ13" s="575"/>
      <c r="BR13" s="575"/>
      <c r="BS13" s="575"/>
      <c r="BT13" s="575"/>
      <c r="BU13" s="575"/>
      <c r="BV13" s="575"/>
      <c r="BW13" s="575"/>
      <c r="BX13" s="575"/>
      <c r="BY13" s="575"/>
      <c r="BZ13" s="575"/>
      <c r="CA13" s="575"/>
      <c r="CB13" s="575"/>
      <c r="CC13" s="575"/>
      <c r="CD13" s="575"/>
      <c r="CE13" s="575"/>
      <c r="CF13" s="575"/>
      <c r="CG13" s="575"/>
      <c r="CH13" s="575"/>
      <c r="CI13" s="575"/>
      <c r="CJ13" s="575"/>
      <c r="CK13" s="575"/>
      <c r="CL13" s="575"/>
      <c r="CM13" s="575"/>
      <c r="CN13" s="575"/>
      <c r="CO13" s="575"/>
      <c r="CP13" s="575"/>
      <c r="CQ13" s="575"/>
      <c r="CR13" s="575"/>
      <c r="CS13" s="575"/>
      <c r="CT13" s="575"/>
      <c r="CU13" s="575"/>
      <c r="CV13" s="575"/>
      <c r="CW13" s="575"/>
      <c r="CX13" s="575"/>
      <c r="CY13" s="575"/>
      <c r="CZ13" s="575"/>
      <c r="DA13" s="575"/>
      <c r="DB13" s="575"/>
      <c r="DC13" s="575"/>
      <c r="DD13" s="575"/>
      <c r="DE13" s="575"/>
      <c r="DF13" s="575"/>
      <c r="DG13" s="575"/>
      <c r="DH13" s="575"/>
      <c r="DI13" s="575"/>
    </row>
    <row r="14" customFormat="false" ht="18" hidden="false" customHeight="true" outlineLevel="0" collapsed="false">
      <c r="B14" s="572" t="s">
        <v>841</v>
      </c>
      <c r="C14" s="573" t="s">
        <v>890</v>
      </c>
      <c r="D14" s="575"/>
      <c r="E14" s="575"/>
      <c r="F14" s="575"/>
      <c r="G14" s="575"/>
      <c r="H14" s="575"/>
      <c r="I14" s="575"/>
      <c r="J14" s="575"/>
      <c r="K14" s="575"/>
      <c r="L14" s="575"/>
      <c r="M14" s="575"/>
      <c r="N14" s="575"/>
      <c r="O14" s="575"/>
      <c r="P14" s="575"/>
      <c r="Q14" s="575"/>
      <c r="R14" s="575"/>
      <c r="S14" s="575"/>
      <c r="T14" s="575"/>
      <c r="U14" s="575"/>
      <c r="V14" s="575"/>
      <c r="W14" s="575"/>
      <c r="X14" s="575"/>
      <c r="Y14" s="575"/>
      <c r="Z14" s="575"/>
      <c r="AA14" s="575"/>
      <c r="AB14" s="575"/>
      <c r="AC14" s="575"/>
      <c r="AD14" s="575"/>
      <c r="AE14" s="575"/>
      <c r="AF14" s="575"/>
      <c r="AG14" s="575"/>
      <c r="AH14" s="575"/>
      <c r="AI14" s="575"/>
      <c r="AJ14" s="575"/>
      <c r="AK14" s="575"/>
      <c r="AL14" s="575"/>
      <c r="AM14" s="575"/>
      <c r="AN14" s="575"/>
      <c r="AO14" s="575"/>
      <c r="AP14" s="574"/>
      <c r="AQ14" s="574"/>
      <c r="AR14" s="574"/>
      <c r="AS14" s="574"/>
      <c r="AT14" s="574"/>
      <c r="AU14" s="574"/>
      <c r="AV14" s="574"/>
      <c r="AW14" s="574"/>
      <c r="AX14" s="574"/>
      <c r="AY14" s="574"/>
      <c r="AZ14" s="574"/>
      <c r="BA14" s="574"/>
      <c r="BB14" s="574"/>
      <c r="BC14" s="574"/>
      <c r="BD14" s="574"/>
      <c r="BE14" s="574"/>
      <c r="BF14" s="574"/>
      <c r="BG14" s="574"/>
      <c r="BH14" s="574"/>
      <c r="BI14" s="574"/>
      <c r="BJ14" s="574"/>
      <c r="BK14" s="574"/>
      <c r="BL14" s="574"/>
      <c r="BM14" s="574"/>
      <c r="BN14" s="574"/>
      <c r="BO14" s="574"/>
      <c r="BP14" s="574"/>
      <c r="BQ14" s="574"/>
      <c r="BR14" s="574"/>
      <c r="BS14" s="574"/>
      <c r="BT14" s="574"/>
      <c r="BU14" s="574"/>
      <c r="BV14" s="574"/>
      <c r="BW14" s="574"/>
      <c r="BX14" s="574"/>
      <c r="BY14" s="574"/>
      <c r="BZ14" s="575"/>
      <c r="CA14" s="575"/>
      <c r="CB14" s="575"/>
      <c r="CC14" s="575"/>
      <c r="CD14" s="575"/>
      <c r="CE14" s="575"/>
      <c r="CF14" s="575"/>
      <c r="CG14" s="575"/>
      <c r="CH14" s="575"/>
      <c r="CI14" s="575"/>
      <c r="CJ14" s="575"/>
      <c r="CK14" s="575"/>
      <c r="CL14" s="575"/>
      <c r="CM14" s="575"/>
      <c r="CN14" s="575"/>
      <c r="CO14" s="575"/>
      <c r="CP14" s="575"/>
      <c r="CQ14" s="575"/>
      <c r="CR14" s="575"/>
      <c r="CS14" s="575"/>
      <c r="CT14" s="575"/>
      <c r="CU14" s="575"/>
      <c r="CV14" s="575"/>
      <c r="CW14" s="575"/>
      <c r="CX14" s="575"/>
      <c r="CY14" s="575"/>
      <c r="CZ14" s="575"/>
      <c r="DA14" s="575"/>
      <c r="DB14" s="575"/>
      <c r="DC14" s="575"/>
      <c r="DD14" s="575"/>
      <c r="DE14" s="575"/>
      <c r="DF14" s="575"/>
      <c r="DG14" s="575"/>
      <c r="DH14" s="575"/>
      <c r="DI14" s="575"/>
    </row>
    <row r="15" customFormat="false" ht="18.75" hidden="false" customHeight="true" outlineLevel="0" collapsed="false">
      <c r="B15" s="572"/>
      <c r="C15" s="573" t="s">
        <v>891</v>
      </c>
      <c r="D15" s="575"/>
      <c r="E15" s="575"/>
      <c r="F15" s="575"/>
      <c r="G15" s="575"/>
      <c r="H15" s="575"/>
      <c r="I15" s="575"/>
      <c r="J15" s="575"/>
      <c r="K15" s="575"/>
      <c r="L15" s="575"/>
      <c r="M15" s="575"/>
      <c r="N15" s="575"/>
      <c r="O15" s="575"/>
      <c r="P15" s="575"/>
      <c r="Q15" s="575"/>
      <c r="R15" s="575"/>
      <c r="S15" s="575"/>
      <c r="T15" s="575"/>
      <c r="U15" s="575"/>
      <c r="V15" s="575"/>
      <c r="W15" s="575"/>
      <c r="X15" s="575"/>
      <c r="Y15" s="575"/>
      <c r="Z15" s="575"/>
      <c r="AA15" s="575"/>
      <c r="AB15" s="575"/>
      <c r="AC15" s="575"/>
      <c r="AD15" s="575"/>
      <c r="AE15" s="575"/>
      <c r="AF15" s="575"/>
      <c r="AG15" s="575"/>
      <c r="AH15" s="575"/>
      <c r="AI15" s="575"/>
      <c r="AJ15" s="575"/>
      <c r="AK15" s="575"/>
      <c r="AL15" s="575"/>
      <c r="AM15" s="575"/>
      <c r="AN15" s="575"/>
      <c r="AO15" s="575"/>
      <c r="AP15" s="575"/>
      <c r="AQ15" s="575"/>
      <c r="AR15" s="575"/>
      <c r="AS15" s="575"/>
      <c r="AT15" s="575"/>
      <c r="AU15" s="575"/>
      <c r="AV15" s="575"/>
      <c r="AW15" s="575"/>
      <c r="AX15" s="575"/>
      <c r="AY15" s="575"/>
      <c r="AZ15" s="575"/>
      <c r="BA15" s="575"/>
      <c r="BB15" s="575"/>
      <c r="BC15" s="575"/>
      <c r="BD15" s="575"/>
      <c r="BE15" s="575"/>
      <c r="BF15" s="575"/>
      <c r="BG15" s="575"/>
      <c r="BH15" s="575"/>
      <c r="BI15" s="575"/>
      <c r="BJ15" s="575"/>
      <c r="BK15" s="575"/>
      <c r="BL15" s="575"/>
      <c r="BM15" s="575"/>
      <c r="BN15" s="575"/>
      <c r="BO15" s="575"/>
      <c r="BP15" s="575"/>
      <c r="BQ15" s="575"/>
      <c r="BR15" s="575"/>
      <c r="BS15" s="575"/>
      <c r="BT15" s="575"/>
      <c r="BU15" s="575"/>
      <c r="BV15" s="575"/>
      <c r="BW15" s="575"/>
      <c r="BX15" s="575"/>
      <c r="BY15" s="575"/>
      <c r="BZ15" s="575"/>
      <c r="CA15" s="575"/>
      <c r="CB15" s="575"/>
      <c r="CC15" s="575"/>
      <c r="CD15" s="574"/>
      <c r="CE15" s="575"/>
      <c r="CF15" s="575"/>
      <c r="CG15" s="575"/>
      <c r="CH15" s="575"/>
      <c r="CI15" s="575"/>
      <c r="CJ15" s="575"/>
      <c r="CK15" s="575"/>
      <c r="CL15" s="575"/>
      <c r="CM15" s="575"/>
      <c r="CN15" s="575"/>
      <c r="CO15" s="575"/>
      <c r="CP15" s="575"/>
      <c r="CQ15" s="575"/>
      <c r="CR15" s="575"/>
      <c r="CS15" s="575"/>
      <c r="CT15" s="575"/>
      <c r="CU15" s="575"/>
      <c r="CV15" s="575"/>
      <c r="CW15" s="575"/>
      <c r="CX15" s="575"/>
      <c r="CY15" s="575"/>
      <c r="CZ15" s="575"/>
      <c r="DA15" s="575"/>
      <c r="DB15" s="575"/>
      <c r="DC15" s="575"/>
      <c r="DD15" s="575"/>
      <c r="DE15" s="575"/>
      <c r="DF15" s="575"/>
      <c r="DG15" s="575"/>
      <c r="DH15" s="575"/>
      <c r="DI15" s="575"/>
    </row>
    <row r="16" customFormat="false" ht="18.75" hidden="false" customHeight="true" outlineLevel="0" collapsed="false">
      <c r="B16" s="572"/>
      <c r="C16" s="573" t="s">
        <v>892</v>
      </c>
      <c r="D16" s="575"/>
      <c r="E16" s="575"/>
      <c r="F16" s="575"/>
      <c r="G16" s="575"/>
      <c r="H16" s="575"/>
      <c r="I16" s="575"/>
      <c r="J16" s="575"/>
      <c r="K16" s="575"/>
      <c r="L16" s="575"/>
      <c r="M16" s="575"/>
      <c r="N16" s="575"/>
      <c r="O16" s="575"/>
      <c r="P16" s="575"/>
      <c r="Q16" s="575"/>
      <c r="R16" s="575"/>
      <c r="S16" s="575"/>
      <c r="T16" s="575"/>
      <c r="U16" s="575"/>
      <c r="V16" s="575"/>
      <c r="W16" s="575"/>
      <c r="X16" s="575"/>
      <c r="Y16" s="575"/>
      <c r="Z16" s="575"/>
      <c r="AA16" s="575"/>
      <c r="AB16" s="575"/>
      <c r="AC16" s="575"/>
      <c r="AD16" s="575"/>
      <c r="AE16" s="575"/>
      <c r="AF16" s="575"/>
      <c r="AG16" s="575"/>
      <c r="AH16" s="575"/>
      <c r="AI16" s="575"/>
      <c r="AJ16" s="575"/>
      <c r="AK16" s="575"/>
      <c r="AL16" s="575"/>
      <c r="AM16" s="575"/>
      <c r="AN16" s="575"/>
      <c r="AO16" s="575"/>
      <c r="AP16" s="575"/>
      <c r="AQ16" s="575"/>
      <c r="AR16" s="575"/>
      <c r="AS16" s="575"/>
      <c r="AT16" s="575"/>
      <c r="AU16" s="575"/>
      <c r="AV16" s="575"/>
      <c r="AW16" s="575"/>
      <c r="AX16" s="575"/>
      <c r="AY16" s="575"/>
      <c r="AZ16" s="575"/>
      <c r="BA16" s="575"/>
      <c r="BB16" s="575"/>
      <c r="BC16" s="575"/>
      <c r="BD16" s="575"/>
      <c r="BE16" s="575"/>
      <c r="BF16" s="575"/>
      <c r="BG16" s="575"/>
      <c r="BH16" s="575"/>
      <c r="BI16" s="575"/>
      <c r="BJ16" s="575"/>
      <c r="BK16" s="575"/>
      <c r="BL16" s="575"/>
      <c r="BM16" s="575"/>
      <c r="BN16" s="575"/>
      <c r="BO16" s="575"/>
      <c r="BP16" s="575"/>
      <c r="BQ16" s="575"/>
      <c r="BR16" s="575"/>
      <c r="BS16" s="575"/>
      <c r="BT16" s="575"/>
      <c r="BU16" s="575"/>
      <c r="BV16" s="575"/>
      <c r="BW16" s="575"/>
      <c r="BX16" s="575"/>
      <c r="BY16" s="575"/>
      <c r="BZ16" s="575"/>
      <c r="CA16" s="575"/>
      <c r="CB16" s="575"/>
      <c r="CC16" s="575"/>
      <c r="CD16" s="575"/>
      <c r="CE16" s="574"/>
      <c r="CF16" s="574"/>
      <c r="CG16" s="574"/>
      <c r="CH16" s="574"/>
      <c r="CI16" s="574"/>
      <c r="CJ16" s="574"/>
      <c r="CK16" s="574"/>
      <c r="CL16" s="574"/>
      <c r="CM16" s="574"/>
      <c r="CN16" s="574"/>
      <c r="CO16" s="574"/>
      <c r="CP16" s="574"/>
      <c r="CQ16" s="574"/>
      <c r="CR16" s="574"/>
      <c r="CS16" s="574"/>
      <c r="CT16" s="574"/>
      <c r="CU16" s="574"/>
      <c r="CV16" s="574"/>
      <c r="CW16" s="574"/>
      <c r="CX16" s="574"/>
      <c r="CY16" s="574"/>
      <c r="CZ16" s="574"/>
      <c r="DA16" s="575"/>
      <c r="DB16" s="575"/>
      <c r="DC16" s="575"/>
      <c r="DD16" s="575"/>
      <c r="DE16" s="575"/>
      <c r="DF16" s="575"/>
      <c r="DG16" s="575"/>
      <c r="DH16" s="575"/>
      <c r="DI16" s="575"/>
    </row>
    <row r="17" customFormat="false" ht="18.75" hidden="false" customHeight="true" outlineLevel="0" collapsed="false">
      <c r="B17" s="572"/>
      <c r="C17" s="578" t="s">
        <v>893</v>
      </c>
      <c r="D17" s="575"/>
      <c r="E17" s="575"/>
      <c r="F17" s="575"/>
      <c r="G17" s="575"/>
      <c r="H17" s="575"/>
      <c r="I17" s="575"/>
      <c r="J17" s="575"/>
      <c r="K17" s="575"/>
      <c r="L17" s="575"/>
      <c r="M17" s="575"/>
      <c r="N17" s="575"/>
      <c r="O17" s="575"/>
      <c r="P17" s="575"/>
      <c r="Q17" s="575"/>
      <c r="R17" s="575"/>
      <c r="S17" s="575"/>
      <c r="T17" s="575"/>
      <c r="U17" s="575"/>
      <c r="V17" s="575"/>
      <c r="W17" s="575"/>
      <c r="X17" s="575"/>
      <c r="Y17" s="575"/>
      <c r="Z17" s="575"/>
      <c r="AA17" s="575"/>
      <c r="AB17" s="575"/>
      <c r="AC17" s="575"/>
      <c r="AD17" s="575"/>
      <c r="AE17" s="575"/>
      <c r="AF17" s="575"/>
      <c r="AG17" s="575"/>
      <c r="AH17" s="575"/>
      <c r="AI17" s="575"/>
      <c r="AJ17" s="575"/>
      <c r="AK17" s="575"/>
      <c r="AL17" s="575"/>
      <c r="AM17" s="575"/>
      <c r="AN17" s="575"/>
      <c r="AO17" s="575"/>
      <c r="AP17" s="575"/>
      <c r="AQ17" s="575"/>
      <c r="AR17" s="575"/>
      <c r="AS17" s="575"/>
      <c r="AT17" s="575"/>
      <c r="AU17" s="575"/>
      <c r="AV17" s="575"/>
      <c r="AW17" s="575"/>
      <c r="AX17" s="575"/>
      <c r="AY17" s="575"/>
      <c r="AZ17" s="575"/>
      <c r="BA17" s="575"/>
      <c r="BB17" s="575"/>
      <c r="BC17" s="575"/>
      <c r="BD17" s="575"/>
      <c r="BE17" s="575"/>
      <c r="BF17" s="575"/>
      <c r="BG17" s="575"/>
      <c r="BH17" s="575"/>
      <c r="BI17" s="575"/>
      <c r="BJ17" s="575"/>
      <c r="BK17" s="575"/>
      <c r="BL17" s="575"/>
      <c r="BM17" s="575"/>
      <c r="BN17" s="575"/>
      <c r="BO17" s="575"/>
      <c r="BP17" s="575"/>
      <c r="BQ17" s="575"/>
      <c r="BR17" s="575"/>
      <c r="BS17" s="575"/>
      <c r="BT17" s="575"/>
      <c r="BU17" s="575"/>
      <c r="BV17" s="575"/>
      <c r="BW17" s="575"/>
      <c r="BX17" s="575"/>
      <c r="BY17" s="575"/>
      <c r="BZ17" s="575"/>
      <c r="CA17" s="575"/>
      <c r="CB17" s="575"/>
      <c r="CC17" s="575"/>
      <c r="CD17" s="575"/>
      <c r="CE17" s="575"/>
      <c r="CF17" s="575"/>
      <c r="CG17" s="575"/>
      <c r="CH17" s="575"/>
      <c r="CI17" s="575"/>
      <c r="CJ17" s="575"/>
      <c r="CK17" s="575"/>
      <c r="CL17" s="575"/>
      <c r="CM17" s="575"/>
      <c r="CN17" s="575"/>
      <c r="CO17" s="575"/>
      <c r="CP17" s="575"/>
      <c r="CQ17" s="575"/>
      <c r="CR17" s="575"/>
      <c r="CS17" s="575"/>
      <c r="CT17" s="575"/>
      <c r="CU17" s="575"/>
      <c r="CV17" s="575"/>
      <c r="CW17" s="575"/>
      <c r="CX17" s="575"/>
      <c r="CY17" s="575"/>
      <c r="CZ17" s="575"/>
      <c r="DA17" s="574"/>
      <c r="DB17" s="575"/>
      <c r="DC17" s="575"/>
      <c r="DD17" s="575"/>
      <c r="DE17" s="575"/>
      <c r="DF17" s="575"/>
      <c r="DG17" s="575"/>
      <c r="DH17" s="575"/>
      <c r="DI17" s="575"/>
    </row>
    <row r="18" customFormat="false" ht="18" hidden="false" customHeight="true" outlineLevel="0" collapsed="false">
      <c r="B18" s="572"/>
      <c r="C18" s="578" t="s">
        <v>894</v>
      </c>
      <c r="D18" s="575"/>
      <c r="E18" s="575"/>
      <c r="F18" s="575"/>
      <c r="G18" s="575"/>
      <c r="H18" s="575"/>
      <c r="I18" s="575"/>
      <c r="J18" s="575"/>
      <c r="K18" s="575"/>
      <c r="L18" s="575"/>
      <c r="M18" s="575"/>
      <c r="N18" s="575"/>
      <c r="O18" s="575"/>
      <c r="P18" s="575"/>
      <c r="Q18" s="575"/>
      <c r="R18" s="575"/>
      <c r="S18" s="575"/>
      <c r="T18" s="575"/>
      <c r="U18" s="575"/>
      <c r="V18" s="575"/>
      <c r="W18" s="575"/>
      <c r="X18" s="575"/>
      <c r="Y18" s="575"/>
      <c r="Z18" s="575"/>
      <c r="AA18" s="575"/>
      <c r="AB18" s="575"/>
      <c r="AC18" s="575"/>
      <c r="AD18" s="575"/>
      <c r="AE18" s="575"/>
      <c r="AF18" s="575"/>
      <c r="AG18" s="575"/>
      <c r="AH18" s="575"/>
      <c r="AI18" s="575"/>
      <c r="AJ18" s="575"/>
      <c r="AK18" s="575"/>
      <c r="AL18" s="575"/>
      <c r="AM18" s="575"/>
      <c r="AN18" s="575"/>
      <c r="AO18" s="575"/>
      <c r="AP18" s="575"/>
      <c r="AQ18" s="575"/>
      <c r="AR18" s="575"/>
      <c r="AS18" s="575"/>
      <c r="AT18" s="575"/>
      <c r="AU18" s="575"/>
      <c r="AV18" s="575"/>
      <c r="AW18" s="575"/>
      <c r="AX18" s="575"/>
      <c r="AY18" s="575"/>
      <c r="AZ18" s="575"/>
      <c r="BA18" s="575"/>
      <c r="BB18" s="575"/>
      <c r="BC18" s="575"/>
      <c r="BD18" s="575"/>
      <c r="BE18" s="575"/>
      <c r="BF18" s="575"/>
      <c r="BG18" s="575"/>
      <c r="BH18" s="575"/>
      <c r="BI18" s="575"/>
      <c r="BJ18" s="575"/>
      <c r="BK18" s="575"/>
      <c r="BL18" s="575"/>
      <c r="BM18" s="575"/>
      <c r="BN18" s="575"/>
      <c r="BO18" s="575"/>
      <c r="BP18" s="575"/>
      <c r="BQ18" s="575"/>
      <c r="BR18" s="575"/>
      <c r="BS18" s="575"/>
      <c r="BT18" s="575"/>
      <c r="BU18" s="575"/>
      <c r="BV18" s="575"/>
      <c r="BW18" s="575"/>
      <c r="BX18" s="575"/>
      <c r="BY18" s="575"/>
      <c r="BZ18" s="575"/>
      <c r="CA18" s="575"/>
      <c r="CB18" s="575"/>
      <c r="CC18" s="575"/>
      <c r="CD18" s="575"/>
      <c r="CE18" s="575"/>
      <c r="CF18" s="575"/>
      <c r="CG18" s="575"/>
      <c r="CH18" s="575"/>
      <c r="CI18" s="575"/>
      <c r="CJ18" s="575"/>
      <c r="CK18" s="575"/>
      <c r="CL18" s="575"/>
      <c r="CM18" s="575"/>
      <c r="CN18" s="575"/>
      <c r="CO18" s="575"/>
      <c r="CP18" s="575"/>
      <c r="CQ18" s="575"/>
      <c r="CR18" s="575"/>
      <c r="CS18" s="575"/>
      <c r="CT18" s="575"/>
      <c r="CU18" s="575"/>
      <c r="CV18" s="575"/>
      <c r="CW18" s="575"/>
      <c r="CX18" s="575"/>
      <c r="CY18" s="575"/>
      <c r="CZ18" s="575"/>
      <c r="DA18" s="574"/>
      <c r="DB18" s="575"/>
      <c r="DC18" s="575"/>
      <c r="DD18" s="575"/>
      <c r="DE18" s="575"/>
      <c r="DF18" s="575"/>
      <c r="DG18" s="575"/>
      <c r="DH18" s="575"/>
      <c r="DI18" s="575"/>
    </row>
    <row r="19" customFormat="false" ht="18.75" hidden="false" customHeight="true" outlineLevel="0" collapsed="false">
      <c r="B19" s="577" t="s">
        <v>895</v>
      </c>
      <c r="C19" s="578" t="s">
        <v>896</v>
      </c>
      <c r="D19" s="575"/>
      <c r="E19" s="575"/>
      <c r="F19" s="575"/>
      <c r="G19" s="575"/>
      <c r="H19" s="575"/>
      <c r="I19" s="575"/>
      <c r="J19" s="575"/>
      <c r="K19" s="575"/>
      <c r="L19" s="575"/>
      <c r="M19" s="575"/>
      <c r="N19" s="575"/>
      <c r="O19" s="575"/>
      <c r="P19" s="575"/>
      <c r="Q19" s="575"/>
      <c r="R19" s="575"/>
      <c r="S19" s="575"/>
      <c r="T19" s="575"/>
      <c r="U19" s="575"/>
      <c r="V19" s="575"/>
      <c r="W19" s="575"/>
      <c r="X19" s="575"/>
      <c r="Y19" s="575"/>
      <c r="Z19" s="575"/>
      <c r="AA19" s="575"/>
      <c r="AB19" s="575"/>
      <c r="AC19" s="575"/>
      <c r="AD19" s="575"/>
      <c r="AE19" s="575"/>
      <c r="AF19" s="575"/>
      <c r="AG19" s="575"/>
      <c r="AH19" s="575"/>
      <c r="AI19" s="575"/>
      <c r="AJ19" s="575"/>
      <c r="AK19" s="575"/>
      <c r="AL19" s="575"/>
      <c r="AM19" s="575"/>
      <c r="AN19" s="575"/>
      <c r="AO19" s="575"/>
      <c r="AP19" s="575"/>
      <c r="AQ19" s="575"/>
      <c r="AR19" s="575"/>
      <c r="AS19" s="575"/>
      <c r="AT19" s="575"/>
      <c r="AU19" s="575"/>
      <c r="AV19" s="575"/>
      <c r="AW19" s="575"/>
      <c r="AX19" s="575"/>
      <c r="AY19" s="575"/>
      <c r="AZ19" s="575"/>
      <c r="BA19" s="575"/>
      <c r="BB19" s="575"/>
      <c r="BC19" s="575"/>
      <c r="BD19" s="575"/>
      <c r="BE19" s="575"/>
      <c r="BF19" s="575"/>
      <c r="BG19" s="575"/>
      <c r="BH19" s="575"/>
      <c r="BI19" s="575"/>
      <c r="BJ19" s="575"/>
      <c r="BK19" s="575"/>
      <c r="BL19" s="575"/>
      <c r="BM19" s="575"/>
      <c r="BN19" s="575"/>
      <c r="BO19" s="575"/>
      <c r="BP19" s="575"/>
      <c r="BQ19" s="575"/>
      <c r="BR19" s="575"/>
      <c r="BS19" s="575"/>
      <c r="BT19" s="575"/>
      <c r="BU19" s="575"/>
      <c r="BV19" s="575"/>
      <c r="BW19" s="575"/>
      <c r="BX19" s="575"/>
      <c r="BY19" s="575"/>
      <c r="BZ19" s="575"/>
      <c r="CA19" s="575"/>
      <c r="CB19" s="575"/>
      <c r="CC19" s="575"/>
      <c r="CD19" s="575"/>
      <c r="CE19" s="575"/>
      <c r="CF19" s="575"/>
      <c r="CG19" s="575"/>
      <c r="CH19" s="575"/>
      <c r="CI19" s="575"/>
      <c r="CJ19" s="575"/>
      <c r="CK19" s="575"/>
      <c r="CL19" s="575"/>
      <c r="CM19" s="575"/>
      <c r="CN19" s="575"/>
      <c r="CO19" s="575"/>
      <c r="CP19" s="575"/>
      <c r="CQ19" s="575"/>
      <c r="CR19" s="575"/>
      <c r="CS19" s="575"/>
      <c r="CT19" s="575"/>
      <c r="CU19" s="575"/>
      <c r="CV19" s="575"/>
      <c r="CW19" s="575"/>
      <c r="CX19" s="575"/>
      <c r="CY19" s="575"/>
      <c r="CZ19" s="575"/>
      <c r="DA19" s="574"/>
      <c r="DB19" s="574"/>
      <c r="DC19" s="574"/>
      <c r="DD19" s="574"/>
      <c r="DE19" s="574"/>
      <c r="DF19" s="574"/>
      <c r="DG19" s="574"/>
      <c r="DH19" s="574"/>
      <c r="DI19" s="574"/>
    </row>
    <row r="20" customFormat="false" ht="18.75" hidden="false" customHeight="true" outlineLevel="0" collapsed="false">
      <c r="B20" s="577"/>
      <c r="C20" s="578" t="s">
        <v>897</v>
      </c>
      <c r="D20" s="575"/>
      <c r="E20" s="575"/>
      <c r="F20" s="575"/>
      <c r="G20" s="575"/>
      <c r="H20" s="575"/>
      <c r="I20" s="575"/>
      <c r="J20" s="575"/>
      <c r="K20" s="575"/>
      <c r="L20" s="575"/>
      <c r="M20" s="575"/>
      <c r="N20" s="575"/>
      <c r="O20" s="575"/>
      <c r="P20" s="575"/>
      <c r="Q20" s="575"/>
      <c r="R20" s="575"/>
      <c r="S20" s="575"/>
      <c r="T20" s="575"/>
      <c r="U20" s="575"/>
      <c r="V20" s="575"/>
      <c r="W20" s="575"/>
      <c r="X20" s="575"/>
      <c r="Y20" s="575"/>
      <c r="Z20" s="575"/>
      <c r="AA20" s="575"/>
      <c r="AB20" s="575"/>
      <c r="AC20" s="575"/>
      <c r="AD20" s="575"/>
      <c r="AE20" s="575"/>
      <c r="AF20" s="575"/>
      <c r="AG20" s="575"/>
      <c r="AH20" s="575"/>
      <c r="AI20" s="575"/>
      <c r="AJ20" s="575"/>
      <c r="AK20" s="575"/>
      <c r="AL20" s="575"/>
      <c r="AM20" s="575"/>
      <c r="AN20" s="575"/>
      <c r="AO20" s="575"/>
      <c r="AP20" s="575"/>
      <c r="AQ20" s="575"/>
      <c r="AR20" s="575"/>
      <c r="AS20" s="575"/>
      <c r="AT20" s="575"/>
      <c r="AU20" s="575"/>
      <c r="AV20" s="575"/>
      <c r="AW20" s="575"/>
      <c r="AX20" s="575"/>
      <c r="AY20" s="575"/>
      <c r="AZ20" s="575"/>
      <c r="BA20" s="575"/>
      <c r="BB20" s="575"/>
      <c r="BC20" s="575"/>
      <c r="BD20" s="575"/>
      <c r="BE20" s="575"/>
      <c r="BF20" s="575"/>
      <c r="BG20" s="575"/>
      <c r="BH20" s="575"/>
      <c r="BI20" s="575"/>
      <c r="BJ20" s="575"/>
      <c r="BK20" s="575"/>
      <c r="BL20" s="575"/>
      <c r="BM20" s="575"/>
      <c r="BN20" s="575"/>
      <c r="BO20" s="575"/>
      <c r="BP20" s="575"/>
      <c r="BQ20" s="575"/>
      <c r="BR20" s="575"/>
      <c r="BS20" s="575"/>
      <c r="BT20" s="575"/>
      <c r="BU20" s="575"/>
      <c r="BV20" s="575"/>
      <c r="BW20" s="575"/>
      <c r="BX20" s="575"/>
      <c r="BY20" s="575"/>
      <c r="BZ20" s="575"/>
      <c r="CA20" s="575"/>
      <c r="CB20" s="575"/>
      <c r="CC20" s="575"/>
      <c r="CD20" s="575"/>
      <c r="CE20" s="575"/>
      <c r="CF20" s="575"/>
      <c r="CG20" s="575"/>
      <c r="CH20" s="575"/>
      <c r="CI20" s="575"/>
      <c r="CJ20" s="575"/>
      <c r="CK20" s="575"/>
      <c r="CL20" s="575"/>
      <c r="CM20" s="575"/>
      <c r="CN20" s="575"/>
      <c r="CO20" s="575"/>
      <c r="CP20" s="575"/>
      <c r="CQ20" s="575"/>
      <c r="CR20" s="575"/>
      <c r="CS20" s="575"/>
      <c r="CT20" s="575"/>
      <c r="CU20" s="575"/>
      <c r="CV20" s="575"/>
      <c r="CW20" s="575"/>
      <c r="CX20" s="575"/>
      <c r="CY20" s="575"/>
      <c r="CZ20" s="575"/>
      <c r="DA20" s="574"/>
      <c r="DB20" s="574"/>
      <c r="DC20" s="574"/>
      <c r="DD20" s="574"/>
      <c r="DE20" s="574"/>
      <c r="DF20" s="574"/>
      <c r="DG20" s="574"/>
      <c r="DH20" s="574"/>
      <c r="DI20" s="574"/>
    </row>
    <row r="21" customFormat="false" ht="18.75" hidden="false" customHeight="true" outlineLevel="0" collapsed="false">
      <c r="B21" s="577"/>
      <c r="C21" s="580" t="s">
        <v>898</v>
      </c>
      <c r="D21" s="575"/>
      <c r="E21" s="575"/>
      <c r="F21" s="575"/>
      <c r="G21" s="575"/>
      <c r="H21" s="575"/>
      <c r="I21" s="575"/>
      <c r="J21" s="575"/>
      <c r="K21" s="575"/>
      <c r="L21" s="575"/>
      <c r="M21" s="575"/>
      <c r="N21" s="575"/>
      <c r="O21" s="575"/>
      <c r="P21" s="575"/>
      <c r="Q21" s="575"/>
      <c r="R21" s="575"/>
      <c r="S21" s="575"/>
      <c r="T21" s="575"/>
      <c r="U21" s="575"/>
      <c r="V21" s="575"/>
      <c r="W21" s="575"/>
      <c r="X21" s="575"/>
      <c r="Y21" s="575"/>
      <c r="Z21" s="575"/>
      <c r="AA21" s="575"/>
      <c r="AB21" s="575"/>
      <c r="AC21" s="575"/>
      <c r="AD21" s="575"/>
      <c r="AE21" s="575"/>
      <c r="AF21" s="575"/>
      <c r="AG21" s="575"/>
      <c r="AH21" s="575"/>
      <c r="AI21" s="575"/>
      <c r="AJ21" s="575"/>
      <c r="AK21" s="575"/>
      <c r="AL21" s="575"/>
      <c r="AM21" s="575"/>
      <c r="AN21" s="575"/>
      <c r="AO21" s="575"/>
      <c r="AP21" s="575"/>
      <c r="AQ21" s="575"/>
      <c r="AR21" s="575"/>
      <c r="AS21" s="575"/>
      <c r="AT21" s="575"/>
      <c r="AU21" s="575"/>
      <c r="AV21" s="575"/>
      <c r="AW21" s="575"/>
      <c r="AX21" s="575"/>
      <c r="AY21" s="575"/>
      <c r="AZ21" s="575"/>
      <c r="BA21" s="575"/>
      <c r="BB21" s="575"/>
      <c r="BC21" s="575"/>
      <c r="BD21" s="575"/>
      <c r="BE21" s="575"/>
      <c r="BF21" s="575"/>
      <c r="BG21" s="575"/>
      <c r="BH21" s="575"/>
      <c r="BI21" s="575"/>
      <c r="BJ21" s="575"/>
      <c r="BK21" s="575"/>
      <c r="BL21" s="575"/>
      <c r="BM21" s="575"/>
      <c r="BN21" s="575"/>
      <c r="BO21" s="575"/>
      <c r="BP21" s="575"/>
      <c r="BQ21" s="575"/>
      <c r="BR21" s="575"/>
      <c r="BS21" s="575"/>
      <c r="BT21" s="575"/>
      <c r="BU21" s="575"/>
      <c r="BV21" s="575"/>
      <c r="BW21" s="575"/>
      <c r="BX21" s="575"/>
      <c r="BY21" s="575"/>
      <c r="BZ21" s="575"/>
      <c r="CA21" s="575"/>
      <c r="CB21" s="575"/>
      <c r="CC21" s="575"/>
      <c r="CD21" s="575"/>
      <c r="CE21" s="575"/>
      <c r="CF21" s="575"/>
      <c r="CG21" s="575"/>
      <c r="CH21" s="575"/>
      <c r="CI21" s="575"/>
      <c r="CJ21" s="575"/>
      <c r="CK21" s="575"/>
      <c r="CL21" s="575"/>
      <c r="CM21" s="575"/>
      <c r="CN21" s="575"/>
      <c r="CO21" s="575"/>
      <c r="CP21" s="575"/>
      <c r="CQ21" s="575"/>
      <c r="CR21" s="575"/>
      <c r="CS21" s="575"/>
      <c r="CT21" s="575"/>
      <c r="CU21" s="575"/>
      <c r="CV21" s="575"/>
      <c r="CW21" s="575"/>
      <c r="CX21" s="575"/>
      <c r="CY21" s="575"/>
      <c r="CZ21" s="575"/>
      <c r="DA21" s="574"/>
      <c r="DB21" s="574"/>
      <c r="DC21" s="574"/>
      <c r="DD21" s="574"/>
      <c r="DE21" s="574"/>
      <c r="DF21" s="574"/>
      <c r="DG21" s="574"/>
      <c r="DH21" s="574"/>
      <c r="DI21" s="574"/>
      <c r="DK21" s="581"/>
      <c r="DL21" s="582" t="s">
        <v>899</v>
      </c>
    </row>
    <row r="22" customFormat="false" ht="18.75" hidden="false" customHeight="true" outlineLevel="0" collapsed="false">
      <c r="B22" s="580"/>
      <c r="C22" s="580"/>
      <c r="D22" s="575"/>
      <c r="E22" s="575"/>
      <c r="F22" s="575"/>
      <c r="G22" s="575"/>
      <c r="H22" s="575"/>
      <c r="I22" s="575"/>
      <c r="J22" s="575"/>
      <c r="K22" s="575"/>
      <c r="L22" s="575"/>
      <c r="M22" s="575"/>
      <c r="N22" s="575"/>
      <c r="O22" s="575"/>
      <c r="P22" s="575"/>
      <c r="Q22" s="575"/>
      <c r="R22" s="575"/>
      <c r="S22" s="575"/>
      <c r="T22" s="575"/>
      <c r="U22" s="575"/>
      <c r="V22" s="575"/>
      <c r="W22" s="575"/>
      <c r="X22" s="575"/>
      <c r="Y22" s="575"/>
      <c r="Z22" s="575"/>
      <c r="AA22" s="575"/>
      <c r="AB22" s="575"/>
      <c r="AC22" s="575"/>
      <c r="AD22" s="575"/>
      <c r="AE22" s="575"/>
      <c r="AF22" s="575"/>
      <c r="AG22" s="575"/>
      <c r="AH22" s="575"/>
      <c r="AI22" s="575"/>
      <c r="AJ22" s="575"/>
      <c r="AK22" s="575"/>
      <c r="AL22" s="575"/>
      <c r="AM22" s="575"/>
      <c r="AN22" s="575"/>
      <c r="AO22" s="575"/>
      <c r="AP22" s="575"/>
      <c r="AQ22" s="575"/>
      <c r="AR22" s="575"/>
      <c r="AS22" s="575"/>
      <c r="AT22" s="575"/>
      <c r="AU22" s="575"/>
      <c r="AV22" s="575"/>
      <c r="AW22" s="575"/>
      <c r="AX22" s="575"/>
      <c r="AY22" s="575"/>
      <c r="AZ22" s="575"/>
      <c r="BA22" s="575"/>
      <c r="BB22" s="575"/>
      <c r="BC22" s="575"/>
      <c r="BD22" s="575"/>
      <c r="BE22" s="575"/>
      <c r="BF22" s="575"/>
      <c r="BG22" s="575"/>
      <c r="BH22" s="575"/>
      <c r="BI22" s="575"/>
      <c r="BJ22" s="575"/>
      <c r="BK22" s="575"/>
      <c r="BL22" s="575"/>
      <c r="BM22" s="575"/>
      <c r="BN22" s="575"/>
      <c r="BO22" s="575"/>
      <c r="BP22" s="575"/>
      <c r="BQ22" s="575"/>
      <c r="BR22" s="575"/>
      <c r="BS22" s="575"/>
      <c r="BT22" s="575"/>
      <c r="BU22" s="575"/>
      <c r="BV22" s="575"/>
      <c r="BW22" s="575"/>
      <c r="BX22" s="575"/>
      <c r="BY22" s="575"/>
      <c r="BZ22" s="575"/>
      <c r="CA22" s="575"/>
      <c r="CB22" s="575"/>
      <c r="CC22" s="575"/>
      <c r="CD22" s="575"/>
      <c r="CE22" s="575"/>
      <c r="CF22" s="575"/>
      <c r="CG22" s="575"/>
      <c r="CH22" s="575"/>
      <c r="CI22" s="575"/>
      <c r="CJ22" s="575"/>
      <c r="CK22" s="575"/>
      <c r="CL22" s="575"/>
      <c r="CM22" s="575"/>
      <c r="CN22" s="575"/>
      <c r="CO22" s="575"/>
      <c r="CP22" s="575"/>
      <c r="CQ22" s="575"/>
      <c r="CR22" s="575"/>
      <c r="CS22" s="575"/>
      <c r="CT22" s="575"/>
      <c r="CU22" s="575"/>
      <c r="CV22" s="575"/>
      <c r="CW22" s="575"/>
      <c r="CX22" s="575"/>
      <c r="CY22" s="575"/>
      <c r="CZ22" s="575"/>
      <c r="DA22" s="575"/>
      <c r="DB22" s="575"/>
      <c r="DC22" s="575"/>
      <c r="DD22" s="575"/>
      <c r="DE22" s="575"/>
      <c r="DF22" s="575"/>
      <c r="DG22" s="575"/>
      <c r="DH22" s="575"/>
      <c r="DI22" s="575"/>
    </row>
    <row r="23" customFormat="false" ht="18.75" hidden="false" customHeight="true" outlineLevel="0" collapsed="false">
      <c r="B23" s="580"/>
      <c r="C23" s="580"/>
      <c r="D23" s="575"/>
      <c r="E23" s="575"/>
      <c r="F23" s="575"/>
      <c r="G23" s="575"/>
      <c r="H23" s="575"/>
      <c r="I23" s="575"/>
      <c r="J23" s="575"/>
      <c r="K23" s="575"/>
      <c r="L23" s="575"/>
      <c r="M23" s="575"/>
      <c r="N23" s="575"/>
      <c r="O23" s="575"/>
      <c r="P23" s="575"/>
      <c r="Q23" s="575"/>
      <c r="R23" s="575"/>
      <c r="S23" s="575"/>
      <c r="T23" s="575"/>
      <c r="U23" s="575"/>
      <c r="V23" s="575"/>
      <c r="W23" s="575"/>
      <c r="X23" s="575"/>
      <c r="Y23" s="575"/>
      <c r="Z23" s="575"/>
      <c r="AA23" s="575"/>
      <c r="AB23" s="575"/>
      <c r="AC23" s="575"/>
      <c r="AD23" s="575"/>
      <c r="AE23" s="575"/>
      <c r="AF23" s="575"/>
      <c r="AG23" s="575"/>
      <c r="AH23" s="575"/>
      <c r="AI23" s="575"/>
      <c r="AJ23" s="575"/>
      <c r="AK23" s="575"/>
      <c r="AL23" s="575"/>
      <c r="AM23" s="575"/>
      <c r="AN23" s="575"/>
      <c r="AO23" s="575"/>
      <c r="AP23" s="575"/>
      <c r="AQ23" s="575"/>
      <c r="AR23" s="575"/>
      <c r="AS23" s="575"/>
      <c r="AT23" s="575"/>
      <c r="AU23" s="575"/>
      <c r="AV23" s="575"/>
      <c r="AW23" s="575"/>
      <c r="AX23" s="575"/>
      <c r="AY23" s="575"/>
      <c r="AZ23" s="575"/>
      <c r="BA23" s="575"/>
      <c r="BB23" s="575"/>
      <c r="BC23" s="575"/>
      <c r="BD23" s="575"/>
      <c r="BE23" s="575"/>
      <c r="BF23" s="575"/>
      <c r="BG23" s="575"/>
      <c r="BH23" s="575"/>
      <c r="BI23" s="575"/>
      <c r="BJ23" s="575"/>
      <c r="BK23" s="575"/>
      <c r="BL23" s="575"/>
      <c r="BM23" s="575"/>
      <c r="BN23" s="575"/>
      <c r="BO23" s="575"/>
      <c r="BP23" s="575"/>
      <c r="BQ23" s="575"/>
      <c r="BR23" s="575"/>
      <c r="BS23" s="575"/>
      <c r="BT23" s="575"/>
      <c r="BU23" s="575"/>
      <c r="BV23" s="575"/>
      <c r="BW23" s="575"/>
      <c r="BX23" s="575"/>
      <c r="BY23" s="575"/>
      <c r="BZ23" s="575"/>
      <c r="CA23" s="575"/>
      <c r="CB23" s="575"/>
      <c r="CC23" s="575"/>
      <c r="CD23" s="575"/>
      <c r="CE23" s="575"/>
      <c r="CF23" s="575"/>
      <c r="CG23" s="575"/>
      <c r="CH23" s="575"/>
      <c r="CI23" s="575"/>
      <c r="CJ23" s="575"/>
      <c r="CK23" s="575"/>
      <c r="CL23" s="575"/>
      <c r="CM23" s="575"/>
      <c r="CN23" s="575"/>
      <c r="CO23" s="575"/>
      <c r="CP23" s="575"/>
      <c r="CQ23" s="575"/>
      <c r="CR23" s="575"/>
      <c r="CS23" s="575"/>
      <c r="CT23" s="575"/>
      <c r="CU23" s="575"/>
      <c r="CV23" s="575"/>
      <c r="CW23" s="575"/>
      <c r="CX23" s="575"/>
      <c r="CY23" s="575"/>
      <c r="CZ23" s="575"/>
      <c r="DA23" s="575"/>
      <c r="DB23" s="575"/>
      <c r="DC23" s="575"/>
      <c r="DD23" s="575"/>
      <c r="DE23" s="575"/>
      <c r="DF23" s="575"/>
      <c r="DG23" s="575"/>
      <c r="DH23" s="575"/>
      <c r="DI23" s="575"/>
    </row>
    <row r="24" customFormat="false" ht="18.75" hidden="false" customHeight="true" outlineLevel="0" collapsed="false">
      <c r="B24" s="580"/>
      <c r="C24" s="580"/>
      <c r="D24" s="575"/>
      <c r="E24" s="575"/>
      <c r="F24" s="575"/>
      <c r="G24" s="575"/>
      <c r="H24" s="575"/>
      <c r="I24" s="575"/>
      <c r="J24" s="575"/>
      <c r="K24" s="575"/>
      <c r="L24" s="575"/>
      <c r="M24" s="575"/>
      <c r="N24" s="575"/>
      <c r="O24" s="575"/>
      <c r="P24" s="575"/>
      <c r="Q24" s="575"/>
      <c r="R24" s="575"/>
      <c r="S24" s="575"/>
      <c r="T24" s="575"/>
      <c r="U24" s="575"/>
      <c r="V24" s="575"/>
      <c r="W24" s="575"/>
      <c r="X24" s="575"/>
      <c r="Y24" s="575"/>
      <c r="Z24" s="575"/>
      <c r="AA24" s="575"/>
      <c r="AB24" s="575"/>
      <c r="AC24" s="575"/>
      <c r="AD24" s="575"/>
      <c r="AE24" s="575"/>
      <c r="AF24" s="575"/>
      <c r="AG24" s="575"/>
      <c r="AH24" s="575"/>
      <c r="AI24" s="575"/>
      <c r="AJ24" s="575"/>
      <c r="AK24" s="575"/>
      <c r="AL24" s="575"/>
      <c r="AM24" s="575"/>
      <c r="AN24" s="575"/>
      <c r="AO24" s="575"/>
      <c r="AP24" s="575"/>
      <c r="AQ24" s="575"/>
      <c r="AR24" s="575"/>
      <c r="AS24" s="575"/>
      <c r="AT24" s="575"/>
      <c r="AU24" s="575"/>
      <c r="AV24" s="575"/>
      <c r="AW24" s="575"/>
      <c r="AX24" s="575"/>
      <c r="AY24" s="575"/>
      <c r="AZ24" s="575"/>
      <c r="BA24" s="575"/>
      <c r="BB24" s="575"/>
      <c r="BC24" s="575"/>
      <c r="BD24" s="575"/>
      <c r="BE24" s="575"/>
      <c r="BF24" s="575"/>
      <c r="BG24" s="575"/>
      <c r="BH24" s="575"/>
      <c r="BI24" s="575"/>
      <c r="BJ24" s="575"/>
      <c r="BK24" s="575"/>
      <c r="BL24" s="575"/>
      <c r="BM24" s="575"/>
      <c r="BN24" s="575"/>
      <c r="BO24" s="575"/>
      <c r="BP24" s="575"/>
      <c r="BQ24" s="575"/>
      <c r="BR24" s="575"/>
      <c r="BS24" s="575"/>
      <c r="BT24" s="575"/>
      <c r="BU24" s="575"/>
      <c r="BV24" s="575"/>
      <c r="BW24" s="575"/>
      <c r="BX24" s="575"/>
      <c r="BY24" s="575"/>
      <c r="BZ24" s="575"/>
      <c r="CA24" s="575"/>
      <c r="CB24" s="575"/>
      <c r="CC24" s="575"/>
      <c r="CD24" s="575"/>
      <c r="CE24" s="575"/>
      <c r="CF24" s="575"/>
      <c r="CG24" s="575"/>
      <c r="CH24" s="575"/>
      <c r="CI24" s="575"/>
      <c r="CJ24" s="575"/>
      <c r="CK24" s="575"/>
      <c r="CL24" s="575"/>
      <c r="CM24" s="575"/>
      <c r="CN24" s="575"/>
      <c r="CO24" s="575"/>
      <c r="CP24" s="575"/>
      <c r="CQ24" s="575"/>
      <c r="CR24" s="575"/>
      <c r="CS24" s="575"/>
      <c r="CT24" s="575"/>
      <c r="CU24" s="575"/>
      <c r="CV24" s="575"/>
      <c r="CW24" s="575"/>
      <c r="CX24" s="575"/>
      <c r="CY24" s="575"/>
      <c r="CZ24" s="575"/>
      <c r="DA24" s="575"/>
      <c r="DB24" s="575"/>
      <c r="DC24" s="575"/>
      <c r="DD24" s="575"/>
      <c r="DE24" s="575"/>
      <c r="DF24" s="575"/>
      <c r="DG24" s="575"/>
      <c r="DH24" s="575"/>
      <c r="DI24" s="575"/>
    </row>
    <row r="25" customFormat="false" ht="18.75" hidden="false" customHeight="true" outlineLevel="0" collapsed="false">
      <c r="B25" s="580"/>
      <c r="C25" s="580"/>
      <c r="D25" s="575"/>
      <c r="E25" s="575"/>
      <c r="F25" s="575"/>
      <c r="G25" s="575"/>
      <c r="H25" s="575"/>
      <c r="I25" s="575"/>
      <c r="J25" s="575"/>
      <c r="K25" s="575"/>
      <c r="L25" s="575"/>
      <c r="M25" s="575"/>
      <c r="N25" s="575"/>
      <c r="O25" s="575"/>
      <c r="P25" s="575"/>
      <c r="Q25" s="575"/>
      <c r="R25" s="575"/>
      <c r="S25" s="575"/>
      <c r="T25" s="575"/>
      <c r="U25" s="575"/>
      <c r="V25" s="575"/>
      <c r="W25" s="575"/>
      <c r="X25" s="575"/>
      <c r="Y25" s="575"/>
      <c r="Z25" s="575"/>
      <c r="AA25" s="575"/>
      <c r="AB25" s="575"/>
      <c r="AC25" s="575"/>
      <c r="AD25" s="575"/>
      <c r="AE25" s="575"/>
      <c r="AF25" s="575"/>
      <c r="AG25" s="575"/>
      <c r="AH25" s="575"/>
      <c r="AI25" s="575"/>
      <c r="AJ25" s="575"/>
      <c r="AK25" s="575"/>
      <c r="AL25" s="575"/>
      <c r="AM25" s="575"/>
      <c r="AN25" s="575"/>
      <c r="AO25" s="575"/>
      <c r="AP25" s="575"/>
      <c r="AQ25" s="575"/>
      <c r="AR25" s="575"/>
      <c r="AS25" s="575"/>
      <c r="AT25" s="575"/>
      <c r="AU25" s="575"/>
      <c r="AV25" s="575"/>
      <c r="AW25" s="575"/>
      <c r="AX25" s="575"/>
      <c r="AY25" s="575"/>
      <c r="AZ25" s="575"/>
      <c r="BA25" s="575"/>
      <c r="BB25" s="575"/>
      <c r="BC25" s="575"/>
      <c r="BD25" s="575"/>
      <c r="BE25" s="575"/>
      <c r="BF25" s="575"/>
      <c r="BG25" s="575"/>
      <c r="BH25" s="575"/>
      <c r="BI25" s="575"/>
      <c r="BJ25" s="575"/>
      <c r="BK25" s="575"/>
      <c r="BL25" s="575"/>
      <c r="BM25" s="575"/>
      <c r="BN25" s="575"/>
      <c r="BO25" s="575"/>
      <c r="BP25" s="575"/>
      <c r="BQ25" s="575"/>
      <c r="BR25" s="575"/>
      <c r="BS25" s="575"/>
      <c r="BT25" s="575"/>
      <c r="BU25" s="575"/>
      <c r="BV25" s="575"/>
      <c r="BW25" s="575"/>
      <c r="BX25" s="575"/>
      <c r="BY25" s="575"/>
      <c r="BZ25" s="575"/>
      <c r="CA25" s="575"/>
      <c r="CB25" s="575"/>
      <c r="CC25" s="575"/>
      <c r="CD25" s="575"/>
      <c r="CE25" s="575"/>
      <c r="CF25" s="575"/>
      <c r="CG25" s="575"/>
      <c r="CH25" s="575"/>
      <c r="CI25" s="575"/>
      <c r="CJ25" s="575"/>
      <c r="CK25" s="575"/>
      <c r="CL25" s="575"/>
      <c r="CM25" s="575"/>
      <c r="CN25" s="575"/>
      <c r="CO25" s="575"/>
      <c r="CP25" s="575"/>
      <c r="CQ25" s="575"/>
      <c r="CR25" s="575"/>
      <c r="CS25" s="575"/>
      <c r="CT25" s="575"/>
      <c r="CU25" s="575"/>
      <c r="CV25" s="575"/>
      <c r="CW25" s="575"/>
      <c r="CX25" s="575"/>
      <c r="CY25" s="575"/>
      <c r="CZ25" s="575"/>
      <c r="DA25" s="575"/>
      <c r="DB25" s="575"/>
      <c r="DC25" s="575"/>
      <c r="DD25" s="575"/>
      <c r="DE25" s="575"/>
      <c r="DF25" s="575"/>
      <c r="DG25" s="575"/>
      <c r="DH25" s="575"/>
      <c r="DI25" s="575"/>
    </row>
    <row r="28" customFormat="false" ht="18.75" hidden="false" customHeight="true" outlineLevel="0" collapsed="false">
      <c r="C28" s="583"/>
    </row>
    <row r="29" customFormat="false" ht="18.75" hidden="false" customHeight="true" outlineLevel="0" collapsed="false">
      <c r="C29" s="584"/>
    </row>
  </sheetData>
  <mergeCells count="9">
    <mergeCell ref="B3:C4"/>
    <mergeCell ref="D3:T3"/>
    <mergeCell ref="U3:AY3"/>
    <mergeCell ref="AZ3:CD3"/>
    <mergeCell ref="CE3:DI3"/>
    <mergeCell ref="B5:B8"/>
    <mergeCell ref="B9:B13"/>
    <mergeCell ref="B14:B18"/>
    <mergeCell ref="B19:B2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215" activePane="bottomLeft" state="frozen"/>
      <selection pane="topLeft" activeCell="A1" activeCellId="0" sqref="A1"/>
      <selection pane="bottomLeft" activeCell="E354" activeCellId="0" sqref="E354"/>
    </sheetView>
  </sheetViews>
  <sheetFormatPr defaultColWidth="8.87890625" defaultRowHeight="18.75" zeroHeight="false" outlineLevelRow="0" outlineLevelCol="0"/>
  <cols>
    <col collapsed="false" customWidth="true" hidden="false" outlineLevel="0" max="1" min="1" style="2" width="8.38"/>
    <col collapsed="false" customWidth="true" hidden="false" outlineLevel="0" max="2" min="2" style="585" width="10.13"/>
    <col collapsed="false" customWidth="true" hidden="false" outlineLevel="0" max="3" min="3" style="586" width="7.38"/>
    <col collapsed="false" customWidth="true" hidden="false" outlineLevel="0" max="6" min="4" style="2" width="30.63"/>
    <col collapsed="false" customWidth="false" hidden="false" outlineLevel="0" max="16384" min="7" style="2" width="8.88"/>
  </cols>
  <sheetData>
    <row r="1" customFormat="false" ht="9" hidden="false" customHeight="true" outlineLevel="0" collapsed="false">
      <c r="C1" s="587"/>
      <c r="D1" s="587"/>
      <c r="E1" s="587"/>
      <c r="F1" s="587"/>
    </row>
    <row r="2" customFormat="false" ht="18" hidden="false" customHeight="true" outlineLevel="0" collapsed="false">
      <c r="A2" s="587"/>
      <c r="B2" s="588" t="s">
        <v>900</v>
      </c>
      <c r="C2" s="587"/>
      <c r="D2" s="587"/>
      <c r="E2" s="587"/>
      <c r="F2" s="587"/>
    </row>
    <row r="3" customFormat="false" ht="23.25" hidden="false" customHeight="true" outlineLevel="0" collapsed="false">
      <c r="B3" s="589"/>
      <c r="C3" s="589"/>
      <c r="D3" s="590"/>
      <c r="E3" s="590"/>
      <c r="F3" s="590"/>
    </row>
    <row r="4" customFormat="false" ht="18.75" hidden="false" customHeight="true" outlineLevel="0" collapsed="false">
      <c r="A4" s="591" t="s">
        <v>901</v>
      </c>
      <c r="B4" s="592"/>
      <c r="C4" s="592"/>
      <c r="D4" s="593"/>
      <c r="E4" s="593"/>
      <c r="F4" s="593"/>
    </row>
    <row r="5" customFormat="false" ht="18.75" hidden="false" customHeight="true" outlineLevel="0" collapsed="false">
      <c r="B5" s="578"/>
      <c r="C5" s="578"/>
      <c r="D5" s="594"/>
      <c r="E5" s="595"/>
      <c r="F5" s="594"/>
    </row>
    <row r="6" customFormat="false" ht="18.75" hidden="false" customHeight="true" outlineLevel="0" collapsed="false">
      <c r="B6" s="578"/>
      <c r="C6" s="578"/>
      <c r="D6" s="594"/>
      <c r="E6" s="595"/>
      <c r="F6" s="596"/>
    </row>
    <row r="7" customFormat="false" ht="18" hidden="false" customHeight="true" outlineLevel="0" collapsed="false">
      <c r="B7" s="597"/>
      <c r="C7" s="597"/>
      <c r="D7" s="594"/>
      <c r="E7" s="594"/>
      <c r="F7" s="594"/>
    </row>
    <row r="8" customFormat="false" ht="18.75" hidden="false" customHeight="true" outlineLevel="0" collapsed="false">
      <c r="B8" s="598"/>
      <c r="C8" s="598"/>
      <c r="D8" s="594"/>
      <c r="E8" s="594"/>
      <c r="F8" s="594"/>
    </row>
    <row r="9" customFormat="false" ht="18.75" hidden="false" customHeight="true" outlineLevel="0" collapsed="false">
      <c r="B9" s="578"/>
      <c r="C9" s="578"/>
      <c r="D9" s="594"/>
      <c r="E9" s="594"/>
      <c r="F9" s="594"/>
    </row>
    <row r="10" customFormat="false" ht="18.75" hidden="false" customHeight="true" outlineLevel="0" collapsed="false">
      <c r="B10" s="578"/>
      <c r="C10" s="578"/>
      <c r="D10" s="594"/>
      <c r="E10" s="594"/>
      <c r="F10" s="594"/>
    </row>
    <row r="11" customFormat="false" ht="18.75" hidden="false" customHeight="true" outlineLevel="0" collapsed="false">
      <c r="B11" s="578"/>
      <c r="C11" s="578"/>
      <c r="D11" s="596"/>
      <c r="E11" s="596"/>
      <c r="F11" s="596"/>
    </row>
    <row r="12" customFormat="false" ht="18.75" hidden="false" customHeight="true" outlineLevel="0" collapsed="false">
      <c r="B12" s="578"/>
      <c r="C12" s="578"/>
      <c r="D12" s="594"/>
      <c r="E12" s="594"/>
      <c r="F12" s="594"/>
    </row>
    <row r="13" customFormat="false" ht="18.75" hidden="false" customHeight="true" outlineLevel="0" collapsed="false">
      <c r="B13" s="578"/>
      <c r="C13" s="578"/>
      <c r="D13" s="594"/>
      <c r="E13" s="594"/>
      <c r="F13" s="594"/>
    </row>
    <row r="14" customFormat="false" ht="18" hidden="false" customHeight="true" outlineLevel="0" collapsed="false">
      <c r="B14" s="597"/>
      <c r="C14" s="597"/>
      <c r="D14" s="594"/>
      <c r="E14" s="594"/>
      <c r="F14" s="594"/>
    </row>
    <row r="15" customFormat="false" ht="18.75" hidden="false" customHeight="true" outlineLevel="0" collapsed="false">
      <c r="B15" s="598"/>
      <c r="C15" s="598"/>
      <c r="D15" s="594"/>
      <c r="E15" s="594"/>
      <c r="F15" s="594"/>
    </row>
    <row r="16" customFormat="false" ht="18.75" hidden="false" customHeight="true" outlineLevel="0" collapsed="false">
      <c r="B16" s="599"/>
      <c r="C16" s="599"/>
      <c r="D16" s="594"/>
      <c r="E16" s="594"/>
      <c r="F16" s="594"/>
    </row>
    <row r="17" customFormat="false" ht="18.75" hidden="false" customHeight="true" outlineLevel="0" collapsed="false">
      <c r="B17" s="578"/>
      <c r="C17" s="578"/>
      <c r="D17" s="594"/>
      <c r="E17" s="595"/>
      <c r="F17" s="594"/>
    </row>
    <row r="18" customFormat="false" ht="18.75" hidden="false" customHeight="true" outlineLevel="0" collapsed="false">
      <c r="B18" s="578"/>
      <c r="C18" s="578"/>
      <c r="D18" s="594"/>
      <c r="E18" s="595"/>
      <c r="F18" s="594"/>
    </row>
    <row r="19" customFormat="false" ht="18.75" hidden="false" customHeight="true" outlineLevel="0" collapsed="false">
      <c r="B19" s="578"/>
      <c r="C19" s="578"/>
      <c r="D19" s="594"/>
      <c r="E19" s="594"/>
      <c r="F19" s="594"/>
    </row>
    <row r="20" customFormat="false" ht="18.75" hidden="false" customHeight="true" outlineLevel="0" collapsed="false">
      <c r="B20" s="578"/>
      <c r="C20" s="578"/>
      <c r="D20" s="595"/>
      <c r="E20" s="600"/>
      <c r="F20" s="595"/>
    </row>
    <row r="21" customFormat="false" ht="18" hidden="false" customHeight="true" outlineLevel="0" collapsed="false">
      <c r="B21" s="597"/>
      <c r="C21" s="597"/>
      <c r="D21" s="594"/>
      <c r="E21" s="594"/>
      <c r="F21" s="594"/>
    </row>
    <row r="22" customFormat="false" ht="18.75" hidden="false" customHeight="true" outlineLevel="0" collapsed="false">
      <c r="B22" s="598"/>
      <c r="C22" s="598"/>
      <c r="D22" s="594"/>
      <c r="E22" s="594"/>
      <c r="F22" s="594"/>
    </row>
    <row r="23" customFormat="false" ht="18.75" hidden="false" customHeight="true" outlineLevel="0" collapsed="false">
      <c r="B23" s="578"/>
      <c r="C23" s="578"/>
      <c r="D23" s="594"/>
      <c r="E23" s="594"/>
      <c r="F23" s="594"/>
    </row>
    <row r="24" customFormat="false" ht="18.75" hidden="false" customHeight="true" outlineLevel="0" collapsed="false">
      <c r="B24" s="578"/>
      <c r="C24" s="578"/>
      <c r="D24" s="594"/>
      <c r="E24" s="594"/>
      <c r="F24" s="594"/>
    </row>
    <row r="25" customFormat="false" ht="18.75" hidden="false" customHeight="true" outlineLevel="0" collapsed="false">
      <c r="B25" s="578"/>
      <c r="C25" s="578"/>
      <c r="D25" s="594"/>
      <c r="E25" s="595"/>
      <c r="F25" s="594"/>
    </row>
    <row r="26" customFormat="false" ht="18" hidden="false" customHeight="true" outlineLevel="0" collapsed="false">
      <c r="B26" s="578"/>
      <c r="C26" s="578"/>
      <c r="D26" s="594"/>
      <c r="E26" s="594"/>
      <c r="F26" s="594"/>
    </row>
    <row r="27" customFormat="false" ht="18.75" hidden="false" customHeight="true" outlineLevel="0" collapsed="false">
      <c r="B27" s="578"/>
      <c r="C27" s="578"/>
      <c r="D27" s="594"/>
      <c r="E27" s="594"/>
      <c r="F27" s="594"/>
    </row>
    <row r="28" customFormat="false" ht="18.75" hidden="false" customHeight="true" outlineLevel="0" collapsed="false">
      <c r="B28" s="597"/>
      <c r="C28" s="597"/>
      <c r="D28" s="594"/>
      <c r="E28" s="594"/>
      <c r="F28" s="594"/>
    </row>
    <row r="29" customFormat="false" ht="18.75" hidden="false" customHeight="true" outlineLevel="0" collapsed="false">
      <c r="B29" s="598"/>
      <c r="C29" s="598"/>
      <c r="D29" s="594"/>
      <c r="E29" s="594"/>
      <c r="F29" s="594"/>
    </row>
    <row r="30" customFormat="false" ht="18.75" hidden="false" customHeight="true" outlineLevel="0" collapsed="false">
      <c r="B30" s="578"/>
      <c r="C30" s="578"/>
      <c r="D30" s="594"/>
      <c r="E30" s="595"/>
      <c r="F30" s="595"/>
    </row>
    <row r="31" customFormat="false" ht="18.75" hidden="false" customHeight="true" outlineLevel="0" collapsed="false">
      <c r="B31" s="578"/>
      <c r="C31" s="578"/>
      <c r="D31" s="595"/>
      <c r="E31" s="595"/>
      <c r="F31" s="595"/>
    </row>
    <row r="32" customFormat="false" ht="18.75" hidden="false" customHeight="true" outlineLevel="0" collapsed="false">
      <c r="B32" s="578"/>
      <c r="C32" s="578"/>
      <c r="D32" s="595"/>
      <c r="E32" s="595"/>
      <c r="F32" s="595"/>
    </row>
    <row r="33" customFormat="false" ht="18.75" hidden="false" customHeight="true" outlineLevel="0" collapsed="false">
      <c r="B33" s="578"/>
      <c r="C33" s="578"/>
      <c r="D33" s="595"/>
      <c r="E33" s="595"/>
      <c r="F33" s="595"/>
    </row>
    <row r="34" customFormat="false" ht="18.75" hidden="false" customHeight="true" outlineLevel="0" collapsed="false">
      <c r="B34" s="578"/>
      <c r="C34" s="578"/>
      <c r="D34" s="595"/>
      <c r="E34" s="595"/>
      <c r="F34" s="595"/>
    </row>
    <row r="35" customFormat="false" ht="18.75" hidden="false" customHeight="true" outlineLevel="0" collapsed="false">
      <c r="B35" s="597"/>
      <c r="C35" s="597"/>
      <c r="D35" s="594"/>
      <c r="E35" s="594"/>
      <c r="F35" s="594"/>
    </row>
    <row r="36" customFormat="false" ht="18.75" hidden="false" customHeight="true" outlineLevel="0" collapsed="false">
      <c r="B36" s="598"/>
      <c r="C36" s="598"/>
      <c r="D36" s="594"/>
      <c r="E36" s="594"/>
      <c r="F36" s="594"/>
    </row>
    <row r="37" customFormat="false" ht="18.75" hidden="false" customHeight="true" outlineLevel="0" collapsed="false">
      <c r="B37" s="599"/>
      <c r="C37" s="599"/>
      <c r="D37" s="594"/>
      <c r="E37" s="594"/>
      <c r="F37" s="594"/>
    </row>
    <row r="38" customFormat="false" ht="18.75" hidden="false" customHeight="true" outlineLevel="0" collapsed="false">
      <c r="B38" s="578"/>
      <c r="C38" s="578"/>
      <c r="D38" s="595"/>
      <c r="E38" s="595"/>
      <c r="F38" s="595"/>
    </row>
    <row r="39" customFormat="false" ht="18.75" hidden="false" customHeight="true" outlineLevel="0" collapsed="false">
      <c r="B39" s="578"/>
      <c r="C39" s="578"/>
      <c r="D39" s="595"/>
      <c r="E39" s="595"/>
      <c r="F39" s="595"/>
    </row>
    <row r="40" customFormat="false" ht="18.75" hidden="false" customHeight="true" outlineLevel="0" collapsed="false">
      <c r="B40" s="578"/>
      <c r="C40" s="578"/>
      <c r="D40" s="595"/>
      <c r="E40" s="595"/>
      <c r="F40" s="595"/>
    </row>
    <row r="41" customFormat="false" ht="18.75" hidden="false" customHeight="true" outlineLevel="0" collapsed="false">
      <c r="B41" s="578"/>
      <c r="C41" s="578"/>
      <c r="D41" s="595"/>
      <c r="E41" s="595"/>
      <c r="F41" s="595"/>
    </row>
    <row r="42" customFormat="false" ht="18" hidden="false" customHeight="true" outlineLevel="0" collapsed="false">
      <c r="B42" s="597"/>
      <c r="C42" s="597"/>
      <c r="D42" s="594"/>
      <c r="E42" s="594"/>
      <c r="F42" s="594"/>
    </row>
    <row r="43" customFormat="false" ht="18.75" hidden="false" customHeight="true" outlineLevel="0" collapsed="false">
      <c r="B43" s="598"/>
      <c r="C43" s="598"/>
      <c r="D43" s="594"/>
      <c r="E43" s="594"/>
      <c r="F43" s="594"/>
    </row>
    <row r="44" customFormat="false" ht="18.75" hidden="false" customHeight="true" outlineLevel="0" collapsed="false">
      <c r="B44" s="578"/>
      <c r="C44" s="578"/>
      <c r="D44" s="595"/>
      <c r="E44" s="595"/>
      <c r="F44" s="595"/>
    </row>
    <row r="45" customFormat="false" ht="18.75" hidden="false" customHeight="true" outlineLevel="0" collapsed="false">
      <c r="B45" s="578"/>
      <c r="C45" s="578"/>
      <c r="D45" s="595"/>
      <c r="E45" s="595"/>
      <c r="F45" s="595"/>
    </row>
    <row r="46" customFormat="false" ht="18.75" hidden="false" customHeight="true" outlineLevel="0" collapsed="false">
      <c r="B46" s="578"/>
      <c r="C46" s="578"/>
      <c r="D46" s="595"/>
      <c r="E46" s="595"/>
      <c r="F46" s="595"/>
    </row>
    <row r="47" customFormat="false" ht="18.75" hidden="false" customHeight="true" outlineLevel="0" collapsed="false">
      <c r="B47" s="578"/>
      <c r="C47" s="578"/>
      <c r="D47" s="594"/>
      <c r="E47" s="594"/>
      <c r="F47" s="594"/>
    </row>
    <row r="48" customFormat="false" ht="18.75" hidden="false" customHeight="true" outlineLevel="0" collapsed="false">
      <c r="B48" s="578"/>
      <c r="C48" s="578"/>
      <c r="D48" s="594"/>
      <c r="E48" s="594"/>
      <c r="F48" s="594"/>
    </row>
    <row r="49" customFormat="false" ht="18.75" hidden="false" customHeight="true" outlineLevel="0" collapsed="false">
      <c r="B49" s="597"/>
      <c r="C49" s="597"/>
      <c r="D49" s="594"/>
      <c r="E49" s="594"/>
      <c r="F49" s="594"/>
    </row>
    <row r="50" customFormat="false" ht="18.75" hidden="false" customHeight="true" outlineLevel="0" collapsed="false">
      <c r="B50" s="598"/>
      <c r="C50" s="598"/>
      <c r="D50" s="594"/>
      <c r="E50" s="594"/>
      <c r="F50" s="594"/>
    </row>
    <row r="51" customFormat="false" ht="18.75" hidden="false" customHeight="true" outlineLevel="0" collapsed="false">
      <c r="B51" s="578"/>
      <c r="C51" s="578"/>
      <c r="D51" s="594"/>
      <c r="E51" s="595"/>
      <c r="F51" s="595"/>
    </row>
    <row r="52" customFormat="false" ht="18.75" hidden="false" customHeight="true" outlineLevel="0" collapsed="false">
      <c r="B52" s="578"/>
      <c r="C52" s="578"/>
      <c r="D52" s="594"/>
      <c r="E52" s="594"/>
      <c r="F52" s="594"/>
    </row>
    <row r="53" customFormat="false" ht="18.75" hidden="false" customHeight="true" outlineLevel="0" collapsed="false">
      <c r="B53" s="578"/>
      <c r="C53" s="578"/>
      <c r="D53" s="594"/>
      <c r="E53" s="594"/>
      <c r="F53" s="594"/>
    </row>
    <row r="54" customFormat="false" ht="18.75" hidden="false" customHeight="true" outlineLevel="0" collapsed="false">
      <c r="B54" s="578"/>
      <c r="C54" s="578"/>
      <c r="D54" s="594"/>
      <c r="E54" s="594"/>
      <c r="F54" s="594"/>
    </row>
    <row r="55" customFormat="false" ht="18.75" hidden="false" customHeight="true" outlineLevel="0" collapsed="false">
      <c r="B55" s="578"/>
      <c r="C55" s="578"/>
      <c r="D55" s="594"/>
      <c r="E55" s="595"/>
      <c r="F55" s="594"/>
    </row>
    <row r="56" customFormat="false" ht="18.75" hidden="false" customHeight="true" outlineLevel="0" collapsed="false">
      <c r="B56" s="597"/>
      <c r="C56" s="597"/>
      <c r="D56" s="594"/>
      <c r="E56" s="594"/>
      <c r="F56" s="594"/>
    </row>
    <row r="57" customFormat="false" ht="18.75" hidden="false" customHeight="true" outlineLevel="0" collapsed="false">
      <c r="B57" s="599"/>
      <c r="C57" s="599"/>
      <c r="D57" s="594"/>
      <c r="E57" s="594"/>
      <c r="F57" s="594"/>
    </row>
    <row r="58" customFormat="false" ht="18.75" hidden="false" customHeight="true" outlineLevel="0" collapsed="false">
      <c r="B58" s="599"/>
      <c r="C58" s="599"/>
      <c r="D58" s="594"/>
      <c r="E58" s="594"/>
      <c r="F58" s="594"/>
    </row>
    <row r="59" customFormat="false" ht="18.75" hidden="false" customHeight="true" outlineLevel="0" collapsed="false">
      <c r="B59" s="578"/>
      <c r="C59" s="578"/>
      <c r="D59" s="594"/>
      <c r="E59" s="595"/>
      <c r="F59" s="594"/>
    </row>
    <row r="60" customFormat="false" ht="18.75" hidden="false" customHeight="true" outlineLevel="0" collapsed="false">
      <c r="B60" s="578"/>
      <c r="C60" s="578"/>
      <c r="D60" s="595"/>
      <c r="E60" s="595"/>
      <c r="F60" s="595"/>
    </row>
    <row r="61" customFormat="false" ht="18.75" hidden="false" customHeight="true" outlineLevel="0" collapsed="false">
      <c r="B61" s="578"/>
      <c r="C61" s="578"/>
      <c r="D61" s="595"/>
      <c r="E61" s="595"/>
      <c r="F61" s="595"/>
    </row>
    <row r="62" customFormat="false" ht="18.75" hidden="false" customHeight="true" outlineLevel="0" collapsed="false">
      <c r="B62" s="578"/>
      <c r="C62" s="578"/>
      <c r="D62" s="595"/>
      <c r="E62" s="595"/>
      <c r="F62" s="595"/>
    </row>
    <row r="63" customFormat="false" ht="18.75" hidden="false" customHeight="true" outlineLevel="0" collapsed="false">
      <c r="B63" s="597"/>
      <c r="C63" s="597"/>
      <c r="D63" s="594"/>
      <c r="E63" s="594"/>
      <c r="F63" s="594"/>
    </row>
    <row r="64" customFormat="false" ht="18.75" hidden="false" customHeight="true" outlineLevel="0" collapsed="false">
      <c r="B64" s="598"/>
      <c r="C64" s="598"/>
      <c r="D64" s="594"/>
      <c r="E64" s="594"/>
      <c r="F64" s="594"/>
    </row>
    <row r="65" customFormat="false" ht="18.75" hidden="false" customHeight="true" outlineLevel="0" collapsed="false">
      <c r="B65" s="578"/>
      <c r="C65" s="578"/>
      <c r="D65" s="595"/>
      <c r="E65" s="595"/>
      <c r="F65" s="595"/>
    </row>
    <row r="66" customFormat="false" ht="18.75" hidden="false" customHeight="true" outlineLevel="0" collapsed="false">
      <c r="B66" s="578"/>
      <c r="C66" s="578"/>
      <c r="D66" s="595"/>
      <c r="E66" s="595"/>
      <c r="F66" s="595"/>
    </row>
    <row r="67" customFormat="false" ht="18.75" hidden="false" customHeight="true" outlineLevel="0" collapsed="false">
      <c r="B67" s="578"/>
      <c r="C67" s="578"/>
      <c r="D67" s="595"/>
      <c r="E67" s="595"/>
      <c r="F67" s="595"/>
    </row>
    <row r="68" customFormat="false" ht="18.75" hidden="false" customHeight="true" outlineLevel="0" collapsed="false">
      <c r="B68" s="578"/>
      <c r="C68" s="578"/>
      <c r="D68" s="595"/>
      <c r="E68" s="595"/>
      <c r="F68" s="595"/>
    </row>
    <row r="69" customFormat="false" ht="18.75" hidden="false" customHeight="true" outlineLevel="0" collapsed="false">
      <c r="B69" s="578"/>
      <c r="C69" s="578"/>
      <c r="D69" s="595"/>
      <c r="E69" s="595"/>
      <c r="F69" s="595"/>
    </row>
    <row r="70" customFormat="false" ht="18.75" hidden="false" customHeight="true" outlineLevel="0" collapsed="false">
      <c r="B70" s="597"/>
      <c r="C70" s="597"/>
      <c r="D70" s="594"/>
      <c r="E70" s="594"/>
      <c r="F70" s="594"/>
    </row>
    <row r="71" customFormat="false" ht="18.75" hidden="false" customHeight="true" outlineLevel="0" collapsed="false">
      <c r="B71" s="598"/>
      <c r="C71" s="598"/>
      <c r="D71" s="594"/>
      <c r="E71" s="594"/>
      <c r="F71" s="594"/>
    </row>
    <row r="72" customFormat="false" ht="18.75" hidden="false" customHeight="true" outlineLevel="0" collapsed="false">
      <c r="B72" s="578"/>
      <c r="C72" s="578"/>
      <c r="D72" s="595"/>
      <c r="E72" s="595"/>
      <c r="F72" s="595"/>
    </row>
    <row r="73" customFormat="false" ht="18.75" hidden="false" customHeight="true" outlineLevel="0" collapsed="false">
      <c r="B73" s="578"/>
      <c r="C73" s="578"/>
      <c r="D73" s="595"/>
      <c r="E73" s="595"/>
      <c r="F73" s="595"/>
    </row>
    <row r="74" customFormat="false" ht="18.75" hidden="false" customHeight="true" outlineLevel="0" collapsed="false">
      <c r="B74" s="578"/>
      <c r="C74" s="578"/>
      <c r="D74" s="595"/>
      <c r="E74" s="595"/>
      <c r="F74" s="595"/>
    </row>
    <row r="75" customFormat="false" ht="18.75" hidden="false" customHeight="true" outlineLevel="0" collapsed="false">
      <c r="B75" s="578"/>
      <c r="C75" s="578"/>
      <c r="D75" s="594"/>
      <c r="E75" s="594"/>
      <c r="F75" s="594"/>
    </row>
    <row r="76" customFormat="false" ht="18.75" hidden="false" customHeight="true" outlineLevel="0" collapsed="false">
      <c r="B76" s="578"/>
      <c r="C76" s="578"/>
      <c r="D76" s="600"/>
      <c r="E76" s="600"/>
      <c r="F76" s="600"/>
    </row>
    <row r="77" customFormat="false" ht="18.75" hidden="false" customHeight="true" outlineLevel="0" collapsed="false">
      <c r="B77" s="597"/>
      <c r="C77" s="597"/>
      <c r="D77" s="594"/>
      <c r="E77" s="594"/>
      <c r="F77" s="594"/>
    </row>
    <row r="78" customFormat="false" ht="18.75" hidden="false" customHeight="true" outlineLevel="0" collapsed="false">
      <c r="B78" s="598"/>
      <c r="C78" s="598"/>
      <c r="D78" s="594"/>
      <c r="E78" s="594"/>
      <c r="F78" s="594"/>
    </row>
    <row r="79" customFormat="false" ht="18.75" hidden="false" customHeight="true" outlineLevel="0" collapsed="false">
      <c r="B79" s="578"/>
      <c r="C79" s="578"/>
      <c r="D79" s="595"/>
      <c r="E79" s="594"/>
      <c r="F79" s="595"/>
    </row>
    <row r="80" customFormat="false" ht="18.75" hidden="false" customHeight="true" outlineLevel="0" collapsed="false">
      <c r="B80" s="578"/>
      <c r="C80" s="578"/>
      <c r="D80" s="595"/>
      <c r="E80" s="594"/>
      <c r="F80" s="595"/>
    </row>
    <row r="81" customFormat="false" ht="18.75" hidden="false" customHeight="true" outlineLevel="0" collapsed="false">
      <c r="B81" s="578"/>
      <c r="C81" s="578"/>
      <c r="D81" s="595"/>
      <c r="E81" s="594"/>
      <c r="F81" s="595"/>
    </row>
    <row r="82" customFormat="false" ht="18.75" hidden="false" customHeight="true" outlineLevel="0" collapsed="false">
      <c r="B82" s="578"/>
      <c r="C82" s="578"/>
      <c r="D82" s="595"/>
      <c r="E82" s="594"/>
      <c r="F82" s="595"/>
    </row>
    <row r="83" customFormat="false" ht="18.75" hidden="false" customHeight="true" outlineLevel="0" collapsed="false">
      <c r="B83" s="578"/>
      <c r="C83" s="578"/>
      <c r="D83" s="600"/>
      <c r="E83" s="600"/>
      <c r="F83" s="600"/>
    </row>
    <row r="84" customFormat="false" ht="18.75" hidden="false" customHeight="true" outlineLevel="0" collapsed="false">
      <c r="B84" s="597"/>
      <c r="C84" s="597"/>
      <c r="D84" s="594"/>
      <c r="E84" s="594"/>
      <c r="F84" s="594"/>
    </row>
    <row r="85" customFormat="false" ht="18.75" hidden="false" customHeight="true" outlineLevel="0" collapsed="false">
      <c r="B85" s="598"/>
      <c r="C85" s="598"/>
      <c r="D85" s="594"/>
      <c r="E85" s="594"/>
      <c r="F85" s="594"/>
    </row>
    <row r="86" customFormat="false" ht="18.75" hidden="false" customHeight="true" outlineLevel="0" collapsed="false">
      <c r="B86" s="578"/>
      <c r="C86" s="578"/>
      <c r="D86" s="595"/>
      <c r="E86" s="595"/>
      <c r="F86" s="594"/>
    </row>
    <row r="87" customFormat="false" ht="18.75" hidden="false" customHeight="true" outlineLevel="0" collapsed="false">
      <c r="B87" s="578"/>
      <c r="C87" s="578"/>
      <c r="D87" s="594"/>
      <c r="E87" s="594"/>
      <c r="F87" s="594"/>
    </row>
    <row r="88" customFormat="false" ht="18.75" hidden="false" customHeight="true" outlineLevel="0" collapsed="false">
      <c r="B88" s="578"/>
      <c r="C88" s="578"/>
      <c r="D88" s="594"/>
      <c r="E88" s="594"/>
      <c r="F88" s="594"/>
    </row>
    <row r="89" customFormat="false" ht="18.75" hidden="false" customHeight="true" outlineLevel="0" collapsed="false">
      <c r="B89" s="578"/>
      <c r="C89" s="578"/>
      <c r="D89" s="594"/>
      <c r="E89" s="594"/>
      <c r="F89" s="594"/>
    </row>
    <row r="90" customFormat="false" ht="18.75" hidden="false" customHeight="true" outlineLevel="0" collapsed="false">
      <c r="B90" s="578"/>
      <c r="C90" s="578"/>
      <c r="D90" s="594"/>
      <c r="E90" s="594"/>
      <c r="F90" s="594"/>
    </row>
    <row r="91" customFormat="false" ht="18.75" hidden="false" customHeight="true" outlineLevel="0" collapsed="false">
      <c r="B91" s="597"/>
      <c r="C91" s="597"/>
      <c r="D91" s="594"/>
      <c r="E91" s="594"/>
      <c r="F91" s="594"/>
    </row>
    <row r="92" customFormat="false" ht="18.75" hidden="false" customHeight="true" outlineLevel="0" collapsed="false">
      <c r="B92" s="598"/>
      <c r="C92" s="598"/>
      <c r="D92" s="594"/>
      <c r="E92" s="594"/>
      <c r="F92" s="594"/>
    </row>
    <row r="93" customFormat="false" ht="18.75" hidden="false" customHeight="true" outlineLevel="0" collapsed="false">
      <c r="B93" s="578"/>
      <c r="C93" s="578"/>
      <c r="D93" s="594"/>
      <c r="E93" s="594"/>
      <c r="F93" s="594"/>
    </row>
    <row r="94" customFormat="false" ht="18.75" hidden="false" customHeight="true" outlineLevel="0" collapsed="false">
      <c r="B94" s="578"/>
      <c r="C94" s="578"/>
      <c r="D94" s="594"/>
      <c r="E94" s="594"/>
      <c r="F94" s="594"/>
    </row>
    <row r="95" customFormat="false" ht="18.75" hidden="false" customHeight="true" outlineLevel="0" collapsed="false">
      <c r="B95" s="599"/>
      <c r="C95" s="599"/>
      <c r="D95" s="594"/>
      <c r="E95" s="594"/>
      <c r="F95" s="594"/>
    </row>
    <row r="96" customFormat="false" ht="18.75" hidden="false" customHeight="true" outlineLevel="0" collapsed="false">
      <c r="A96" s="591" t="s">
        <v>902</v>
      </c>
      <c r="B96" s="599"/>
      <c r="C96" s="599"/>
      <c r="D96" s="594"/>
      <c r="E96" s="594"/>
      <c r="F96" s="594"/>
    </row>
    <row r="97" customFormat="false" ht="18.75" hidden="false" customHeight="true" outlineLevel="0" collapsed="false">
      <c r="B97" s="599"/>
      <c r="C97" s="599"/>
      <c r="D97" s="594"/>
      <c r="E97" s="594"/>
      <c r="F97" s="594"/>
    </row>
    <row r="98" customFormat="false" ht="18.75" hidden="false" customHeight="true" outlineLevel="0" collapsed="false">
      <c r="B98" s="597"/>
      <c r="C98" s="597"/>
      <c r="D98" s="594"/>
      <c r="E98" s="594"/>
      <c r="F98" s="594"/>
    </row>
    <row r="99" customFormat="false" ht="18.75" hidden="false" customHeight="true" outlineLevel="0" collapsed="false">
      <c r="B99" s="598"/>
      <c r="C99" s="598"/>
      <c r="D99" s="594"/>
      <c r="E99" s="594"/>
      <c r="F99" s="594"/>
    </row>
    <row r="100" customFormat="false" ht="18.75" hidden="false" customHeight="true" outlineLevel="0" collapsed="false">
      <c r="B100" s="578"/>
      <c r="C100" s="578"/>
      <c r="D100" s="594"/>
      <c r="E100" s="594"/>
      <c r="F100" s="594"/>
    </row>
    <row r="101" customFormat="false" ht="18.75" hidden="false" customHeight="true" outlineLevel="0" collapsed="false">
      <c r="B101" s="578"/>
      <c r="C101" s="578"/>
      <c r="D101" s="594"/>
      <c r="E101" s="594"/>
      <c r="F101" s="594"/>
    </row>
    <row r="102" customFormat="false" ht="18.75" hidden="false" customHeight="true" outlineLevel="0" collapsed="false">
      <c r="B102" s="578"/>
      <c r="C102" s="578"/>
      <c r="D102" s="594"/>
      <c r="E102" s="594"/>
      <c r="F102" s="594"/>
    </row>
    <row r="103" customFormat="false" ht="18.75" hidden="false" customHeight="true" outlineLevel="0" collapsed="false">
      <c r="B103" s="578"/>
      <c r="C103" s="578"/>
      <c r="D103" s="594"/>
      <c r="E103" s="594"/>
      <c r="F103" s="594"/>
    </row>
    <row r="104" customFormat="false" ht="18.75" hidden="false" customHeight="true" outlineLevel="0" collapsed="false">
      <c r="B104" s="578"/>
      <c r="C104" s="578"/>
      <c r="D104" s="594"/>
      <c r="E104" s="594"/>
      <c r="F104" s="594"/>
    </row>
    <row r="105" customFormat="false" ht="18.75" hidden="false" customHeight="true" outlineLevel="0" collapsed="false">
      <c r="B105" s="597"/>
      <c r="C105" s="597"/>
      <c r="D105" s="594"/>
      <c r="E105" s="594"/>
      <c r="F105" s="594"/>
    </row>
    <row r="106" customFormat="false" ht="18.75" hidden="false" customHeight="true" outlineLevel="0" collapsed="false">
      <c r="B106" s="598"/>
      <c r="C106" s="598"/>
      <c r="D106" s="594"/>
      <c r="E106" s="594"/>
      <c r="F106" s="594"/>
    </row>
    <row r="107" customFormat="false" ht="18.75" hidden="false" customHeight="true" outlineLevel="0" collapsed="false">
      <c r="B107" s="578"/>
      <c r="C107" s="578"/>
      <c r="D107" s="594"/>
      <c r="E107" s="594"/>
      <c r="F107" s="594"/>
    </row>
    <row r="108" customFormat="false" ht="18.75" hidden="false" customHeight="true" outlineLevel="0" collapsed="false">
      <c r="B108" s="578"/>
      <c r="C108" s="578"/>
      <c r="D108" s="594"/>
      <c r="E108" s="594"/>
      <c r="F108" s="594"/>
    </row>
    <row r="109" customFormat="false" ht="18.75" hidden="false" customHeight="true" outlineLevel="0" collapsed="false">
      <c r="B109" s="578"/>
      <c r="C109" s="578"/>
      <c r="D109" s="594"/>
      <c r="E109" s="594"/>
      <c r="F109" s="594"/>
    </row>
    <row r="110" customFormat="false" ht="18.75" hidden="false" customHeight="true" outlineLevel="0" collapsed="false">
      <c r="B110" s="578"/>
      <c r="C110" s="578"/>
      <c r="D110" s="594"/>
      <c r="E110" s="594"/>
      <c r="F110" s="594"/>
    </row>
    <row r="111" customFormat="false" ht="18.75" hidden="false" customHeight="true" outlineLevel="0" collapsed="false">
      <c r="B111" s="578"/>
      <c r="C111" s="578"/>
      <c r="D111" s="594"/>
      <c r="E111" s="594"/>
      <c r="F111" s="594"/>
    </row>
    <row r="112" customFormat="false" ht="18.75" hidden="false" customHeight="true" outlineLevel="0" collapsed="false">
      <c r="B112" s="597"/>
      <c r="C112" s="597"/>
      <c r="D112" s="594"/>
      <c r="E112" s="594"/>
      <c r="F112" s="594"/>
    </row>
    <row r="113" customFormat="false" ht="18.75" hidden="false" customHeight="true" outlineLevel="0" collapsed="false">
      <c r="B113" s="598"/>
      <c r="C113" s="598"/>
      <c r="D113" s="594"/>
      <c r="E113" s="594"/>
      <c r="F113" s="594"/>
    </row>
    <row r="114" customFormat="false" ht="18.75" hidden="false" customHeight="true" outlineLevel="0" collapsed="false">
      <c r="B114" s="578"/>
      <c r="C114" s="578"/>
      <c r="D114" s="594"/>
      <c r="E114" s="594"/>
      <c r="F114" s="594"/>
    </row>
    <row r="115" customFormat="false" ht="18.75" hidden="false" customHeight="true" outlineLevel="0" collapsed="false">
      <c r="B115" s="578"/>
      <c r="C115" s="578"/>
      <c r="D115" s="594"/>
      <c r="E115" s="594"/>
      <c r="F115" s="594"/>
    </row>
    <row r="116" customFormat="false" ht="18.75" hidden="false" customHeight="true" outlineLevel="0" collapsed="false">
      <c r="B116" s="578"/>
      <c r="C116" s="578"/>
      <c r="D116" s="594"/>
      <c r="E116" s="594"/>
      <c r="F116" s="594"/>
    </row>
    <row r="117" customFormat="false" ht="18.75" hidden="false" customHeight="true" outlineLevel="0" collapsed="false">
      <c r="B117" s="578"/>
      <c r="C117" s="578"/>
      <c r="D117" s="594"/>
      <c r="E117" s="594"/>
      <c r="F117" s="594"/>
    </row>
    <row r="118" customFormat="false" ht="18.75" hidden="false" customHeight="true" outlineLevel="0" collapsed="false">
      <c r="B118" s="578"/>
      <c r="C118" s="578"/>
      <c r="D118" s="594"/>
      <c r="E118" s="594"/>
      <c r="F118" s="594"/>
    </row>
    <row r="119" customFormat="false" ht="18.75" hidden="false" customHeight="true" outlineLevel="0" collapsed="false">
      <c r="B119" s="597"/>
      <c r="C119" s="597"/>
      <c r="D119" s="594"/>
      <c r="E119" s="594"/>
      <c r="F119" s="594"/>
    </row>
    <row r="120" customFormat="false" ht="18.75" hidden="false" customHeight="true" outlineLevel="0" collapsed="false">
      <c r="B120" s="598"/>
      <c r="C120" s="598"/>
      <c r="D120" s="594"/>
      <c r="E120" s="594"/>
      <c r="F120" s="594"/>
    </row>
    <row r="121" customFormat="false" ht="18.75" hidden="false" customHeight="true" outlineLevel="0" collapsed="false">
      <c r="B121" s="578"/>
      <c r="C121" s="578"/>
      <c r="D121" s="594"/>
      <c r="E121" s="594"/>
      <c r="F121" s="594"/>
    </row>
    <row r="122" customFormat="false" ht="18.75" hidden="false" customHeight="true" outlineLevel="0" collapsed="false">
      <c r="B122" s="578"/>
      <c r="C122" s="578"/>
      <c r="D122" s="594"/>
      <c r="E122" s="594"/>
      <c r="F122" s="594"/>
    </row>
    <row r="123" customFormat="false" ht="18.75" hidden="false" customHeight="true" outlineLevel="0" collapsed="false">
      <c r="B123" s="578"/>
      <c r="C123" s="578"/>
      <c r="D123" s="594"/>
      <c r="E123" s="594"/>
      <c r="F123" s="594"/>
    </row>
    <row r="124" customFormat="false" ht="18.75" hidden="false" customHeight="true" outlineLevel="0" collapsed="false">
      <c r="B124" s="578"/>
      <c r="C124" s="578"/>
      <c r="D124" s="594"/>
      <c r="E124" s="594"/>
      <c r="F124" s="594"/>
    </row>
    <row r="125" customFormat="false" ht="18.75" hidden="false" customHeight="true" outlineLevel="0" collapsed="false">
      <c r="B125" s="578"/>
      <c r="C125" s="578"/>
      <c r="D125" s="594"/>
      <c r="E125" s="594"/>
      <c r="F125" s="594"/>
    </row>
    <row r="126" customFormat="false" ht="18.75" hidden="false" customHeight="true" outlineLevel="0" collapsed="false">
      <c r="B126" s="597"/>
      <c r="C126" s="597"/>
      <c r="D126" s="594"/>
      <c r="E126" s="594"/>
      <c r="F126" s="594"/>
    </row>
    <row r="127" customFormat="false" ht="18.75" hidden="false" customHeight="true" outlineLevel="0" collapsed="false">
      <c r="B127" s="598"/>
      <c r="C127" s="598"/>
      <c r="D127" s="594"/>
      <c r="E127" s="594"/>
      <c r="F127" s="594"/>
    </row>
    <row r="128" customFormat="false" ht="18.75" hidden="false" customHeight="true" outlineLevel="0" collapsed="false">
      <c r="B128" s="578"/>
      <c r="C128" s="578"/>
      <c r="D128" s="594"/>
      <c r="E128" s="594"/>
      <c r="F128" s="594"/>
    </row>
    <row r="129" customFormat="false" ht="18.75" hidden="false" customHeight="true" outlineLevel="0" collapsed="false">
      <c r="B129" s="578"/>
      <c r="C129" s="578"/>
      <c r="D129" s="594"/>
      <c r="E129" s="594"/>
      <c r="F129" s="594"/>
    </row>
    <row r="130" customFormat="false" ht="18.75" hidden="false" customHeight="true" outlineLevel="0" collapsed="false">
      <c r="B130" s="578"/>
      <c r="C130" s="578"/>
      <c r="D130" s="594"/>
      <c r="E130" s="594"/>
      <c r="F130" s="594"/>
    </row>
    <row r="131" customFormat="false" ht="18.75" hidden="false" customHeight="true" outlineLevel="0" collapsed="false">
      <c r="B131" s="578"/>
      <c r="C131" s="578"/>
      <c r="D131" s="594"/>
      <c r="E131" s="594"/>
      <c r="F131" s="594"/>
    </row>
    <row r="132" customFormat="false" ht="18.75" hidden="false" customHeight="true" outlineLevel="0" collapsed="false">
      <c r="B132" s="578"/>
      <c r="C132" s="578"/>
      <c r="D132" s="594"/>
      <c r="E132" s="594"/>
      <c r="F132" s="594"/>
    </row>
    <row r="133" customFormat="false" ht="18.75" hidden="false" customHeight="true" outlineLevel="0" collapsed="false">
      <c r="B133" s="597"/>
      <c r="C133" s="597"/>
      <c r="D133" s="594"/>
      <c r="E133" s="594"/>
      <c r="F133" s="594"/>
    </row>
    <row r="134" customFormat="false" ht="18.75" hidden="false" customHeight="true" outlineLevel="0" collapsed="false">
      <c r="B134" s="598"/>
      <c r="C134" s="598"/>
      <c r="D134" s="594"/>
      <c r="E134" s="594"/>
      <c r="F134" s="594"/>
    </row>
    <row r="135" customFormat="false" ht="18.75" hidden="false" customHeight="true" outlineLevel="0" collapsed="false">
      <c r="B135" s="578"/>
      <c r="C135" s="578"/>
      <c r="D135" s="594"/>
      <c r="E135" s="594"/>
      <c r="F135" s="594"/>
    </row>
    <row r="136" customFormat="false" ht="18.75" hidden="false" customHeight="true" outlineLevel="0" collapsed="false">
      <c r="B136" s="578"/>
      <c r="C136" s="578"/>
      <c r="D136" s="594"/>
      <c r="E136" s="594"/>
      <c r="F136" s="594"/>
    </row>
    <row r="137" customFormat="false" ht="18.75" hidden="false" customHeight="true" outlineLevel="0" collapsed="false">
      <c r="B137" s="599"/>
      <c r="C137" s="599"/>
      <c r="D137" s="594"/>
      <c r="E137" s="594"/>
      <c r="F137" s="594"/>
    </row>
    <row r="138" customFormat="false" ht="18.75" hidden="false" customHeight="true" outlineLevel="0" collapsed="false">
      <c r="B138" s="578"/>
      <c r="C138" s="578"/>
      <c r="D138" s="594"/>
      <c r="E138" s="594"/>
      <c r="F138" s="594"/>
    </row>
    <row r="139" customFormat="false" ht="18.75" hidden="false" customHeight="true" outlineLevel="0" collapsed="false">
      <c r="B139" s="578"/>
      <c r="C139" s="578"/>
      <c r="D139" s="594"/>
      <c r="E139" s="594"/>
      <c r="F139" s="594"/>
    </row>
    <row r="140" customFormat="false" ht="18.75" hidden="false" customHeight="true" outlineLevel="0" collapsed="false">
      <c r="B140" s="597"/>
      <c r="C140" s="597"/>
      <c r="D140" s="594"/>
      <c r="E140" s="594"/>
      <c r="F140" s="594"/>
    </row>
    <row r="141" customFormat="false" ht="18.75" hidden="false" customHeight="true" outlineLevel="0" collapsed="false">
      <c r="B141" s="598"/>
      <c r="C141" s="598"/>
      <c r="D141" s="594"/>
      <c r="E141" s="594"/>
      <c r="F141" s="594"/>
    </row>
    <row r="142" customFormat="false" ht="18.75" hidden="false" customHeight="true" outlineLevel="0" collapsed="false">
      <c r="B142" s="578"/>
      <c r="C142" s="578"/>
      <c r="D142" s="594"/>
      <c r="E142" s="594"/>
      <c r="F142" s="594"/>
    </row>
    <row r="143" customFormat="false" ht="18.75" hidden="false" customHeight="true" outlineLevel="0" collapsed="false">
      <c r="B143" s="578"/>
      <c r="C143" s="578"/>
      <c r="D143" s="594"/>
      <c r="E143" s="594"/>
      <c r="F143" s="594"/>
    </row>
    <row r="144" customFormat="false" ht="18.75" hidden="false" customHeight="true" outlineLevel="0" collapsed="false">
      <c r="B144" s="578"/>
      <c r="C144" s="578"/>
      <c r="D144" s="594"/>
      <c r="E144" s="594"/>
      <c r="F144" s="594"/>
    </row>
    <row r="145" customFormat="false" ht="18.75" hidden="false" customHeight="true" outlineLevel="0" collapsed="false">
      <c r="B145" s="578"/>
      <c r="C145" s="578"/>
      <c r="D145" s="594"/>
      <c r="E145" s="594"/>
      <c r="F145" s="594"/>
    </row>
    <row r="146" customFormat="false" ht="18.75" hidden="false" customHeight="true" outlineLevel="0" collapsed="false">
      <c r="B146" s="578"/>
      <c r="C146" s="578"/>
      <c r="D146" s="594"/>
      <c r="E146" s="594"/>
      <c r="F146" s="594"/>
    </row>
    <row r="147" customFormat="false" ht="18.75" hidden="false" customHeight="true" outlineLevel="0" collapsed="false">
      <c r="B147" s="597"/>
      <c r="C147" s="597"/>
      <c r="D147" s="594"/>
      <c r="E147" s="594"/>
      <c r="F147" s="594"/>
    </row>
    <row r="148" customFormat="false" ht="18.75" hidden="false" customHeight="true" outlineLevel="0" collapsed="false">
      <c r="B148" s="598"/>
      <c r="C148" s="598"/>
      <c r="D148" s="594"/>
      <c r="E148" s="594"/>
      <c r="F148" s="594"/>
    </row>
    <row r="149" customFormat="false" ht="18.75" hidden="false" customHeight="true" outlineLevel="0" collapsed="false">
      <c r="B149" s="599"/>
      <c r="C149" s="599"/>
      <c r="D149" s="594"/>
      <c r="E149" s="594"/>
      <c r="F149" s="594"/>
    </row>
    <row r="150" customFormat="false" ht="18.75" hidden="false" customHeight="true" outlineLevel="0" collapsed="false">
      <c r="B150" s="578"/>
      <c r="C150" s="578"/>
      <c r="D150" s="594"/>
      <c r="E150" s="594"/>
      <c r="F150" s="594"/>
    </row>
    <row r="151" customFormat="false" ht="18.75" hidden="false" customHeight="true" outlineLevel="0" collapsed="false">
      <c r="B151" s="578"/>
      <c r="C151" s="578"/>
      <c r="D151" s="594"/>
      <c r="E151" s="594"/>
      <c r="F151" s="594"/>
    </row>
    <row r="152" customFormat="false" ht="18.75" hidden="false" customHeight="true" outlineLevel="0" collapsed="false">
      <c r="B152" s="578"/>
      <c r="C152" s="578"/>
      <c r="D152" s="594"/>
      <c r="E152" s="594"/>
      <c r="F152" s="594"/>
    </row>
    <row r="153" customFormat="false" ht="18.75" hidden="false" customHeight="true" outlineLevel="0" collapsed="false">
      <c r="B153" s="578"/>
      <c r="C153" s="578"/>
      <c r="D153" s="594"/>
      <c r="E153" s="594"/>
      <c r="F153" s="594"/>
    </row>
    <row r="154" customFormat="false" ht="18.75" hidden="false" customHeight="true" outlineLevel="0" collapsed="false">
      <c r="B154" s="597"/>
      <c r="C154" s="597"/>
      <c r="D154" s="594"/>
      <c r="E154" s="594"/>
      <c r="F154" s="594"/>
    </row>
    <row r="155" customFormat="false" ht="18.75" hidden="false" customHeight="true" outlineLevel="0" collapsed="false">
      <c r="B155" s="598"/>
      <c r="C155" s="598"/>
      <c r="D155" s="594"/>
      <c r="E155" s="594"/>
      <c r="F155" s="594"/>
    </row>
    <row r="156" customFormat="false" ht="18.75" hidden="false" customHeight="true" outlineLevel="0" collapsed="false">
      <c r="B156" s="578"/>
      <c r="C156" s="578"/>
      <c r="D156" s="594"/>
      <c r="E156" s="594"/>
      <c r="F156" s="594"/>
    </row>
    <row r="157" customFormat="false" ht="18.75" hidden="false" customHeight="true" outlineLevel="0" collapsed="false">
      <c r="B157" s="578"/>
      <c r="C157" s="578"/>
      <c r="D157" s="594"/>
      <c r="E157" s="594"/>
      <c r="F157" s="594"/>
    </row>
    <row r="158" customFormat="false" ht="18.75" hidden="false" customHeight="true" outlineLevel="0" collapsed="false">
      <c r="B158" s="578"/>
      <c r="C158" s="578"/>
      <c r="D158" s="594"/>
      <c r="E158" s="594"/>
      <c r="F158" s="594"/>
    </row>
    <row r="159" customFormat="false" ht="18.75" hidden="false" customHeight="true" outlineLevel="0" collapsed="false">
      <c r="B159" s="578"/>
      <c r="C159" s="578"/>
      <c r="D159" s="594"/>
      <c r="E159" s="594"/>
      <c r="F159" s="594"/>
    </row>
    <row r="160" customFormat="false" ht="18.75" hidden="false" customHeight="true" outlineLevel="0" collapsed="false">
      <c r="B160" s="578"/>
      <c r="C160" s="578"/>
      <c r="D160" s="594"/>
      <c r="E160" s="594"/>
      <c r="F160" s="594"/>
    </row>
    <row r="161" customFormat="false" ht="18.75" hidden="false" customHeight="true" outlineLevel="0" collapsed="false">
      <c r="B161" s="597"/>
      <c r="C161" s="597"/>
      <c r="D161" s="594"/>
      <c r="E161" s="594"/>
      <c r="F161" s="594"/>
    </row>
    <row r="162" customFormat="false" ht="18.75" hidden="false" customHeight="true" outlineLevel="0" collapsed="false">
      <c r="B162" s="598"/>
      <c r="C162" s="598"/>
      <c r="D162" s="594"/>
      <c r="E162" s="594"/>
      <c r="F162" s="594"/>
    </row>
    <row r="163" customFormat="false" ht="18.75" hidden="false" customHeight="true" outlineLevel="0" collapsed="false">
      <c r="B163" s="578"/>
      <c r="C163" s="578"/>
      <c r="D163" s="594"/>
      <c r="E163" s="594"/>
      <c r="F163" s="594"/>
    </row>
    <row r="164" customFormat="false" ht="18.75" hidden="false" customHeight="true" outlineLevel="0" collapsed="false">
      <c r="B164" s="578"/>
      <c r="C164" s="578"/>
      <c r="D164" s="594"/>
      <c r="E164" s="594"/>
      <c r="F164" s="594"/>
    </row>
    <row r="165" customFormat="false" ht="18.75" hidden="false" customHeight="true" outlineLevel="0" collapsed="false">
      <c r="B165" s="578"/>
      <c r="C165" s="578"/>
      <c r="D165" s="594"/>
      <c r="E165" s="594"/>
      <c r="F165" s="594"/>
    </row>
    <row r="166" customFormat="false" ht="18.75" hidden="false" customHeight="true" outlineLevel="0" collapsed="false">
      <c r="B166" s="578"/>
      <c r="C166" s="578"/>
      <c r="D166" s="594"/>
      <c r="E166" s="594"/>
      <c r="F166" s="594"/>
    </row>
    <row r="167" customFormat="false" ht="18.75" hidden="false" customHeight="true" outlineLevel="0" collapsed="false">
      <c r="B167" s="578"/>
      <c r="C167" s="578"/>
      <c r="D167" s="594"/>
      <c r="E167" s="594"/>
      <c r="F167" s="594"/>
    </row>
    <row r="168" customFormat="false" ht="18.75" hidden="false" customHeight="true" outlineLevel="0" collapsed="false">
      <c r="B168" s="597"/>
      <c r="C168" s="597"/>
      <c r="D168" s="594"/>
      <c r="E168" s="594"/>
      <c r="F168" s="594"/>
    </row>
    <row r="169" customFormat="false" ht="18.75" hidden="false" customHeight="true" outlineLevel="0" collapsed="false">
      <c r="B169" s="598"/>
      <c r="C169" s="598"/>
      <c r="D169" s="594"/>
      <c r="E169" s="594"/>
      <c r="F169" s="594"/>
    </row>
    <row r="170" customFormat="false" ht="18.75" hidden="false" customHeight="true" outlineLevel="0" collapsed="false">
      <c r="B170" s="578"/>
      <c r="C170" s="578"/>
      <c r="D170" s="594"/>
      <c r="E170" s="594"/>
      <c r="F170" s="594"/>
    </row>
    <row r="171" customFormat="false" ht="18.75" hidden="false" customHeight="true" outlineLevel="0" collapsed="false">
      <c r="B171" s="578"/>
      <c r="C171" s="578"/>
      <c r="D171" s="594"/>
      <c r="E171" s="594"/>
      <c r="F171" s="594"/>
    </row>
    <row r="172" customFormat="false" ht="18.75" hidden="false" customHeight="true" outlineLevel="0" collapsed="false">
      <c r="B172" s="578"/>
      <c r="C172" s="578"/>
      <c r="D172" s="594"/>
      <c r="E172" s="594"/>
      <c r="F172" s="594"/>
    </row>
    <row r="173" customFormat="false" ht="18.75" hidden="false" customHeight="true" outlineLevel="0" collapsed="false">
      <c r="B173" s="578"/>
      <c r="C173" s="578"/>
      <c r="D173" s="594"/>
      <c r="E173" s="594"/>
      <c r="F173" s="594"/>
    </row>
    <row r="174" customFormat="false" ht="18.75" hidden="false" customHeight="true" outlineLevel="0" collapsed="false">
      <c r="B174" s="599"/>
      <c r="C174" s="599"/>
      <c r="D174" s="594"/>
      <c r="E174" s="594"/>
      <c r="F174" s="594"/>
    </row>
    <row r="175" customFormat="false" ht="18.75" hidden="false" customHeight="true" outlineLevel="0" collapsed="false">
      <c r="B175" s="597"/>
      <c r="C175" s="597"/>
      <c r="D175" s="594"/>
      <c r="E175" s="594"/>
      <c r="F175" s="594"/>
    </row>
    <row r="176" customFormat="false" ht="18.75" hidden="false" customHeight="true" outlineLevel="0" collapsed="false">
      <c r="B176" s="598"/>
      <c r="C176" s="598"/>
      <c r="D176" s="594"/>
      <c r="E176" s="594"/>
      <c r="F176" s="594"/>
    </row>
    <row r="177" customFormat="false" ht="18.75" hidden="false" customHeight="true" outlineLevel="0" collapsed="false">
      <c r="B177" s="578"/>
      <c r="C177" s="578"/>
      <c r="D177" s="594"/>
      <c r="E177" s="594"/>
      <c r="F177" s="594"/>
    </row>
    <row r="178" customFormat="false" ht="18.75" hidden="false" customHeight="true" outlineLevel="0" collapsed="false">
      <c r="B178" s="578"/>
      <c r="C178" s="578"/>
      <c r="D178" s="594"/>
      <c r="E178" s="594"/>
      <c r="F178" s="594"/>
    </row>
    <row r="179" customFormat="false" ht="18.75" hidden="false" customHeight="true" outlineLevel="0" collapsed="false">
      <c r="B179" s="578"/>
      <c r="C179" s="578"/>
      <c r="D179" s="594"/>
      <c r="E179" s="594"/>
      <c r="F179" s="594"/>
    </row>
    <row r="180" customFormat="false" ht="18.75" hidden="false" customHeight="true" outlineLevel="0" collapsed="false">
      <c r="B180" s="578"/>
      <c r="C180" s="578"/>
      <c r="D180" s="594"/>
      <c r="E180" s="594"/>
      <c r="F180" s="594"/>
    </row>
    <row r="181" customFormat="false" ht="18.75" hidden="false" customHeight="true" outlineLevel="0" collapsed="false">
      <c r="B181" s="578"/>
      <c r="C181" s="578"/>
      <c r="D181" s="594"/>
      <c r="E181" s="594"/>
      <c r="F181" s="594"/>
    </row>
    <row r="182" customFormat="false" ht="18.75" hidden="false" customHeight="true" outlineLevel="0" collapsed="false">
      <c r="B182" s="597"/>
      <c r="C182" s="597"/>
      <c r="D182" s="594"/>
      <c r="E182" s="594"/>
      <c r="F182" s="594"/>
    </row>
    <row r="183" customFormat="false" ht="18.75" hidden="false" customHeight="true" outlineLevel="0" collapsed="false">
      <c r="B183" s="598"/>
      <c r="C183" s="598"/>
      <c r="D183" s="594"/>
      <c r="E183" s="594"/>
      <c r="F183" s="594"/>
    </row>
    <row r="184" customFormat="false" ht="18.75" hidden="false" customHeight="true" outlineLevel="0" collapsed="false">
      <c r="B184" s="578"/>
      <c r="C184" s="578"/>
      <c r="D184" s="594"/>
      <c r="E184" s="594"/>
      <c r="F184" s="594"/>
    </row>
    <row r="185" customFormat="false" ht="18.75" hidden="false" customHeight="true" outlineLevel="0" collapsed="false">
      <c r="B185" s="578"/>
      <c r="C185" s="578"/>
      <c r="D185" s="594"/>
      <c r="E185" s="594"/>
      <c r="F185" s="594"/>
    </row>
    <row r="186" customFormat="false" ht="18.75" hidden="false" customHeight="true" outlineLevel="0" collapsed="false">
      <c r="B186" s="578"/>
      <c r="C186" s="578"/>
      <c r="D186" s="594"/>
      <c r="E186" s="594"/>
      <c r="F186" s="594"/>
    </row>
    <row r="187" customFormat="false" ht="18.75" hidden="false" customHeight="true" outlineLevel="0" collapsed="false">
      <c r="B187" s="578"/>
      <c r="C187" s="578"/>
      <c r="D187" s="594"/>
      <c r="E187" s="594"/>
      <c r="F187" s="594"/>
    </row>
    <row r="188" customFormat="false" ht="18.75" hidden="false" customHeight="true" outlineLevel="0" collapsed="false">
      <c r="B188" s="578"/>
      <c r="C188" s="578"/>
      <c r="D188" s="594"/>
      <c r="E188" s="594"/>
      <c r="F188" s="594"/>
    </row>
    <row r="189" customFormat="false" ht="18.75" hidden="false" customHeight="true" outlineLevel="0" collapsed="false">
      <c r="B189" s="597"/>
      <c r="C189" s="597"/>
      <c r="D189" s="594"/>
      <c r="E189" s="594"/>
      <c r="F189" s="594"/>
    </row>
    <row r="190" customFormat="false" ht="18.75" hidden="false" customHeight="true" outlineLevel="0" collapsed="false">
      <c r="B190" s="598"/>
      <c r="C190" s="598"/>
      <c r="D190" s="594"/>
      <c r="E190" s="594"/>
      <c r="F190" s="594"/>
    </row>
    <row r="191" customFormat="false" ht="18.75" hidden="false" customHeight="true" outlineLevel="0" collapsed="false">
      <c r="B191" s="578"/>
      <c r="C191" s="578"/>
      <c r="D191" s="594"/>
      <c r="E191" s="594"/>
      <c r="F191" s="594"/>
    </row>
    <row r="192" customFormat="false" ht="18.75" hidden="false" customHeight="true" outlineLevel="0" collapsed="false">
      <c r="B192" s="578"/>
      <c r="C192" s="578"/>
      <c r="D192" s="594"/>
      <c r="E192" s="594"/>
      <c r="F192" s="594"/>
    </row>
    <row r="193" customFormat="false" ht="18.75" hidden="false" customHeight="true" outlineLevel="0" collapsed="false">
      <c r="B193" s="578"/>
      <c r="C193" s="578"/>
      <c r="D193" s="594"/>
      <c r="E193" s="594"/>
      <c r="F193" s="594"/>
    </row>
    <row r="194" customFormat="false" ht="18.75" hidden="false" customHeight="true" outlineLevel="0" collapsed="false">
      <c r="B194" s="578"/>
      <c r="C194" s="578"/>
      <c r="D194" s="594"/>
      <c r="E194" s="594"/>
      <c r="F194" s="594"/>
    </row>
    <row r="195" customFormat="false" ht="18.75" hidden="false" customHeight="true" outlineLevel="0" collapsed="false">
      <c r="B195" s="578"/>
      <c r="C195" s="578"/>
      <c r="D195" s="594"/>
      <c r="E195" s="594"/>
      <c r="F195" s="594"/>
    </row>
    <row r="196" customFormat="false" ht="18.75" hidden="false" customHeight="true" outlineLevel="0" collapsed="false">
      <c r="B196" s="597"/>
      <c r="C196" s="597"/>
      <c r="D196" s="594"/>
      <c r="E196" s="594"/>
      <c r="F196" s="594"/>
    </row>
    <row r="197" customFormat="false" ht="18.75" hidden="false" customHeight="true" outlineLevel="0" collapsed="false">
      <c r="B197" s="598"/>
      <c r="C197" s="598"/>
      <c r="D197" s="594"/>
      <c r="E197" s="594"/>
      <c r="F197" s="594"/>
    </row>
    <row r="198" customFormat="false" ht="18.75" hidden="false" customHeight="true" outlineLevel="0" collapsed="false">
      <c r="B198" s="578"/>
      <c r="C198" s="578"/>
      <c r="D198" s="594"/>
      <c r="E198" s="594"/>
      <c r="F198" s="594"/>
    </row>
    <row r="199" customFormat="false" ht="18.75" hidden="false" customHeight="true" outlineLevel="0" collapsed="false">
      <c r="B199" s="578"/>
      <c r="C199" s="578"/>
      <c r="D199" s="594"/>
      <c r="E199" s="594"/>
      <c r="F199" s="594"/>
    </row>
    <row r="200" customFormat="false" ht="18.75" hidden="false" customHeight="true" outlineLevel="0" collapsed="false">
      <c r="B200" s="578"/>
      <c r="C200" s="578"/>
      <c r="D200" s="594"/>
      <c r="E200" s="594"/>
      <c r="F200" s="594"/>
    </row>
    <row r="201" customFormat="false" ht="18.75" hidden="false" customHeight="true" outlineLevel="0" collapsed="false">
      <c r="B201" s="578"/>
      <c r="C201" s="578"/>
      <c r="D201" s="594"/>
      <c r="E201" s="594"/>
      <c r="F201" s="594"/>
    </row>
    <row r="202" customFormat="false" ht="18.75" hidden="false" customHeight="true" outlineLevel="0" collapsed="false">
      <c r="B202" s="578"/>
      <c r="C202" s="578"/>
      <c r="D202" s="594"/>
      <c r="E202" s="594"/>
      <c r="F202" s="594"/>
    </row>
    <row r="203" customFormat="false" ht="18.75" hidden="false" customHeight="true" outlineLevel="0" collapsed="false">
      <c r="B203" s="597"/>
      <c r="C203" s="597"/>
      <c r="D203" s="594"/>
      <c r="E203" s="594"/>
      <c r="F203" s="594"/>
    </row>
    <row r="204" customFormat="false" ht="18.75" hidden="false" customHeight="true" outlineLevel="0" collapsed="false">
      <c r="B204" s="598"/>
      <c r="C204" s="598"/>
      <c r="D204" s="594"/>
      <c r="E204" s="594"/>
      <c r="F204" s="594"/>
    </row>
    <row r="205" customFormat="false" ht="18.75" hidden="false" customHeight="true" outlineLevel="0" collapsed="false">
      <c r="B205" s="578"/>
      <c r="C205" s="578"/>
      <c r="D205" s="594"/>
      <c r="E205" s="594"/>
      <c r="F205" s="594"/>
    </row>
    <row r="206" customFormat="false" ht="18.75" hidden="false" customHeight="true" outlineLevel="0" collapsed="false">
      <c r="B206" s="578"/>
      <c r="C206" s="578"/>
      <c r="D206" s="594"/>
      <c r="E206" s="594"/>
      <c r="F206" s="594"/>
    </row>
    <row r="207" customFormat="false" ht="18.75" hidden="false" customHeight="true" outlineLevel="0" collapsed="false">
      <c r="B207" s="578"/>
      <c r="C207" s="578"/>
      <c r="D207" s="594"/>
      <c r="E207" s="594"/>
      <c r="F207" s="594"/>
    </row>
    <row r="208" customFormat="false" ht="18.75" hidden="false" customHeight="true" outlineLevel="0" collapsed="false">
      <c r="B208" s="578"/>
      <c r="C208" s="578"/>
      <c r="D208" s="594"/>
      <c r="E208" s="594"/>
      <c r="F208" s="594"/>
    </row>
    <row r="209" customFormat="false" ht="18.75" hidden="false" customHeight="true" outlineLevel="0" collapsed="false">
      <c r="B209" s="578"/>
      <c r="C209" s="578"/>
      <c r="D209" s="594"/>
      <c r="E209" s="594"/>
      <c r="F209" s="594"/>
    </row>
    <row r="210" customFormat="false" ht="18.75" hidden="false" customHeight="true" outlineLevel="0" collapsed="false">
      <c r="B210" s="597"/>
      <c r="C210" s="597"/>
      <c r="D210" s="594"/>
      <c r="E210" s="594"/>
      <c r="F210" s="594"/>
    </row>
    <row r="211" customFormat="false" ht="18.75" hidden="false" customHeight="true" outlineLevel="0" collapsed="false">
      <c r="B211" s="598"/>
      <c r="C211" s="598"/>
      <c r="D211" s="594"/>
      <c r="E211" s="594"/>
      <c r="F211" s="594"/>
    </row>
    <row r="212" customFormat="false" ht="18.75" hidden="false" customHeight="true" outlineLevel="0" collapsed="false">
      <c r="B212" s="578"/>
      <c r="C212" s="578"/>
      <c r="D212" s="594"/>
      <c r="E212" s="594"/>
      <c r="F212" s="594"/>
    </row>
    <row r="213" customFormat="false" ht="18.75" hidden="false" customHeight="true" outlineLevel="0" collapsed="false">
      <c r="B213" s="578"/>
      <c r="C213" s="578"/>
      <c r="D213" s="594"/>
      <c r="E213" s="594"/>
      <c r="F213" s="594"/>
    </row>
    <row r="214" customFormat="false" ht="18.75" hidden="false" customHeight="true" outlineLevel="0" collapsed="false">
      <c r="B214" s="599"/>
      <c r="C214" s="599"/>
      <c r="D214" s="594"/>
      <c r="E214" s="594"/>
      <c r="F214" s="594"/>
    </row>
    <row r="215" customFormat="false" ht="18.75" hidden="false" customHeight="true" outlineLevel="0" collapsed="false">
      <c r="B215" s="578"/>
      <c r="C215" s="578"/>
      <c r="D215" s="594"/>
      <c r="E215" s="594"/>
      <c r="F215" s="594"/>
    </row>
    <row r="216" customFormat="false" ht="18.75" hidden="false" customHeight="true" outlineLevel="0" collapsed="false">
      <c r="B216" s="578"/>
      <c r="C216" s="578"/>
      <c r="D216" s="594"/>
      <c r="E216" s="594"/>
      <c r="F216" s="594"/>
    </row>
    <row r="217" customFormat="false" ht="18.75" hidden="false" customHeight="true" outlineLevel="0" collapsed="false">
      <c r="B217" s="597"/>
      <c r="C217" s="597"/>
      <c r="D217" s="594"/>
      <c r="E217" s="594"/>
      <c r="F217" s="594"/>
    </row>
    <row r="218" customFormat="false" ht="18.75" hidden="false" customHeight="true" outlineLevel="0" collapsed="false">
      <c r="B218" s="599"/>
      <c r="C218" s="599"/>
      <c r="D218" s="594"/>
      <c r="E218" s="594"/>
      <c r="F218" s="594"/>
    </row>
    <row r="219" customFormat="false" ht="18.75" hidden="false" customHeight="true" outlineLevel="0" collapsed="false">
      <c r="B219" s="599"/>
      <c r="C219" s="599"/>
      <c r="D219" s="594"/>
      <c r="E219" s="594"/>
      <c r="F219" s="594"/>
    </row>
    <row r="220" customFormat="false" ht="18.75" hidden="false" customHeight="true" outlineLevel="0" collapsed="false">
      <c r="B220" s="599"/>
      <c r="C220" s="599"/>
      <c r="D220" s="594"/>
      <c r="E220" s="594"/>
      <c r="F220" s="594"/>
    </row>
    <row r="221" customFormat="false" ht="18.75" hidden="false" customHeight="true" outlineLevel="0" collapsed="false">
      <c r="B221" s="599"/>
      <c r="C221" s="599"/>
      <c r="D221" s="594"/>
      <c r="E221" s="594"/>
      <c r="F221" s="594"/>
    </row>
    <row r="222" customFormat="false" ht="18.75" hidden="false" customHeight="true" outlineLevel="0" collapsed="false">
      <c r="B222" s="578"/>
      <c r="C222" s="578"/>
      <c r="D222" s="594"/>
      <c r="E222" s="594"/>
      <c r="F222" s="594"/>
    </row>
    <row r="223" customFormat="false" ht="18.75" hidden="false" customHeight="true" outlineLevel="0" collapsed="false">
      <c r="B223" s="578"/>
      <c r="C223" s="578"/>
      <c r="D223" s="594"/>
      <c r="E223" s="594"/>
      <c r="F223" s="594"/>
    </row>
    <row r="224" customFormat="false" ht="18.75" hidden="false" customHeight="true" outlineLevel="0" collapsed="false">
      <c r="B224" s="597"/>
      <c r="C224" s="597"/>
      <c r="D224" s="594"/>
      <c r="E224" s="594"/>
      <c r="F224" s="594"/>
    </row>
    <row r="225" customFormat="false" ht="18.75" hidden="false" customHeight="true" outlineLevel="0" collapsed="false">
      <c r="B225" s="598"/>
      <c r="C225" s="598"/>
      <c r="D225" s="594"/>
      <c r="E225" s="594"/>
      <c r="F225" s="594"/>
    </row>
    <row r="226" customFormat="false" ht="18.75" hidden="false" customHeight="true" outlineLevel="0" collapsed="false">
      <c r="B226" s="578"/>
      <c r="C226" s="578"/>
      <c r="D226" s="594"/>
      <c r="E226" s="594"/>
      <c r="F226" s="594"/>
    </row>
    <row r="227" customFormat="false" ht="18.75" hidden="false" customHeight="true" outlineLevel="0" collapsed="false">
      <c r="B227" s="578"/>
      <c r="C227" s="578"/>
      <c r="D227" s="594"/>
      <c r="E227" s="594"/>
      <c r="F227" s="594"/>
    </row>
    <row r="228" customFormat="false" ht="18.75" hidden="false" customHeight="true" outlineLevel="0" collapsed="false">
      <c r="B228" s="578"/>
      <c r="C228" s="578"/>
      <c r="D228" s="594"/>
      <c r="E228" s="594"/>
      <c r="F228" s="594"/>
    </row>
    <row r="229" customFormat="false" ht="18.75" hidden="false" customHeight="true" outlineLevel="0" collapsed="false">
      <c r="B229" s="578"/>
      <c r="C229" s="578"/>
      <c r="D229" s="594"/>
      <c r="E229" s="594"/>
      <c r="F229" s="594"/>
    </row>
    <row r="230" customFormat="false" ht="18.75" hidden="false" customHeight="true" outlineLevel="0" collapsed="false">
      <c r="B230" s="578"/>
      <c r="C230" s="578"/>
      <c r="D230" s="594"/>
      <c r="E230" s="594"/>
      <c r="F230" s="594"/>
    </row>
    <row r="231" customFormat="false" ht="18.75" hidden="false" customHeight="true" outlineLevel="0" collapsed="false">
      <c r="B231" s="597"/>
      <c r="C231" s="597"/>
      <c r="D231" s="594"/>
      <c r="E231" s="594"/>
      <c r="F231" s="594"/>
    </row>
    <row r="232" customFormat="false" ht="18.75" hidden="false" customHeight="true" outlineLevel="0" collapsed="false">
      <c r="B232" s="598"/>
      <c r="C232" s="598"/>
      <c r="D232" s="594"/>
      <c r="E232" s="594"/>
      <c r="F232" s="594"/>
    </row>
    <row r="233" customFormat="false" ht="18.75" hidden="false" customHeight="true" outlineLevel="0" collapsed="false">
      <c r="B233" s="578"/>
      <c r="C233" s="578"/>
      <c r="D233" s="594"/>
      <c r="E233" s="594"/>
      <c r="F233" s="594"/>
    </row>
    <row r="234" customFormat="false" ht="18.75" hidden="false" customHeight="true" outlineLevel="0" collapsed="false">
      <c r="B234" s="578"/>
      <c r="C234" s="578"/>
      <c r="D234" s="594"/>
      <c r="E234" s="594"/>
      <c r="F234" s="594"/>
    </row>
    <row r="235" customFormat="false" ht="18.75" hidden="false" customHeight="true" outlineLevel="0" collapsed="false">
      <c r="B235" s="578"/>
      <c r="C235" s="578"/>
      <c r="D235" s="594"/>
      <c r="E235" s="594"/>
      <c r="F235" s="594"/>
    </row>
    <row r="236" customFormat="false" ht="18.75" hidden="false" customHeight="true" outlineLevel="0" collapsed="false">
      <c r="B236" s="578"/>
      <c r="C236" s="578"/>
      <c r="D236" s="594"/>
      <c r="E236" s="594"/>
      <c r="F236" s="594"/>
    </row>
    <row r="237" customFormat="false" ht="18.75" hidden="false" customHeight="true" outlineLevel="0" collapsed="false">
      <c r="B237" s="578"/>
      <c r="C237" s="578"/>
      <c r="D237" s="594"/>
      <c r="E237" s="594"/>
      <c r="F237" s="594"/>
    </row>
    <row r="238" customFormat="false" ht="18.75" hidden="false" customHeight="true" outlineLevel="0" collapsed="false">
      <c r="B238" s="597"/>
      <c r="C238" s="597"/>
      <c r="D238" s="594"/>
      <c r="E238" s="594"/>
      <c r="F238" s="594"/>
    </row>
    <row r="239" customFormat="false" ht="18.75" hidden="false" customHeight="true" outlineLevel="0" collapsed="false">
      <c r="B239" s="598"/>
      <c r="C239" s="598"/>
      <c r="D239" s="594"/>
      <c r="E239" s="594"/>
      <c r="F239" s="594"/>
    </row>
    <row r="240" customFormat="false" ht="18.75" hidden="false" customHeight="true" outlineLevel="0" collapsed="false">
      <c r="B240" s="578"/>
      <c r="C240" s="578"/>
      <c r="D240" s="594"/>
      <c r="E240" s="594"/>
      <c r="F240" s="594"/>
    </row>
    <row r="241" customFormat="false" ht="18.75" hidden="false" customHeight="true" outlineLevel="0" collapsed="false">
      <c r="B241" s="578"/>
      <c r="C241" s="578"/>
      <c r="D241" s="594"/>
      <c r="E241" s="594"/>
      <c r="F241" s="594"/>
    </row>
    <row r="242" customFormat="false" ht="18.75" hidden="false" customHeight="true" outlineLevel="0" collapsed="false">
      <c r="B242" s="578"/>
      <c r="C242" s="578"/>
      <c r="D242" s="594"/>
      <c r="E242" s="594"/>
      <c r="F242" s="594"/>
    </row>
    <row r="243" customFormat="false" ht="18.75" hidden="false" customHeight="true" outlineLevel="0" collapsed="false">
      <c r="B243" s="578"/>
      <c r="C243" s="578"/>
      <c r="D243" s="594"/>
      <c r="E243" s="594"/>
      <c r="F243" s="594"/>
    </row>
    <row r="244" customFormat="false" ht="18.75" hidden="false" customHeight="true" outlineLevel="0" collapsed="false">
      <c r="B244" s="578"/>
      <c r="C244" s="578"/>
      <c r="D244" s="594"/>
      <c r="E244" s="594"/>
      <c r="F244" s="594"/>
    </row>
    <row r="245" customFormat="false" ht="18.75" hidden="false" customHeight="true" outlineLevel="0" collapsed="false">
      <c r="B245" s="597"/>
      <c r="C245" s="597"/>
      <c r="D245" s="594"/>
      <c r="E245" s="594"/>
      <c r="F245" s="594"/>
    </row>
    <row r="246" customFormat="false" ht="18.75" hidden="false" customHeight="true" outlineLevel="0" collapsed="false">
      <c r="B246" s="598"/>
      <c r="C246" s="598"/>
      <c r="D246" s="594"/>
      <c r="E246" s="594"/>
      <c r="F246" s="594"/>
    </row>
    <row r="247" customFormat="false" ht="18.75" hidden="false" customHeight="true" outlineLevel="0" collapsed="false">
      <c r="B247" s="578"/>
      <c r="C247" s="578"/>
      <c r="D247" s="594"/>
      <c r="E247" s="594"/>
      <c r="F247" s="594"/>
    </row>
    <row r="248" customFormat="false" ht="18.75" hidden="false" customHeight="true" outlineLevel="0" collapsed="false">
      <c r="B248" s="578"/>
      <c r="C248" s="578"/>
      <c r="D248" s="594"/>
      <c r="E248" s="594"/>
      <c r="F248" s="594"/>
    </row>
    <row r="249" customFormat="false" ht="18.75" hidden="false" customHeight="true" outlineLevel="0" collapsed="false">
      <c r="B249" s="578"/>
      <c r="C249" s="578"/>
      <c r="D249" s="594"/>
      <c r="E249" s="594"/>
      <c r="F249" s="594"/>
    </row>
    <row r="250" customFormat="false" ht="18.75" hidden="false" customHeight="true" outlineLevel="0" collapsed="false">
      <c r="B250" s="578"/>
      <c r="C250" s="578"/>
      <c r="D250" s="594"/>
      <c r="E250" s="594"/>
      <c r="F250" s="594"/>
    </row>
    <row r="251" customFormat="false" ht="18.75" hidden="false" customHeight="true" outlineLevel="0" collapsed="false">
      <c r="B251" s="578"/>
      <c r="C251" s="578"/>
      <c r="D251" s="594"/>
      <c r="E251" s="594"/>
      <c r="F251" s="594"/>
    </row>
    <row r="252" customFormat="false" ht="18.75" hidden="false" customHeight="true" outlineLevel="0" collapsed="false">
      <c r="B252" s="597"/>
      <c r="C252" s="597"/>
      <c r="D252" s="594"/>
      <c r="E252" s="594"/>
      <c r="F252" s="594"/>
    </row>
    <row r="253" customFormat="false" ht="18.75" hidden="false" customHeight="true" outlineLevel="0" collapsed="false">
      <c r="B253" s="598"/>
      <c r="C253" s="598"/>
      <c r="D253" s="594"/>
      <c r="E253" s="594"/>
      <c r="F253" s="594"/>
    </row>
    <row r="254" customFormat="false" ht="18.75" hidden="false" customHeight="true" outlineLevel="0" collapsed="false">
      <c r="B254" s="578"/>
      <c r="C254" s="578"/>
      <c r="D254" s="594"/>
      <c r="E254" s="594"/>
      <c r="F254" s="594"/>
    </row>
    <row r="255" customFormat="false" ht="18.75" hidden="false" customHeight="true" outlineLevel="0" collapsed="false">
      <c r="B255" s="578"/>
      <c r="C255" s="578"/>
      <c r="D255" s="594"/>
      <c r="E255" s="594"/>
      <c r="F255" s="594"/>
    </row>
    <row r="256" customFormat="false" ht="18.75" hidden="false" customHeight="true" outlineLevel="0" collapsed="false">
      <c r="B256" s="578"/>
      <c r="C256" s="578"/>
      <c r="D256" s="594"/>
      <c r="E256" s="594"/>
      <c r="F256" s="594"/>
    </row>
    <row r="257" customFormat="false" ht="18.75" hidden="false" customHeight="true" outlineLevel="0" collapsed="false">
      <c r="B257" s="578"/>
      <c r="C257" s="578"/>
      <c r="D257" s="594"/>
      <c r="E257" s="594"/>
      <c r="F257" s="594"/>
    </row>
    <row r="258" customFormat="false" ht="18.75" hidden="false" customHeight="true" outlineLevel="0" collapsed="false">
      <c r="B258" s="578"/>
      <c r="C258" s="578"/>
      <c r="D258" s="594"/>
      <c r="E258" s="594"/>
      <c r="F258" s="594"/>
    </row>
    <row r="259" customFormat="false" ht="18.75" hidden="false" customHeight="true" outlineLevel="0" collapsed="false">
      <c r="B259" s="597"/>
      <c r="C259" s="597"/>
      <c r="D259" s="594"/>
      <c r="E259" s="594"/>
      <c r="F259" s="594"/>
    </row>
    <row r="260" customFormat="false" ht="18.75" hidden="false" customHeight="true" outlineLevel="0" collapsed="false">
      <c r="B260" s="598"/>
      <c r="C260" s="598"/>
      <c r="D260" s="594"/>
      <c r="E260" s="594"/>
      <c r="F260" s="594"/>
    </row>
    <row r="261" customFormat="false" ht="18.75" hidden="false" customHeight="true" outlineLevel="0" collapsed="false">
      <c r="B261" s="578"/>
      <c r="C261" s="578"/>
      <c r="D261" s="594"/>
      <c r="E261" s="594"/>
      <c r="F261" s="594"/>
    </row>
    <row r="262" customFormat="false" ht="18.75" hidden="false" customHeight="true" outlineLevel="0" collapsed="false">
      <c r="B262" s="578"/>
      <c r="C262" s="578"/>
      <c r="D262" s="594"/>
      <c r="E262" s="594"/>
      <c r="F262" s="594"/>
    </row>
    <row r="263" customFormat="false" ht="18.75" hidden="false" customHeight="true" outlineLevel="0" collapsed="false">
      <c r="B263" s="578"/>
      <c r="C263" s="578"/>
      <c r="D263" s="594"/>
      <c r="E263" s="594"/>
      <c r="F263" s="594"/>
    </row>
    <row r="264" customFormat="false" ht="18.75" hidden="false" customHeight="true" outlineLevel="0" collapsed="false">
      <c r="B264" s="578"/>
      <c r="C264" s="578"/>
      <c r="D264" s="594"/>
      <c r="E264" s="594"/>
      <c r="F264" s="594"/>
    </row>
    <row r="265" customFormat="false" ht="18.75" hidden="false" customHeight="true" outlineLevel="0" collapsed="false">
      <c r="B265" s="578"/>
      <c r="C265" s="578"/>
      <c r="D265" s="594"/>
      <c r="E265" s="594"/>
      <c r="F265" s="594"/>
    </row>
    <row r="266" customFormat="false" ht="18.75" hidden="false" customHeight="true" outlineLevel="0" collapsed="false">
      <c r="B266" s="597"/>
      <c r="C266" s="597"/>
      <c r="D266" s="594"/>
      <c r="E266" s="594"/>
      <c r="F266" s="594"/>
    </row>
    <row r="267" customFormat="false" ht="18.75" hidden="false" customHeight="true" outlineLevel="0" collapsed="false">
      <c r="B267" s="598"/>
      <c r="C267" s="598"/>
      <c r="D267" s="594"/>
      <c r="E267" s="594"/>
      <c r="F267" s="594"/>
    </row>
    <row r="268" customFormat="false" ht="18.75" hidden="false" customHeight="true" outlineLevel="0" collapsed="false">
      <c r="B268" s="578"/>
      <c r="C268" s="578"/>
      <c r="D268" s="594"/>
      <c r="E268" s="594"/>
      <c r="F268" s="594"/>
    </row>
    <row r="269" customFormat="false" ht="18.75" hidden="false" customHeight="true" outlineLevel="0" collapsed="false">
      <c r="B269" s="578"/>
      <c r="C269" s="578"/>
      <c r="D269" s="594"/>
      <c r="E269" s="594"/>
      <c r="F269" s="594"/>
    </row>
    <row r="270" customFormat="false" ht="18.75" hidden="false" customHeight="true" outlineLevel="0" collapsed="false">
      <c r="B270" s="578"/>
      <c r="C270" s="578"/>
      <c r="D270" s="594"/>
      <c r="E270" s="594"/>
      <c r="F270" s="594"/>
    </row>
    <row r="271" customFormat="false" ht="18.75" hidden="false" customHeight="true" outlineLevel="0" collapsed="false">
      <c r="B271" s="578"/>
      <c r="C271" s="578"/>
      <c r="D271" s="594"/>
      <c r="E271" s="594"/>
      <c r="F271" s="594"/>
    </row>
    <row r="272" customFormat="false" ht="18.75" hidden="false" customHeight="true" outlineLevel="0" collapsed="false">
      <c r="B272" s="578"/>
      <c r="C272" s="578"/>
      <c r="D272" s="594"/>
      <c r="E272" s="594"/>
      <c r="F272" s="594"/>
    </row>
    <row r="273" customFormat="false" ht="18.75" hidden="false" customHeight="true" outlineLevel="0" collapsed="false">
      <c r="B273" s="597"/>
      <c r="C273" s="597"/>
      <c r="D273" s="594"/>
      <c r="E273" s="594"/>
      <c r="F273" s="594"/>
    </row>
    <row r="274" customFormat="false" ht="18.75" hidden="false" customHeight="true" outlineLevel="0" collapsed="false">
      <c r="B274" s="598"/>
      <c r="C274" s="598"/>
      <c r="D274" s="594"/>
      <c r="E274" s="594"/>
      <c r="F274" s="594"/>
    </row>
    <row r="275" customFormat="false" ht="18.75" hidden="false" customHeight="true" outlineLevel="0" collapsed="false">
      <c r="B275" s="578"/>
      <c r="C275" s="578"/>
      <c r="D275" s="594"/>
      <c r="E275" s="594"/>
      <c r="F275" s="594"/>
    </row>
    <row r="276" customFormat="false" ht="18.75" hidden="false" customHeight="true" outlineLevel="0" collapsed="false">
      <c r="B276" s="578"/>
      <c r="C276" s="578"/>
      <c r="D276" s="594"/>
      <c r="E276" s="594"/>
      <c r="F276" s="594"/>
    </row>
    <row r="277" customFormat="false" ht="18.75" hidden="false" customHeight="true" outlineLevel="0" collapsed="false">
      <c r="B277" s="578"/>
      <c r="C277" s="578"/>
      <c r="D277" s="594"/>
      <c r="E277" s="594"/>
      <c r="F277" s="594"/>
    </row>
    <row r="278" customFormat="false" ht="18.75" hidden="false" customHeight="true" outlineLevel="0" collapsed="false">
      <c r="B278" s="578"/>
      <c r="C278" s="578"/>
      <c r="D278" s="594"/>
      <c r="E278" s="594"/>
      <c r="F278" s="594"/>
    </row>
    <row r="279" customFormat="false" ht="18.75" hidden="false" customHeight="true" outlineLevel="0" collapsed="false">
      <c r="B279" s="578"/>
      <c r="C279" s="578"/>
      <c r="D279" s="594"/>
      <c r="E279" s="594"/>
      <c r="F279" s="594"/>
    </row>
    <row r="280" customFormat="false" ht="18.75" hidden="false" customHeight="true" outlineLevel="0" collapsed="false">
      <c r="B280" s="597"/>
      <c r="C280" s="597"/>
      <c r="D280" s="594"/>
      <c r="E280" s="594"/>
      <c r="F280" s="594"/>
    </row>
    <row r="281" customFormat="false" ht="18.75" hidden="false" customHeight="true" outlineLevel="0" collapsed="false">
      <c r="B281" s="598"/>
      <c r="C281" s="598"/>
      <c r="D281" s="594"/>
      <c r="E281" s="594"/>
      <c r="F281" s="594"/>
    </row>
    <row r="282" customFormat="false" ht="18.75" hidden="false" customHeight="true" outlineLevel="0" collapsed="false">
      <c r="B282" s="578"/>
      <c r="C282" s="578"/>
      <c r="D282" s="594"/>
      <c r="E282" s="594"/>
      <c r="F282" s="594"/>
    </row>
    <row r="283" customFormat="false" ht="18.75" hidden="false" customHeight="true" outlineLevel="0" collapsed="false">
      <c r="B283" s="578"/>
      <c r="C283" s="578"/>
      <c r="D283" s="594"/>
      <c r="E283" s="594"/>
      <c r="F283" s="594"/>
    </row>
    <row r="284" customFormat="false" ht="18.75" hidden="false" customHeight="true" outlineLevel="0" collapsed="false">
      <c r="B284" s="578"/>
      <c r="C284" s="578"/>
      <c r="D284" s="594"/>
      <c r="E284" s="594"/>
      <c r="F284" s="594"/>
    </row>
    <row r="285" customFormat="false" ht="18.75" hidden="false" customHeight="true" outlineLevel="0" collapsed="false">
      <c r="B285" s="578"/>
      <c r="C285" s="578"/>
      <c r="D285" s="594"/>
      <c r="E285" s="594"/>
      <c r="F285" s="594"/>
    </row>
    <row r="286" customFormat="false" ht="18.75" hidden="false" customHeight="true" outlineLevel="0" collapsed="false">
      <c r="B286" s="578"/>
      <c r="C286" s="578"/>
      <c r="D286" s="594"/>
      <c r="E286" s="594"/>
      <c r="F286" s="594"/>
    </row>
    <row r="287" customFormat="false" ht="18.75" hidden="false" customHeight="true" outlineLevel="0" collapsed="false">
      <c r="B287" s="597"/>
      <c r="C287" s="597"/>
      <c r="D287" s="594"/>
      <c r="E287" s="594"/>
      <c r="F287" s="594"/>
    </row>
    <row r="288" customFormat="false" ht="18.75" hidden="false" customHeight="true" outlineLevel="0" collapsed="false">
      <c r="B288" s="598"/>
      <c r="C288" s="598"/>
      <c r="D288" s="594"/>
      <c r="E288" s="594"/>
      <c r="F288" s="594"/>
    </row>
    <row r="289" customFormat="false" ht="18.75" hidden="false" customHeight="true" outlineLevel="0" collapsed="false">
      <c r="B289" s="578"/>
      <c r="C289" s="578"/>
      <c r="D289" s="594"/>
      <c r="E289" s="594"/>
      <c r="F289" s="594"/>
    </row>
    <row r="290" customFormat="false" ht="18.75" hidden="false" customHeight="true" outlineLevel="0" collapsed="false">
      <c r="B290" s="578"/>
      <c r="C290" s="578"/>
      <c r="D290" s="594"/>
      <c r="E290" s="594"/>
      <c r="F290" s="594"/>
    </row>
    <row r="291" customFormat="false" ht="18.75" hidden="false" customHeight="true" outlineLevel="0" collapsed="false">
      <c r="B291" s="578"/>
      <c r="C291" s="578"/>
      <c r="D291" s="594"/>
      <c r="E291" s="594"/>
      <c r="F291" s="594"/>
    </row>
    <row r="292" customFormat="false" ht="18.75" hidden="false" customHeight="true" outlineLevel="0" collapsed="false">
      <c r="B292" s="578"/>
      <c r="C292" s="578"/>
      <c r="D292" s="594"/>
      <c r="E292" s="594"/>
      <c r="F292" s="594"/>
    </row>
    <row r="293" customFormat="false" ht="18.75" hidden="false" customHeight="true" outlineLevel="0" collapsed="false">
      <c r="B293" s="578"/>
      <c r="C293" s="578"/>
      <c r="D293" s="594"/>
      <c r="E293" s="594"/>
      <c r="F293" s="594"/>
    </row>
    <row r="294" customFormat="false" ht="18.75" hidden="false" customHeight="true" outlineLevel="0" collapsed="false">
      <c r="B294" s="597"/>
      <c r="C294" s="597"/>
      <c r="D294" s="594"/>
      <c r="E294" s="594"/>
      <c r="F294" s="594"/>
    </row>
    <row r="295" customFormat="false" ht="18.75" hidden="false" customHeight="true" outlineLevel="0" collapsed="false">
      <c r="B295" s="598"/>
      <c r="C295" s="598"/>
      <c r="D295" s="594"/>
      <c r="E295" s="594"/>
      <c r="F295" s="594"/>
    </row>
    <row r="296" customFormat="false" ht="18.75" hidden="false" customHeight="true" outlineLevel="0" collapsed="false">
      <c r="B296" s="599"/>
      <c r="C296" s="599"/>
      <c r="D296" s="594"/>
      <c r="E296" s="594"/>
      <c r="F296" s="594"/>
    </row>
    <row r="297" customFormat="false" ht="18.75" hidden="false" customHeight="true" outlineLevel="0" collapsed="false">
      <c r="B297" s="578"/>
      <c r="C297" s="578"/>
      <c r="D297" s="594"/>
      <c r="E297" s="594"/>
      <c r="F297" s="594"/>
    </row>
    <row r="298" customFormat="false" ht="18.75" hidden="false" customHeight="true" outlineLevel="0" collapsed="false">
      <c r="B298" s="578"/>
      <c r="C298" s="578"/>
      <c r="D298" s="594"/>
      <c r="E298" s="594"/>
      <c r="F298" s="594"/>
    </row>
    <row r="299" customFormat="false" ht="18.75" hidden="false" customHeight="true" outlineLevel="0" collapsed="false">
      <c r="B299" s="578"/>
      <c r="C299" s="578"/>
      <c r="D299" s="594"/>
      <c r="E299" s="594"/>
      <c r="F299" s="594"/>
    </row>
    <row r="300" customFormat="false" ht="18.75" hidden="false" customHeight="true" outlineLevel="0" collapsed="false">
      <c r="B300" s="578"/>
      <c r="C300" s="578"/>
      <c r="D300" s="594"/>
      <c r="E300" s="594"/>
      <c r="F300" s="594"/>
    </row>
    <row r="301" customFormat="false" ht="18.75" hidden="false" customHeight="true" outlineLevel="0" collapsed="false">
      <c r="B301" s="597"/>
      <c r="C301" s="597"/>
      <c r="D301" s="594"/>
      <c r="E301" s="594"/>
      <c r="F301" s="594"/>
    </row>
    <row r="302" customFormat="false" ht="18.75" hidden="false" customHeight="true" outlineLevel="0" collapsed="false">
      <c r="B302" s="598"/>
      <c r="C302" s="598"/>
      <c r="D302" s="594"/>
      <c r="E302" s="594"/>
      <c r="F302" s="594"/>
    </row>
    <row r="303" customFormat="false" ht="18.75" hidden="false" customHeight="true" outlineLevel="0" collapsed="false">
      <c r="B303" s="578"/>
      <c r="C303" s="578"/>
      <c r="D303" s="594"/>
      <c r="E303" s="594"/>
      <c r="F303" s="594"/>
    </row>
    <row r="304" customFormat="false" ht="18.75" hidden="false" customHeight="true" outlineLevel="0" collapsed="false">
      <c r="B304" s="578"/>
      <c r="C304" s="578"/>
      <c r="D304" s="594"/>
      <c r="E304" s="594"/>
      <c r="F304" s="594"/>
    </row>
    <row r="305" customFormat="false" ht="18.75" hidden="false" customHeight="true" outlineLevel="0" collapsed="false">
      <c r="B305" s="578"/>
      <c r="C305" s="578"/>
      <c r="D305" s="594"/>
      <c r="E305" s="594"/>
      <c r="F305" s="594"/>
    </row>
    <row r="306" customFormat="false" ht="18.75" hidden="false" customHeight="true" outlineLevel="0" collapsed="false">
      <c r="B306" s="578"/>
      <c r="C306" s="578"/>
      <c r="D306" s="594"/>
      <c r="E306" s="594"/>
      <c r="F306" s="594"/>
    </row>
    <row r="307" customFormat="false" ht="18.75" hidden="false" customHeight="true" outlineLevel="0" collapsed="false">
      <c r="B307" s="578"/>
      <c r="C307" s="578"/>
      <c r="D307" s="594"/>
      <c r="E307" s="594"/>
      <c r="F307" s="594"/>
    </row>
    <row r="308" customFormat="false" ht="18.75" hidden="false" customHeight="true" outlineLevel="0" collapsed="false">
      <c r="B308" s="597"/>
      <c r="C308" s="597"/>
      <c r="D308" s="594"/>
      <c r="E308" s="594"/>
      <c r="F308" s="594"/>
    </row>
    <row r="309" customFormat="false" ht="18.75" hidden="false" customHeight="true" outlineLevel="0" collapsed="false">
      <c r="B309" s="598"/>
      <c r="C309" s="598"/>
      <c r="D309" s="594"/>
      <c r="E309" s="594"/>
      <c r="F309" s="594"/>
    </row>
    <row r="310" customFormat="false" ht="18.75" hidden="false" customHeight="true" outlineLevel="0" collapsed="false">
      <c r="B310" s="578"/>
      <c r="C310" s="578"/>
      <c r="D310" s="594"/>
      <c r="E310" s="594"/>
      <c r="F310" s="594"/>
    </row>
    <row r="311" customFormat="false" ht="18.75" hidden="false" customHeight="true" outlineLevel="0" collapsed="false">
      <c r="B311" s="578"/>
      <c r="C311" s="578"/>
      <c r="D311" s="594"/>
      <c r="E311" s="594"/>
      <c r="F311" s="594"/>
    </row>
    <row r="312" customFormat="false" ht="18.75" hidden="false" customHeight="true" outlineLevel="0" collapsed="false">
      <c r="B312" s="578"/>
      <c r="C312" s="578"/>
      <c r="D312" s="594"/>
      <c r="E312" s="594"/>
      <c r="F312" s="594"/>
    </row>
    <row r="313" customFormat="false" ht="18.75" hidden="false" customHeight="true" outlineLevel="0" collapsed="false">
      <c r="B313" s="578"/>
      <c r="C313" s="578"/>
      <c r="D313" s="594"/>
      <c r="E313" s="594"/>
      <c r="F313" s="594"/>
    </row>
    <row r="314" customFormat="false" ht="18.75" hidden="false" customHeight="true" outlineLevel="0" collapsed="false">
      <c r="B314" s="578"/>
      <c r="C314" s="578"/>
      <c r="D314" s="594"/>
      <c r="E314" s="594"/>
      <c r="F314" s="594"/>
    </row>
    <row r="315" customFormat="false" ht="18.75" hidden="false" customHeight="true" outlineLevel="0" collapsed="false">
      <c r="B315" s="597"/>
      <c r="C315" s="597"/>
      <c r="D315" s="594"/>
      <c r="E315" s="594"/>
      <c r="F315" s="594"/>
    </row>
    <row r="316" customFormat="false" ht="18.75" hidden="false" customHeight="true" outlineLevel="0" collapsed="false">
      <c r="B316" s="598"/>
      <c r="C316" s="598"/>
      <c r="D316" s="594"/>
      <c r="E316" s="594"/>
      <c r="F316" s="594"/>
    </row>
    <row r="317" customFormat="false" ht="18.75" hidden="false" customHeight="true" outlineLevel="0" collapsed="false">
      <c r="B317" s="578"/>
      <c r="C317" s="578"/>
      <c r="D317" s="594"/>
      <c r="E317" s="594"/>
      <c r="F317" s="594"/>
    </row>
    <row r="318" customFormat="false" ht="18.75" hidden="false" customHeight="true" outlineLevel="0" collapsed="false">
      <c r="B318" s="599"/>
      <c r="C318" s="599"/>
      <c r="D318" s="594"/>
      <c r="E318" s="594"/>
      <c r="F318" s="594"/>
    </row>
    <row r="319" customFormat="false" ht="18.75" hidden="false" customHeight="true" outlineLevel="0" collapsed="false">
      <c r="B319" s="578"/>
      <c r="C319" s="578"/>
      <c r="D319" s="594"/>
      <c r="E319" s="594"/>
      <c r="F319" s="594"/>
    </row>
    <row r="320" customFormat="false" ht="18.75" hidden="false" customHeight="true" outlineLevel="0" collapsed="false">
      <c r="B320" s="578"/>
      <c r="C320" s="578"/>
      <c r="D320" s="594"/>
      <c r="E320" s="594"/>
      <c r="F320" s="594"/>
    </row>
    <row r="321" customFormat="false" ht="18.75" hidden="false" customHeight="true" outlineLevel="0" collapsed="false">
      <c r="B321" s="578"/>
      <c r="C321" s="578"/>
      <c r="D321" s="594"/>
      <c r="E321" s="594"/>
      <c r="F321" s="594"/>
    </row>
    <row r="322" customFormat="false" ht="18.75" hidden="false" customHeight="true" outlineLevel="0" collapsed="false">
      <c r="B322" s="597"/>
      <c r="C322" s="597"/>
      <c r="D322" s="594"/>
      <c r="E322" s="594"/>
      <c r="F322" s="594"/>
    </row>
    <row r="323" customFormat="false" ht="18.75" hidden="false" customHeight="true" outlineLevel="0" collapsed="false">
      <c r="B323" s="598"/>
      <c r="C323" s="598"/>
      <c r="D323" s="594"/>
      <c r="E323" s="594"/>
      <c r="F323" s="594"/>
    </row>
    <row r="324" customFormat="false" ht="18.75" hidden="false" customHeight="true" outlineLevel="0" collapsed="false">
      <c r="B324" s="578"/>
      <c r="C324" s="578"/>
      <c r="D324" s="594"/>
      <c r="E324" s="594"/>
      <c r="F324" s="594"/>
    </row>
    <row r="325" customFormat="false" ht="18.75" hidden="false" customHeight="true" outlineLevel="0" collapsed="false">
      <c r="B325" s="578"/>
      <c r="C325" s="578"/>
      <c r="D325" s="594"/>
      <c r="E325" s="594"/>
      <c r="F325" s="594"/>
    </row>
    <row r="326" customFormat="false" ht="18.75" hidden="false" customHeight="true" outlineLevel="0" collapsed="false">
      <c r="B326" s="578"/>
      <c r="C326" s="578"/>
      <c r="D326" s="594"/>
      <c r="E326" s="594"/>
      <c r="F326" s="594"/>
    </row>
    <row r="327" customFormat="false" ht="18.75" hidden="false" customHeight="true" outlineLevel="0" collapsed="false">
      <c r="B327" s="578"/>
      <c r="C327" s="578"/>
      <c r="D327" s="594"/>
      <c r="E327" s="594"/>
      <c r="F327" s="594"/>
    </row>
    <row r="328" customFormat="false" ht="18.75" hidden="false" customHeight="true" outlineLevel="0" collapsed="false">
      <c r="B328" s="578"/>
      <c r="C328" s="578"/>
      <c r="D328" s="594"/>
      <c r="E328" s="594"/>
      <c r="F328" s="594"/>
    </row>
    <row r="329" customFormat="false" ht="18.75" hidden="false" customHeight="true" outlineLevel="0" collapsed="false">
      <c r="B329" s="597"/>
      <c r="C329" s="597"/>
      <c r="D329" s="594"/>
      <c r="E329" s="594"/>
      <c r="F329" s="594"/>
    </row>
    <row r="330" customFormat="false" ht="18.75" hidden="false" customHeight="true" outlineLevel="0" collapsed="false">
      <c r="B330" s="598"/>
      <c r="C330" s="598"/>
      <c r="D330" s="594"/>
      <c r="E330" s="594"/>
      <c r="F330" s="594"/>
    </row>
    <row r="331" customFormat="false" ht="18.75" hidden="false" customHeight="true" outlineLevel="0" collapsed="false">
      <c r="B331" s="578"/>
      <c r="C331" s="578"/>
      <c r="D331" s="594"/>
      <c r="E331" s="594"/>
      <c r="F331" s="594"/>
    </row>
    <row r="332" customFormat="false" ht="18.75" hidden="false" customHeight="true" outlineLevel="0" collapsed="false">
      <c r="B332" s="578"/>
      <c r="C332" s="578"/>
      <c r="D332" s="594"/>
      <c r="E332" s="594"/>
      <c r="F332" s="594"/>
    </row>
    <row r="333" customFormat="false" ht="18.75" hidden="false" customHeight="true" outlineLevel="0" collapsed="false">
      <c r="B333" s="578"/>
      <c r="C333" s="578"/>
      <c r="D333" s="594"/>
      <c r="E333" s="594"/>
      <c r="F333" s="594"/>
    </row>
    <row r="334" customFormat="false" ht="18.75" hidden="false" customHeight="true" outlineLevel="0" collapsed="false">
      <c r="B334" s="578"/>
      <c r="C334" s="578"/>
      <c r="D334" s="594"/>
      <c r="E334" s="594"/>
      <c r="F334" s="594"/>
    </row>
    <row r="335" customFormat="false" ht="18.75" hidden="false" customHeight="true" outlineLevel="0" collapsed="false">
      <c r="B335" s="578"/>
      <c r="C335" s="578"/>
      <c r="D335" s="594"/>
      <c r="E335" s="594"/>
      <c r="F335" s="594"/>
    </row>
    <row r="336" customFormat="false" ht="18.75" hidden="false" customHeight="true" outlineLevel="0" collapsed="false">
      <c r="B336" s="597"/>
      <c r="C336" s="597"/>
      <c r="D336" s="594"/>
      <c r="E336" s="594"/>
      <c r="F336" s="594"/>
    </row>
    <row r="337" customFormat="false" ht="18.75" hidden="false" customHeight="true" outlineLevel="0" collapsed="false">
      <c r="B337" s="598"/>
      <c r="C337" s="598"/>
      <c r="D337" s="594"/>
      <c r="E337" s="594"/>
      <c r="F337" s="594"/>
    </row>
  </sheetData>
  <mergeCells count="20">
    <mergeCell ref="D11:F11"/>
    <mergeCell ref="E30:F30"/>
    <mergeCell ref="D31:D34"/>
    <mergeCell ref="F31:F34"/>
    <mergeCell ref="E32:E34"/>
    <mergeCell ref="D38:D41"/>
    <mergeCell ref="E38:E41"/>
    <mergeCell ref="F38:F41"/>
    <mergeCell ref="D44:D45"/>
    <mergeCell ref="E44:E45"/>
    <mergeCell ref="F44:F45"/>
    <mergeCell ref="D46:F46"/>
    <mergeCell ref="D60:F62"/>
    <mergeCell ref="D65:F69"/>
    <mergeCell ref="D72:F74"/>
    <mergeCell ref="D76:F76"/>
    <mergeCell ref="D79:D82"/>
    <mergeCell ref="F79:F82"/>
    <mergeCell ref="D83:F83"/>
    <mergeCell ref="D86:E8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55"/>
  <sheetViews>
    <sheetView showFormulas="false" showGridLines="false" showRowColHeaders="true" showZeros="true" rightToLeft="false" tabSelected="false" showOutlineSymbols="true" defaultGridColor="true" view="normal" topLeftCell="A1" colorId="64" zoomScale="50" zoomScaleNormal="50" zoomScalePageLayoutView="100" workbookViewId="0">
      <selection pane="topLeft" activeCell="AB47" activeCellId="0" sqref="AB47"/>
    </sheetView>
  </sheetViews>
  <sheetFormatPr defaultColWidth="8.5390625" defaultRowHeight="18" zeroHeight="false" outlineLevelRow="0" outlineLevelCol="0"/>
  <sheetData>
    <row r="1" customFormat="false" ht="18" hidden="false" customHeight="true" outlineLevel="0" collapsed="false">
      <c r="A1" s="601" t="s">
        <v>903</v>
      </c>
    </row>
    <row r="2" customFormat="false" ht="18" hidden="false" customHeight="true" outlineLevel="0" collapsed="false">
      <c r="B2" s="602" t="s">
        <v>904</v>
      </c>
      <c r="C2" s="602" t="s">
        <v>905</v>
      </c>
      <c r="D2" s="602" t="s">
        <v>886</v>
      </c>
      <c r="E2" s="602" t="s">
        <v>906</v>
      </c>
      <c r="S2" s="602" t="s">
        <v>904</v>
      </c>
      <c r="T2" s="602" t="s">
        <v>905</v>
      </c>
    </row>
    <row r="3" customFormat="false" ht="18" hidden="false" customHeight="true" outlineLevel="0" collapsed="false">
      <c r="B3" s="2" t="s">
        <v>907</v>
      </c>
      <c r="C3" s="602" t="n">
        <v>50</v>
      </c>
      <c r="D3" s="602" t="n">
        <v>10</v>
      </c>
      <c r="E3" s="602" t="n">
        <v>20</v>
      </c>
      <c r="S3" s="2" t="s">
        <v>907</v>
      </c>
      <c r="T3" s="602" t="n">
        <v>50</v>
      </c>
    </row>
    <row r="4" customFormat="false" ht="18" hidden="false" customHeight="true" outlineLevel="0" collapsed="false">
      <c r="B4" s="2" t="s">
        <v>908</v>
      </c>
      <c r="C4" s="602" t="n">
        <v>55</v>
      </c>
      <c r="D4" s="602" t="n">
        <v>25</v>
      </c>
      <c r="E4" s="602" t="n">
        <v>22</v>
      </c>
      <c r="S4" s="2" t="s">
        <v>908</v>
      </c>
      <c r="T4" s="602" t="n">
        <v>55</v>
      </c>
    </row>
    <row r="5" customFormat="false" ht="18" hidden="false" customHeight="true" outlineLevel="0" collapsed="false">
      <c r="B5" s="2" t="s">
        <v>909</v>
      </c>
      <c r="C5" s="602" t="n">
        <v>52</v>
      </c>
      <c r="D5" s="602" t="n">
        <v>45</v>
      </c>
      <c r="E5" s="602" t="n">
        <v>25</v>
      </c>
      <c r="S5" s="2" t="s">
        <v>909</v>
      </c>
      <c r="T5" s="602" t="n">
        <v>52</v>
      </c>
    </row>
    <row r="6" customFormat="false" ht="18" hidden="false" customHeight="true" outlineLevel="0" collapsed="false">
      <c r="B6" s="2" t="s">
        <v>910</v>
      </c>
      <c r="C6" s="602" t="n">
        <v>50</v>
      </c>
      <c r="D6" s="602" t="n">
        <v>70</v>
      </c>
      <c r="E6" s="602" t="n">
        <v>25</v>
      </c>
      <c r="S6" s="2" t="s">
        <v>910</v>
      </c>
      <c r="T6" s="602" t="n">
        <v>80</v>
      </c>
    </row>
    <row r="16" customFormat="false" ht="18" hidden="false" customHeight="true" outlineLevel="0" collapsed="false">
      <c r="AF16" s="2" t="s">
        <v>911</v>
      </c>
    </row>
    <row r="18" customFormat="false" ht="18" hidden="false" customHeight="true" outlineLevel="0" collapsed="false">
      <c r="B18" s="602" t="s">
        <v>904</v>
      </c>
      <c r="C18" s="602" t="s">
        <v>905</v>
      </c>
      <c r="D18" s="602" t="s">
        <v>886</v>
      </c>
      <c r="E18" s="602" t="s">
        <v>906</v>
      </c>
    </row>
    <row r="19" customFormat="false" ht="18" hidden="false" customHeight="true" outlineLevel="0" collapsed="false">
      <c r="B19" s="602" t="s">
        <v>912</v>
      </c>
      <c r="C19" s="602" t="n">
        <v>100</v>
      </c>
      <c r="D19" s="602" t="n">
        <v>100</v>
      </c>
      <c r="E19" s="602" t="n">
        <v>100</v>
      </c>
      <c r="S19" s="602" t="s">
        <v>904</v>
      </c>
      <c r="T19" s="602" t="s">
        <v>905</v>
      </c>
    </row>
    <row r="20" customFormat="false" ht="18" hidden="false" customHeight="true" outlineLevel="0" collapsed="false">
      <c r="B20" s="602" t="s">
        <v>913</v>
      </c>
      <c r="C20" s="602" t="n">
        <v>105</v>
      </c>
      <c r="D20" s="602" t="n">
        <v>90</v>
      </c>
      <c r="E20" s="602" t="n">
        <v>110</v>
      </c>
      <c r="S20" s="2" t="s">
        <v>907</v>
      </c>
      <c r="T20" s="602" t="n">
        <v>50</v>
      </c>
    </row>
    <row r="21" customFormat="false" ht="18" hidden="false" customHeight="true" outlineLevel="0" collapsed="false">
      <c r="B21" s="602" t="s">
        <v>914</v>
      </c>
      <c r="C21" s="602" t="n">
        <v>110</v>
      </c>
      <c r="D21" s="602" t="n">
        <v>75</v>
      </c>
      <c r="E21" s="602" t="n">
        <v>90</v>
      </c>
      <c r="S21" s="2" t="s">
        <v>908</v>
      </c>
      <c r="T21" s="602" t="n">
        <v>55</v>
      </c>
    </row>
    <row r="22" customFormat="false" ht="18" hidden="false" customHeight="true" outlineLevel="0" collapsed="false">
      <c r="B22" s="602" t="s">
        <v>915</v>
      </c>
      <c r="C22" s="602" t="n">
        <v>115</v>
      </c>
      <c r="D22" s="602" t="n">
        <v>60</v>
      </c>
      <c r="E22" s="602" t="n">
        <v>80</v>
      </c>
      <c r="S22" s="2" t="s">
        <v>909</v>
      </c>
      <c r="T22" s="602" t="n">
        <v>52</v>
      </c>
    </row>
    <row r="23" customFormat="false" ht="18" hidden="false" customHeight="true" outlineLevel="0" collapsed="false">
      <c r="B23" s="602" t="s">
        <v>916</v>
      </c>
      <c r="C23" s="602" t="n">
        <v>120</v>
      </c>
      <c r="D23" s="602" t="n">
        <v>55</v>
      </c>
      <c r="E23" s="602" t="n">
        <v>45</v>
      </c>
      <c r="S23" s="2" t="s">
        <v>910</v>
      </c>
      <c r="T23" s="602" t="n">
        <v>80</v>
      </c>
    </row>
    <row r="33" customFormat="false" ht="18" hidden="false" customHeight="true" outlineLevel="0" collapsed="false">
      <c r="B33" s="602" t="s">
        <v>904</v>
      </c>
      <c r="C33" s="2" t="s">
        <v>917</v>
      </c>
    </row>
    <row r="34" customFormat="false" ht="18" hidden="false" customHeight="true" outlineLevel="0" collapsed="false">
      <c r="B34" s="602" t="s">
        <v>905</v>
      </c>
      <c r="C34" s="602" t="n">
        <v>60</v>
      </c>
    </row>
    <row r="35" customFormat="false" ht="18" hidden="false" customHeight="true" outlineLevel="0" collapsed="false">
      <c r="B35" s="602" t="s">
        <v>886</v>
      </c>
      <c r="C35" s="602" t="n">
        <v>20</v>
      </c>
    </row>
    <row r="36" customFormat="false" ht="18" hidden="false" customHeight="true" outlineLevel="0" collapsed="false">
      <c r="B36" s="602" t="s">
        <v>906</v>
      </c>
      <c r="C36" s="602" t="n">
        <v>15</v>
      </c>
    </row>
    <row r="37" customFormat="false" ht="18" hidden="false" customHeight="true" outlineLevel="0" collapsed="false">
      <c r="B37" s="602" t="s">
        <v>918</v>
      </c>
      <c r="C37" s="602" t="n">
        <v>5</v>
      </c>
    </row>
    <row r="51" customFormat="false" ht="18" hidden="false" customHeight="true" outlineLevel="0" collapsed="false">
      <c r="B51" s="602" t="s">
        <v>904</v>
      </c>
      <c r="C51" s="602" t="s">
        <v>919</v>
      </c>
      <c r="D51" s="602" t="s">
        <v>920</v>
      </c>
      <c r="E51" s="602" t="s">
        <v>921</v>
      </c>
    </row>
    <row r="52" customFormat="false" ht="18" hidden="false" customHeight="true" outlineLevel="0" collapsed="false">
      <c r="B52" s="602" t="s">
        <v>918</v>
      </c>
      <c r="C52" s="602" t="n">
        <v>4.3</v>
      </c>
      <c r="D52" s="602" t="n">
        <v>2.4</v>
      </c>
      <c r="E52" s="602" t="n">
        <v>2</v>
      </c>
    </row>
    <row r="53" customFormat="false" ht="18" hidden="false" customHeight="true" outlineLevel="0" collapsed="false">
      <c r="B53" s="602" t="s">
        <v>906</v>
      </c>
      <c r="C53" s="602" t="n">
        <v>2.5</v>
      </c>
      <c r="D53" s="602" t="n">
        <v>4.4</v>
      </c>
      <c r="E53" s="602" t="n">
        <v>2</v>
      </c>
    </row>
    <row r="54" customFormat="false" ht="18" hidden="false" customHeight="true" outlineLevel="0" collapsed="false">
      <c r="B54" s="602" t="s">
        <v>886</v>
      </c>
      <c r="C54" s="602" t="n">
        <v>3.5</v>
      </c>
      <c r="D54" s="602" t="n">
        <v>1.8</v>
      </c>
      <c r="E54" s="602" t="n">
        <v>3</v>
      </c>
    </row>
    <row r="55" customFormat="false" ht="18" hidden="false" customHeight="true" outlineLevel="0" collapsed="false">
      <c r="B55" s="602" t="s">
        <v>905</v>
      </c>
      <c r="C55" s="602" t="n">
        <v>4.5</v>
      </c>
      <c r="D55" s="602" t="n">
        <v>2.8</v>
      </c>
      <c r="E55" s="602" t="n">
        <v>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36"/>
  <sheetViews>
    <sheetView showFormulas="false" showGridLines="false" showRowColHeaders="true" showZeros="true" rightToLeft="false" tabSelected="false" showOutlineSymbols="true" defaultGridColor="true" view="normal" topLeftCell="A1" colorId="64" zoomScale="115" zoomScaleNormal="115" zoomScalePageLayoutView="100" workbookViewId="0">
      <selection pane="topLeft" activeCell="B2" activeCellId="0" sqref="B2"/>
    </sheetView>
  </sheetViews>
  <sheetFormatPr defaultColWidth="8.5390625" defaultRowHeight="18" zeroHeight="false" outlineLevelRow="0" outlineLevelCol="0"/>
  <cols>
    <col collapsed="false" customWidth="true" hidden="false" outlineLevel="0" max="5" min="2" style="20" width="16.13"/>
    <col collapsed="false" customWidth="true" hidden="false" outlineLevel="0" max="6" min="6" style="20" width="55.5"/>
  </cols>
  <sheetData>
    <row r="2" customFormat="false" ht="19.5" hidden="false" customHeight="true" outlineLevel="0" collapsed="false">
      <c r="B2" s="603" t="s">
        <v>922</v>
      </c>
      <c r="C2" s="179"/>
      <c r="D2" s="179"/>
      <c r="E2" s="179"/>
      <c r="F2" s="180"/>
    </row>
    <row r="3" customFormat="false" ht="22.5" hidden="false" customHeight="true" outlineLevel="0" collapsed="false">
      <c r="B3" s="320"/>
      <c r="C3" s="540"/>
      <c r="D3" s="540"/>
      <c r="E3" s="540"/>
      <c r="F3" s="486"/>
    </row>
    <row r="4" customFormat="false" ht="22.5" hidden="false" customHeight="true" outlineLevel="0" collapsed="false">
      <c r="B4" s="150"/>
      <c r="C4" s="455"/>
      <c r="D4" s="455"/>
      <c r="E4" s="542"/>
      <c r="F4" s="490"/>
    </row>
    <row r="5" customFormat="false" ht="22.5" hidden="false" customHeight="true" outlineLevel="0" collapsed="false">
      <c r="B5" s="150"/>
      <c r="C5" s="455"/>
      <c r="D5" s="455"/>
      <c r="E5" s="542"/>
      <c r="F5" s="493"/>
    </row>
    <row r="6" customFormat="false" ht="22.5" hidden="false" customHeight="true" outlineLevel="0" collapsed="false">
      <c r="B6" s="150"/>
      <c r="C6" s="455"/>
      <c r="D6" s="455"/>
      <c r="E6" s="542"/>
      <c r="F6" s="493"/>
    </row>
    <row r="7" customFormat="false" ht="22.5" hidden="false" customHeight="true" outlineLevel="0" collapsed="false">
      <c r="B7" s="150"/>
      <c r="C7" s="455"/>
      <c r="D7" s="455"/>
      <c r="E7" s="542"/>
      <c r="F7" s="493"/>
    </row>
    <row r="8" customFormat="false" ht="22.5" hidden="false" customHeight="true" outlineLevel="0" collapsed="false">
      <c r="B8" s="150"/>
      <c r="C8" s="455"/>
      <c r="D8" s="455"/>
      <c r="E8" s="542"/>
      <c r="F8" s="493"/>
    </row>
    <row r="11" customFormat="false" ht="19.5" hidden="false" customHeight="true" outlineLevel="0" collapsed="false">
      <c r="B11" s="61"/>
      <c r="C11" s="179"/>
      <c r="D11" s="179"/>
      <c r="E11" s="179"/>
      <c r="F11" s="180"/>
    </row>
    <row r="12" customFormat="false" ht="19.5" hidden="false" customHeight="true" outlineLevel="0" collapsed="false">
      <c r="B12" s="604"/>
      <c r="C12" s="605"/>
      <c r="D12" s="605"/>
      <c r="E12" s="606"/>
      <c r="F12" s="607"/>
    </row>
    <row r="13" customFormat="false" ht="19.5" hidden="false" customHeight="true" outlineLevel="0" collapsed="false">
      <c r="B13" s="604"/>
      <c r="C13" s="455"/>
      <c r="D13" s="455"/>
      <c r="E13" s="608"/>
      <c r="F13" s="490"/>
    </row>
    <row r="14" customFormat="false" ht="19.5" hidden="false" customHeight="true" outlineLevel="0" collapsed="false">
      <c r="B14" s="609"/>
      <c r="C14" s="610"/>
      <c r="D14" s="610"/>
      <c r="E14" s="610"/>
      <c r="F14" s="611"/>
    </row>
    <row r="15" customFormat="false" ht="19.5" hidden="false" customHeight="true" outlineLevel="0" collapsed="false">
      <c r="B15" s="609"/>
      <c r="C15" s="455"/>
      <c r="D15" s="455"/>
      <c r="E15" s="455"/>
      <c r="F15" s="493"/>
    </row>
    <row r="16" customFormat="false" ht="19.5" hidden="false" customHeight="true" outlineLevel="0" collapsed="false">
      <c r="B16" s="609"/>
      <c r="C16" s="610"/>
      <c r="D16" s="610"/>
      <c r="E16" s="610"/>
      <c r="F16" s="611"/>
    </row>
    <row r="17" customFormat="false" ht="19.5" hidden="false" customHeight="true" outlineLevel="0" collapsed="false">
      <c r="B17" s="609"/>
      <c r="C17" s="455"/>
      <c r="D17" s="455"/>
      <c r="E17" s="455"/>
      <c r="F17" s="493"/>
    </row>
    <row r="20" customFormat="false" ht="19.5" hidden="false" customHeight="true" outlineLevel="0" collapsed="false">
      <c r="B20" s="61"/>
      <c r="C20" s="179"/>
      <c r="D20" s="612"/>
      <c r="E20" s="179"/>
    </row>
    <row r="21" customFormat="false" ht="18" hidden="false" customHeight="true" outlineLevel="0" collapsed="false">
      <c r="B21" s="604"/>
      <c r="C21" s="613"/>
      <c r="D21" s="614"/>
      <c r="E21" s="615"/>
    </row>
    <row r="22" customFormat="false" ht="18" hidden="false" customHeight="true" outlineLevel="0" collapsed="false">
      <c r="B22" s="604"/>
      <c r="C22" s="616"/>
      <c r="D22" s="617"/>
      <c r="E22" s="618"/>
    </row>
    <row r="23" customFormat="false" ht="18" hidden="false" customHeight="true" outlineLevel="0" collapsed="false">
      <c r="B23" s="609"/>
      <c r="C23" s="619"/>
      <c r="D23" s="620"/>
      <c r="E23" s="621"/>
    </row>
    <row r="24" customFormat="false" ht="18" hidden="false" customHeight="true" outlineLevel="0" collapsed="false">
      <c r="B24" s="609"/>
      <c r="C24" s="622"/>
      <c r="D24" s="623"/>
      <c r="E24" s="624"/>
    </row>
    <row r="25" customFormat="false" ht="18" hidden="false" customHeight="true" outlineLevel="0" collapsed="false">
      <c r="B25" s="609"/>
      <c r="C25" s="625"/>
      <c r="D25" s="626"/>
      <c r="E25" s="627"/>
    </row>
    <row r="26" customFormat="false" ht="18.75" hidden="false" customHeight="true" outlineLevel="0" collapsed="false">
      <c r="B26" s="609"/>
      <c r="C26" s="616"/>
      <c r="D26" s="628"/>
      <c r="E26" s="624"/>
    </row>
    <row r="27" customFormat="false" ht="18.75" hidden="false" customHeight="true" outlineLevel="0" collapsed="false">
      <c r="D27" s="629"/>
    </row>
    <row r="29" customFormat="false" ht="19.5" hidden="false" customHeight="true" outlineLevel="0" collapsed="false">
      <c r="B29" s="61"/>
      <c r="C29" s="179"/>
      <c r="D29" s="179"/>
      <c r="E29" s="179"/>
    </row>
    <row r="30" customFormat="false" ht="18" hidden="false" customHeight="true" outlineLevel="0" collapsed="false">
      <c r="B30" s="604"/>
      <c r="C30" s="605"/>
      <c r="D30" s="605"/>
      <c r="E30" s="606"/>
    </row>
    <row r="31" customFormat="false" ht="18" hidden="false" customHeight="true" outlineLevel="0" collapsed="false">
      <c r="B31" s="604"/>
      <c r="C31" s="455"/>
      <c r="D31" s="455"/>
      <c r="E31" s="608"/>
    </row>
    <row r="32" customFormat="false" ht="18" hidden="false" customHeight="true" outlineLevel="0" collapsed="false">
      <c r="B32" s="630"/>
      <c r="C32" s="610"/>
      <c r="D32" s="610"/>
      <c r="E32" s="610"/>
    </row>
    <row r="33" customFormat="false" ht="18.75" hidden="false" customHeight="true" outlineLevel="0" collapsed="false">
      <c r="B33" s="630"/>
      <c r="C33" s="631"/>
      <c r="D33" s="631"/>
      <c r="E33" s="631"/>
    </row>
    <row r="34" customFormat="false" ht="18.75" hidden="false" customHeight="true" outlineLevel="0" collapsed="false">
      <c r="B34" s="632"/>
      <c r="C34" s="633"/>
      <c r="D34" s="633"/>
      <c r="E34" s="634"/>
      <c r="F34" s="635"/>
    </row>
    <row r="35" customFormat="false" ht="18.75" hidden="false" customHeight="true" outlineLevel="0" collapsed="false">
      <c r="B35" s="632"/>
      <c r="C35" s="636"/>
      <c r="D35" s="636"/>
      <c r="E35" s="637"/>
      <c r="F35" s="635"/>
    </row>
    <row r="36" customFormat="false" ht="18.75" hidden="false" customHeight="true" outlineLevel="0" collapsed="false">
      <c r="B36" s="629"/>
      <c r="C36" s="629"/>
      <c r="D36" s="629"/>
      <c r="E36" s="629"/>
    </row>
  </sheetData>
  <mergeCells count="9">
    <mergeCell ref="B12:B13"/>
    <mergeCell ref="B14:B15"/>
    <mergeCell ref="B16:B17"/>
    <mergeCell ref="B21:B22"/>
    <mergeCell ref="B23:B24"/>
    <mergeCell ref="B25:B26"/>
    <mergeCell ref="B30:B31"/>
    <mergeCell ref="B32:B33"/>
    <mergeCell ref="B34:B3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2026-01-09T01:04:21Z</dcterms:created>
  <dc:creator>直子 渡辺</dc:creator>
  <dc:description/>
  <dc:language>en-US</dc:language>
  <cp:lastModifiedBy/>
  <dcterms:modified xsi:type="dcterms:W3CDTF">2026-10-23T05:54:06Z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