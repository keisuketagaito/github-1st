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事業利益ブリッジ" sheetId="1" state="visible" r:id="rId3"/>
    <sheet name="②共通部門の内訳" sheetId="2" state="visible" r:id="rId4"/>
    <sheet name="③修正額の内訳" sheetId="3" state="visible" r:id="rId5"/>
    <sheet name="④決算書との突合" sheetId="4" state="visible" r:id="rId6"/>
    <sheet name="⑤留意事項"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<sst xmlns="http://schemas.openxmlformats.org/spreadsheetml/2006/main" count="226" uniqueCount="164">
  <si>
    <r>
      <rPr>
        <b val="true"/>
        <sz val="14"/>
        <color rgb="FF1E2761"/>
        <rFont val="WenQuanYi Zen Hei"/>
        <family val="2"/>
      </rPr>
      <t xml:space="preserve">決算書 営業利益 → 概要書 事業利益 ブリッジ（</t>
    </r>
    <r>
      <rPr>
        <b val="true"/>
        <sz val="14"/>
        <color rgb="FF1E2761"/>
        <rFont val="Arial"/>
        <family val="0"/>
        <charset val="1"/>
      </rPr>
      <t xml:space="preserve">2025</t>
    </r>
    <r>
      <rPr>
        <b val="true"/>
        <sz val="14"/>
        <color rgb="FF1E2761"/>
        <rFont val="WenQuanYi Zen Hei"/>
        <family val="2"/>
      </rPr>
      <t xml:space="preserve">年</t>
    </r>
    <r>
      <rPr>
        <b val="true"/>
        <sz val="14"/>
        <color rgb="FF1E2761"/>
        <rFont val="Arial"/>
        <family val="0"/>
        <charset val="1"/>
      </rPr>
      <t xml:space="preserve">7</t>
    </r>
    <r>
      <rPr>
        <b val="true"/>
        <sz val="14"/>
        <color rgb="FF1E2761"/>
        <rFont val="WenQuanYi Zen Hei"/>
        <family val="2"/>
      </rPr>
      <t xml:space="preserve">月期・第</t>
    </r>
    <r>
      <rPr>
        <b val="true"/>
        <sz val="14"/>
        <color rgb="FF1E2761"/>
        <rFont val="Arial"/>
        <family val="0"/>
        <charset val="1"/>
      </rPr>
      <t xml:space="preserve">55</t>
    </r>
    <r>
      <rPr>
        <b val="true"/>
        <sz val="14"/>
        <color rgb="FF1E2761"/>
        <rFont val="WenQuanYi Zen Hei"/>
        <family val="2"/>
      </rPr>
      <t xml:space="preserve">期）</t>
    </r>
  </si>
  <si>
    <r>
      <rPr>
        <i val="true"/>
        <sz val="9"/>
        <color rgb="FF555555"/>
        <rFont val="WenQuanYi Zen Hei"/>
        <family val="2"/>
      </rPr>
      <t xml:space="preserve">決算書の営業利益△</t>
    </r>
    <r>
      <rPr>
        <i val="true"/>
        <sz val="9"/>
        <color rgb="FF555555"/>
        <rFont val="Arial"/>
        <family val="0"/>
        <charset val="1"/>
      </rPr>
      <t xml:space="preserve">40,128</t>
    </r>
    <r>
      <rPr>
        <i val="true"/>
        <sz val="9"/>
        <color rgb="FF555555"/>
        <rFont val="WenQuanYi Zen Hei"/>
        <family val="2"/>
      </rPr>
      <t xml:space="preserve">千円と、概要書</t>
    </r>
    <r>
      <rPr>
        <i val="true"/>
        <sz val="9"/>
        <color rgb="FF555555"/>
        <rFont val="Arial"/>
        <family val="0"/>
        <charset val="1"/>
      </rPr>
      <t xml:space="preserve">p.8</t>
    </r>
    <r>
      <rPr>
        <i val="true"/>
        <sz val="9"/>
        <color rgb="FF555555"/>
        <rFont val="WenQuanYi Zen Hei"/>
        <family val="2"/>
      </rPr>
      <t xml:space="preserve">の事業利益</t>
    </r>
    <r>
      <rPr>
        <i val="true"/>
        <sz val="9"/>
        <color rgb="FF555555"/>
        <rFont val="Arial"/>
        <family val="0"/>
        <charset val="1"/>
      </rPr>
      <t xml:space="preserve">33,523</t>
    </r>
    <r>
      <rPr>
        <i val="true"/>
        <sz val="9"/>
        <color rgb="FF555555"/>
        <rFont val="WenQuanYi Zen Hei"/>
        <family val="2"/>
      </rPr>
      <t xml:space="preserve">千円の差異要因</t>
    </r>
  </si>
  <si>
    <r>
      <rPr>
        <b val="true"/>
        <sz val="11"/>
        <rFont val="WenQuanYi Zen Hei"/>
        <family val="2"/>
      </rPr>
      <t xml:space="preserve">【</t>
    </r>
    <r>
      <rPr>
        <b val="true"/>
        <sz val="11"/>
        <rFont val="Arial"/>
        <family val="0"/>
        <charset val="1"/>
      </rPr>
      <t xml:space="preserve">A</t>
    </r>
    <r>
      <rPr>
        <b val="true"/>
        <sz val="11"/>
        <rFont val="WenQuanYi Zen Hei"/>
        <family val="2"/>
      </rPr>
      <t xml:space="preserve">】ご質問の要旨</t>
    </r>
  </si>
  <si>
    <r>
      <rPr>
        <sz val="10"/>
        <rFont val="WenQuanYi Zen Hei"/>
        <family val="2"/>
      </rPr>
      <t xml:space="preserve">・決算書（概要書</t>
    </r>
    <r>
      <rPr>
        <sz val="10"/>
        <rFont val="Arial"/>
        <family val="0"/>
        <charset val="1"/>
      </rPr>
      <t xml:space="preserve">p.36</t>
    </r>
    <r>
      <rPr>
        <sz val="10"/>
        <rFont val="WenQuanYi Zen Hei"/>
        <family val="2"/>
      </rPr>
      <t xml:space="preserve">）の</t>
    </r>
    <r>
      <rPr>
        <sz val="10"/>
        <rFont val="Arial"/>
        <family val="0"/>
        <charset val="1"/>
      </rPr>
      <t xml:space="preserve">2025</t>
    </r>
    <r>
      <rPr>
        <sz val="10"/>
        <rFont val="WenQuanYi Zen Hei"/>
        <family val="2"/>
      </rPr>
      <t xml:space="preserve">年</t>
    </r>
    <r>
      <rPr>
        <sz val="10"/>
        <rFont val="Arial"/>
        <family val="0"/>
        <charset val="1"/>
      </rPr>
      <t xml:space="preserve">7</t>
    </r>
    <r>
      <rPr>
        <sz val="10"/>
        <rFont val="WenQuanYi Zen Hei"/>
        <family val="2"/>
      </rPr>
      <t xml:space="preserve">月期 営業利益は △</t>
    </r>
    <r>
      <rPr>
        <sz val="10"/>
        <rFont val="Arial"/>
        <family val="0"/>
        <charset val="1"/>
      </rPr>
      <t xml:space="preserve">40,128</t>
    </r>
    <r>
      <rPr>
        <sz val="10"/>
        <rFont val="WenQuanYi Zen Hei"/>
        <family val="2"/>
      </rPr>
      <t xml:space="preserve">千円。</t>
    </r>
  </si>
  <si>
    <r>
      <rPr>
        <sz val="10"/>
        <rFont val="WenQuanYi Zen Hei"/>
        <family val="2"/>
      </rPr>
      <t xml:space="preserve">・一方、概要書</t>
    </r>
    <r>
      <rPr>
        <sz val="10"/>
        <rFont val="Arial"/>
        <family val="0"/>
        <charset val="1"/>
      </rPr>
      <t xml:space="preserve">p.8</t>
    </r>
    <r>
      <rPr>
        <sz val="10"/>
        <rFont val="WenQuanYi Zen Hei"/>
        <family val="2"/>
      </rPr>
      <t xml:space="preserve">の譲渡対象</t>
    </r>
    <r>
      <rPr>
        <sz val="10"/>
        <rFont val="Arial"/>
        <family val="0"/>
        <charset val="1"/>
      </rPr>
      <t xml:space="preserve">2</t>
    </r>
    <r>
      <rPr>
        <sz val="10"/>
        <rFont val="WenQuanYi Zen Hei"/>
        <family val="2"/>
      </rPr>
      <t xml:space="preserve">事業の事業利益は ＋</t>
    </r>
    <r>
      <rPr>
        <sz val="10"/>
        <rFont val="Arial"/>
        <family val="0"/>
        <charset val="1"/>
      </rPr>
      <t xml:space="preserve">33,523</t>
    </r>
    <r>
      <rPr>
        <sz val="10"/>
        <rFont val="WenQuanYi Zen Hei"/>
        <family val="2"/>
      </rPr>
      <t xml:space="preserve">千円。その差 </t>
    </r>
    <r>
      <rPr>
        <sz val="10"/>
        <rFont val="Arial"/>
        <family val="0"/>
        <charset val="1"/>
      </rPr>
      <t xml:space="preserve">73,651</t>
    </r>
    <r>
      <rPr>
        <sz val="10"/>
        <rFont val="WenQuanYi Zen Hei"/>
        <family val="2"/>
      </rPr>
      <t xml:space="preserve">千円 の内容についてのご照会。</t>
    </r>
  </si>
  <si>
    <r>
      <rPr>
        <b val="true"/>
        <sz val="11"/>
        <rFont val="WenQuanYi Zen Hei"/>
        <family val="2"/>
      </rPr>
      <t xml:space="preserve">【</t>
    </r>
    <r>
      <rPr>
        <b val="true"/>
        <sz val="11"/>
        <rFont val="Arial"/>
        <family val="0"/>
        <charset val="1"/>
      </rPr>
      <t xml:space="preserve">B</t>
    </r>
    <r>
      <rPr>
        <b val="true"/>
        <sz val="11"/>
        <rFont val="WenQuanYi Zen Hei"/>
        <family val="2"/>
      </rPr>
      <t xml:space="preserve">】差異の要因（</t>
    </r>
    <r>
      <rPr>
        <b val="true"/>
        <sz val="11"/>
        <rFont val="Arial"/>
        <family val="0"/>
        <charset val="1"/>
      </rPr>
      <t xml:space="preserve">2</t>
    </r>
    <r>
      <rPr>
        <b val="true"/>
        <sz val="11"/>
        <rFont val="WenQuanYi Zen Hei"/>
        <family val="2"/>
      </rPr>
      <t xml:space="preserve">要因）</t>
    </r>
  </si>
  <si>
    <t xml:space="preserve">要因</t>
  </si>
  <si>
    <r>
      <rPr>
        <b val="true"/>
        <sz val="10"/>
        <color rgb="FFFFFFFF"/>
        <rFont val="WenQuanYi Zen Hei"/>
        <family val="2"/>
      </rPr>
      <t xml:space="preserve">金額</t>
    </r>
    <r>
      <rPr>
        <b val="true"/>
        <sz val="10"/>
        <color rgb="FFFFFFFF"/>
        <rFont val="Arial"/>
        <family val="0"/>
        <charset val="1"/>
      </rPr>
      <t xml:space="preserve">(</t>
    </r>
    <r>
      <rPr>
        <b val="true"/>
        <sz val="10"/>
        <color rgb="FFFFFFFF"/>
        <rFont val="WenQuanYi Zen Hei"/>
        <family val="2"/>
      </rPr>
      <t xml:space="preserve">円</t>
    </r>
    <r>
      <rPr>
        <b val="true"/>
        <sz val="10"/>
        <color rgb="FFFFFFFF"/>
        <rFont val="Arial"/>
        <family val="0"/>
        <charset val="1"/>
      </rPr>
      <t xml:space="preserve">)</t>
    </r>
  </si>
  <si>
    <r>
      <rPr>
        <b val="true"/>
        <sz val="10"/>
        <color rgb="FFFFFFFF"/>
        <rFont val="WenQuanYi Zen Hei"/>
        <family val="2"/>
      </rPr>
      <t xml:space="preserve">金額</t>
    </r>
    <r>
      <rPr>
        <b val="true"/>
        <sz val="10"/>
        <color rgb="FFFFFFFF"/>
        <rFont val="Arial"/>
        <family val="0"/>
        <charset val="1"/>
      </rPr>
      <t xml:space="preserve">(</t>
    </r>
    <r>
      <rPr>
        <b val="true"/>
        <sz val="10"/>
        <color rgb="FFFFFFFF"/>
        <rFont val="WenQuanYi Zen Hei"/>
        <family val="2"/>
      </rPr>
      <t xml:space="preserve">千円</t>
    </r>
    <r>
      <rPr>
        <b val="true"/>
        <sz val="10"/>
        <color rgb="FFFFFFFF"/>
        <rFont val="Arial"/>
        <family val="0"/>
        <charset val="1"/>
      </rPr>
      <t xml:space="preserve">)</t>
    </r>
  </si>
  <si>
    <t xml:space="preserve">内容</t>
  </si>
  <si>
    <t xml:space="preserve">① 譲渡対象外の共通部門損益を除外（純額）</t>
  </si>
  <si>
    <r>
      <rPr>
        <sz val="10"/>
        <rFont val="WenQuanYi Zen Hei"/>
        <family val="2"/>
      </rPr>
      <t xml:space="preserve">本社管理部門・オーナー関連費用・不動産賃貸事業（譲渡対象外）に係る損益。決算書には含まれるが、譲渡対象</t>
    </r>
    <r>
      <rPr>
        <sz val="10"/>
        <rFont val="Arial"/>
        <family val="0"/>
        <charset val="1"/>
      </rPr>
      <t xml:space="preserve">2</t>
    </r>
    <r>
      <rPr>
        <sz val="10"/>
        <rFont val="WenQuanYi Zen Hei"/>
        <family val="2"/>
      </rPr>
      <t xml:space="preserve">事業には帰属しない。</t>
    </r>
  </si>
  <si>
    <t xml:space="preserve">② 譲渡後に発生しない費用の修正</t>
  </si>
  <si>
    <r>
      <rPr>
        <sz val="10"/>
        <rFont val="Arial"/>
        <family val="0"/>
        <charset val="1"/>
      </rPr>
      <t xml:space="preserve">(</t>
    </r>
    <r>
      <rPr>
        <sz val="10"/>
        <rFont val="WenQuanYi Zen Hei"/>
        <family val="2"/>
      </rPr>
      <t xml:space="preserve">株</t>
    </r>
    <r>
      <rPr>
        <sz val="10"/>
        <rFont val="Arial"/>
        <family val="0"/>
        <charset val="1"/>
      </rPr>
      <t xml:space="preserve">)Kuberu</t>
    </r>
    <r>
      <rPr>
        <sz val="10"/>
        <rFont val="WenQuanYi Zen Hei"/>
        <family val="2"/>
      </rPr>
      <t xml:space="preserve">社（前代表・原田様の資産管理会社）等への業務委託費、および一時的に嵩んだ</t>
    </r>
    <r>
      <rPr>
        <sz val="10"/>
        <rFont val="Arial"/>
        <family val="0"/>
        <charset val="1"/>
      </rPr>
      <t xml:space="preserve">Salesforce</t>
    </r>
    <r>
      <rPr>
        <sz val="10"/>
        <rFont val="WenQuanYi Zen Hei"/>
        <family val="2"/>
      </rPr>
      <t xml:space="preserve">ライセンス費用の正常化。</t>
    </r>
  </si>
  <si>
    <t xml:space="preserve">差異 合計</t>
  </si>
  <si>
    <r>
      <rPr>
        <b val="true"/>
        <sz val="11"/>
        <rFont val="WenQuanYi Zen Hei"/>
        <family val="2"/>
      </rPr>
      <t xml:space="preserve">【</t>
    </r>
    <r>
      <rPr>
        <b val="true"/>
        <sz val="11"/>
        <rFont val="Arial"/>
        <family val="0"/>
        <charset val="1"/>
      </rPr>
      <t xml:space="preserve">C</t>
    </r>
    <r>
      <rPr>
        <b val="true"/>
        <sz val="11"/>
        <rFont val="WenQuanYi Zen Hei"/>
        <family val="2"/>
      </rPr>
      <t xml:space="preserve">】段階式ブリッジ（利益への影響額ベース／各段階は縦計で一致）</t>
    </r>
  </si>
  <si>
    <t xml:space="preserve">区分</t>
  </si>
  <si>
    <t xml:space="preserve">出所・備考</t>
  </si>
  <si>
    <r>
      <rPr>
        <sz val="10"/>
        <rFont val="WenQuanYi Zen Hei"/>
        <family val="2"/>
      </rPr>
      <t xml:space="preserve">決算書 営業利益（</t>
    </r>
    <r>
      <rPr>
        <sz val="10"/>
        <rFont val="Arial"/>
        <family val="0"/>
        <charset val="1"/>
      </rPr>
      <t xml:space="preserve">2025</t>
    </r>
    <r>
      <rPr>
        <sz val="10"/>
        <rFont val="WenQuanYi Zen Hei"/>
        <family val="2"/>
      </rPr>
      <t xml:space="preserve">年</t>
    </r>
    <r>
      <rPr>
        <sz val="10"/>
        <rFont val="Arial"/>
        <family val="0"/>
        <charset val="1"/>
      </rPr>
      <t xml:space="preserve">7</t>
    </r>
    <r>
      <rPr>
        <sz val="10"/>
        <rFont val="WenQuanYi Zen Hei"/>
        <family val="2"/>
      </rPr>
      <t xml:space="preserve">月期）</t>
    </r>
  </si>
  <si>
    <r>
      <rPr>
        <sz val="10"/>
        <rFont val="WenQuanYi Zen Hei"/>
        <family val="2"/>
      </rPr>
      <t xml:space="preserve">概要書</t>
    </r>
    <r>
      <rPr>
        <sz val="10"/>
        <rFont val="Arial"/>
        <family val="0"/>
        <charset val="1"/>
      </rPr>
      <t xml:space="preserve">p.36 </t>
    </r>
    <r>
      <rPr>
        <sz val="10"/>
        <rFont val="WenQuanYi Zen Hei"/>
        <family val="2"/>
      </rPr>
      <t xml:space="preserve">損益計算書／部門別損益 全社合計と一致</t>
    </r>
  </si>
  <si>
    <t xml:space="preserve">＋</t>
  </si>
  <si>
    <t xml:space="preserve">共通部門 損益の除外（実績ベース）</t>
  </si>
  <si>
    <r>
      <rPr>
        <sz val="10"/>
        <rFont val="WenQuanYi Zen Hei"/>
        <family val="2"/>
      </rPr>
      <t xml:space="preserve">部門別損益タブ「</t>
    </r>
    <r>
      <rPr>
        <sz val="10"/>
        <rFont val="Arial"/>
        <family val="0"/>
        <charset val="1"/>
      </rPr>
      <t xml:space="preserve">202408-202507</t>
    </r>
    <r>
      <rPr>
        <sz val="10"/>
        <rFont val="WenQuanYi Zen Hei"/>
        <family val="2"/>
      </rPr>
      <t xml:space="preserve">」</t>
    </r>
    <r>
      <rPr>
        <sz val="10"/>
        <rFont val="Arial"/>
        <family val="0"/>
        <charset val="1"/>
      </rPr>
      <t xml:space="preserve">N44</t>
    </r>
    <r>
      <rPr>
        <sz val="10"/>
        <rFont val="WenQuanYi Zen Hei"/>
        <family val="2"/>
      </rPr>
      <t xml:space="preserve">の符号反転</t>
    </r>
  </si>
  <si>
    <r>
      <rPr>
        <b val="true"/>
        <sz val="10"/>
        <color rgb="FF1E2761"/>
        <rFont val="WenQuanYi Zen Hei"/>
        <family val="2"/>
      </rPr>
      <t xml:space="preserve">　＝ 譲渡対象</t>
    </r>
    <r>
      <rPr>
        <b val="true"/>
        <sz val="10"/>
        <color rgb="FF1E2761"/>
        <rFont val="Arial"/>
        <family val="0"/>
        <charset val="1"/>
      </rPr>
      <t xml:space="preserve">2</t>
    </r>
    <r>
      <rPr>
        <b val="true"/>
        <sz val="10"/>
        <color rgb="FF1E2761"/>
        <rFont val="WenQuanYi Zen Hei"/>
        <family val="2"/>
      </rPr>
      <t xml:space="preserve">事業の実績営業利益</t>
    </r>
  </si>
  <si>
    <r>
      <rPr>
        <b val="true"/>
        <sz val="10"/>
        <color rgb="FF1E2761"/>
        <rFont val="WenQuanYi Zen Hei"/>
        <family val="2"/>
      </rPr>
      <t xml:space="preserve">概要書</t>
    </r>
    <r>
      <rPr>
        <b val="true"/>
        <sz val="10"/>
        <color rgb="FF1E2761"/>
        <rFont val="Arial"/>
        <family val="0"/>
        <charset val="1"/>
      </rPr>
      <t xml:space="preserve">p.8</t>
    </r>
    <r>
      <rPr>
        <b val="true"/>
        <sz val="10"/>
        <color rgb="FF1E2761"/>
        <rFont val="WenQuanYi Zen Hei"/>
        <family val="2"/>
      </rPr>
      <t xml:space="preserve">「実績」列 合計 </t>
    </r>
    <r>
      <rPr>
        <b val="true"/>
        <sz val="10"/>
        <color rgb="FF1E2761"/>
        <rFont val="Arial"/>
        <family val="0"/>
        <charset val="1"/>
      </rPr>
      <t xml:space="preserve">W44</t>
    </r>
  </si>
  <si>
    <t xml:space="preserve">△</t>
  </si>
  <si>
    <t xml:space="preserve">共通部門費用の対象事業への帰属替え（修正①②④⑤）</t>
  </si>
  <si>
    <r>
      <rPr>
        <sz val="10"/>
        <rFont val="WenQuanYi Zen Hei"/>
        <family val="2"/>
      </rPr>
      <t xml:space="preserve">役員報酬・譲渡対象従業員</t>
    </r>
    <r>
      <rPr>
        <sz val="10"/>
        <rFont val="Arial"/>
        <family val="0"/>
        <charset val="1"/>
      </rPr>
      <t xml:space="preserve">2</t>
    </r>
    <r>
      <rPr>
        <sz val="10"/>
        <rFont val="WenQuanYi Zen Hei"/>
        <family val="2"/>
      </rPr>
      <t xml:space="preserve">名の人件費・本社経費配賦・リース料</t>
    </r>
  </si>
  <si>
    <t xml:space="preserve">譲渡後に発生しない業務委託費の除外（修正③）</t>
  </si>
  <si>
    <r>
      <rPr>
        <sz val="10"/>
        <rFont val="Arial"/>
        <family val="0"/>
        <charset val="1"/>
      </rPr>
      <t xml:space="preserve">(</t>
    </r>
    <r>
      <rPr>
        <sz val="10"/>
        <rFont val="WenQuanYi Zen Hei"/>
        <family val="2"/>
      </rPr>
      <t xml:space="preserve">株</t>
    </r>
    <r>
      <rPr>
        <sz val="10"/>
        <rFont val="Arial"/>
        <family val="0"/>
        <charset val="1"/>
      </rPr>
      <t xml:space="preserve">)Kuberu</t>
    </r>
    <r>
      <rPr>
        <sz val="10"/>
        <rFont val="WenQuanYi Zen Hei"/>
        <family val="2"/>
      </rPr>
      <t xml:space="preserve">社・退職者への業務継続費用分</t>
    </r>
  </si>
  <si>
    <r>
      <rPr>
        <sz val="10"/>
        <rFont val="Arial"/>
        <family val="0"/>
        <charset val="1"/>
      </rPr>
      <t xml:space="preserve">Salesforce</t>
    </r>
    <r>
      <rPr>
        <sz val="10"/>
        <rFont val="WenQuanYi Zen Hei"/>
        <family val="2"/>
      </rPr>
      <t xml:space="preserve">ライセンス費用の正常化（修正④）</t>
    </r>
  </si>
  <si>
    <r>
      <rPr>
        <sz val="10"/>
        <rFont val="Arial"/>
        <family val="0"/>
        <charset val="1"/>
      </rPr>
      <t xml:space="preserve">25</t>
    </r>
    <r>
      <rPr>
        <sz val="10"/>
        <rFont val="WenQuanYi Zen Hei"/>
        <family val="2"/>
      </rPr>
      <t xml:space="preserve">年</t>
    </r>
    <r>
      <rPr>
        <sz val="10"/>
        <rFont val="Arial"/>
        <family val="0"/>
        <charset val="1"/>
      </rPr>
      <t xml:space="preserve">7</t>
    </r>
    <r>
      <rPr>
        <sz val="10"/>
        <rFont val="WenQuanYi Zen Hei"/>
        <family val="2"/>
      </rPr>
      <t xml:space="preserve">月期の一時的増加分。通常運用水準</t>
    </r>
    <r>
      <rPr>
        <sz val="10"/>
        <rFont val="Arial"/>
        <family val="0"/>
        <charset val="1"/>
      </rPr>
      <t xml:space="preserve">3,420,500</t>
    </r>
    <r>
      <rPr>
        <sz val="10"/>
        <rFont val="WenQuanYi Zen Hei"/>
        <family val="2"/>
      </rPr>
      <t xml:space="preserve">円へ調整</t>
    </r>
  </si>
  <si>
    <t xml:space="preserve">　＝ 事業利益（修正後営業利益）</t>
  </si>
  <si>
    <r>
      <rPr>
        <b val="true"/>
        <sz val="10"/>
        <color rgb="FF1E2761"/>
        <rFont val="WenQuanYi Zen Hei"/>
        <family val="2"/>
      </rPr>
      <t xml:space="preserve">概要書</t>
    </r>
    <r>
      <rPr>
        <b val="true"/>
        <sz val="10"/>
        <color rgb="FF1E2761"/>
        <rFont val="Arial"/>
        <family val="0"/>
        <charset val="1"/>
      </rPr>
      <t xml:space="preserve">p.8</t>
    </r>
    <r>
      <rPr>
        <b val="true"/>
        <sz val="10"/>
        <color rgb="FF1E2761"/>
        <rFont val="WenQuanYi Zen Hei"/>
        <family val="2"/>
      </rPr>
      <t xml:space="preserve">「修正後」列 合計 </t>
    </r>
    <r>
      <rPr>
        <b val="true"/>
        <sz val="10"/>
        <color rgb="FF1E2761"/>
        <rFont val="Arial"/>
        <family val="0"/>
        <charset val="1"/>
      </rPr>
      <t xml:space="preserve">Y44</t>
    </r>
  </si>
  <si>
    <r>
      <rPr>
        <b val="true"/>
        <sz val="10"/>
        <rFont val="WenQuanYi Zen Hei"/>
        <family val="2"/>
      </rPr>
      <t xml:space="preserve">【検証】事業利益（</t>
    </r>
    <r>
      <rPr>
        <b val="true"/>
        <sz val="10"/>
        <rFont val="Arial"/>
        <family val="0"/>
        <charset val="1"/>
      </rPr>
      <t xml:space="preserve">p.8 Y44</t>
    </r>
    <r>
      <rPr>
        <b val="true"/>
        <sz val="10"/>
        <rFont val="WenQuanYi Zen Hei"/>
        <family val="2"/>
      </rPr>
      <t xml:space="preserve">）との差</t>
    </r>
  </si>
  <si>
    <r>
      <rPr>
        <sz val="10"/>
        <rFont val="Arial"/>
        <family val="0"/>
        <charset val="1"/>
      </rPr>
      <t xml:space="preserve">0</t>
    </r>
    <r>
      <rPr>
        <sz val="10"/>
        <rFont val="WenQuanYi Zen Hei"/>
        <family val="2"/>
      </rPr>
      <t xml:space="preserve">であればブリッジが完全に成立</t>
    </r>
  </si>
  <si>
    <r>
      <rPr>
        <b val="true"/>
        <sz val="10"/>
        <rFont val="WenQuanYi Zen Hei"/>
        <family val="2"/>
      </rPr>
      <t xml:space="preserve">【検証】差異合計（</t>
    </r>
    <r>
      <rPr>
        <b val="true"/>
        <sz val="10"/>
        <rFont val="Arial"/>
        <family val="0"/>
        <charset val="1"/>
      </rPr>
      <t xml:space="preserve">B</t>
    </r>
    <r>
      <rPr>
        <b val="true"/>
        <sz val="10"/>
        <rFont val="WenQuanYi Zen Hei"/>
        <family val="2"/>
      </rPr>
      <t xml:space="preserve">欄）− 段階式の差異</t>
    </r>
  </si>
  <si>
    <r>
      <rPr>
        <sz val="10"/>
        <rFont val="Arial"/>
        <family val="0"/>
        <charset val="1"/>
      </rPr>
      <t xml:space="preserve">0</t>
    </r>
    <r>
      <rPr>
        <sz val="10"/>
        <rFont val="WenQuanYi Zen Hei"/>
        <family val="2"/>
      </rPr>
      <t xml:space="preserve">であれば</t>
    </r>
    <r>
      <rPr>
        <sz val="10"/>
        <rFont val="Arial"/>
        <family val="0"/>
        <charset val="1"/>
      </rPr>
      <t xml:space="preserve">2</t>
    </r>
    <r>
      <rPr>
        <sz val="10"/>
        <rFont val="WenQuanYi Zen Hei"/>
        <family val="2"/>
      </rPr>
      <t xml:space="preserve">要因ビューと段階式ビューが整合</t>
    </r>
  </si>
  <si>
    <r>
      <rPr>
        <b val="true"/>
        <sz val="14"/>
        <color rgb="FF1E2761"/>
        <rFont val="WenQuanYi Zen Hei"/>
        <family val="2"/>
      </rPr>
      <t xml:space="preserve">共通部門 損益の内訳（</t>
    </r>
    <r>
      <rPr>
        <b val="true"/>
        <sz val="14"/>
        <color rgb="FF1E2761"/>
        <rFont val="Arial"/>
        <family val="0"/>
        <charset val="1"/>
      </rPr>
      <t xml:space="preserve">2025</t>
    </r>
    <r>
      <rPr>
        <b val="true"/>
        <sz val="14"/>
        <color rgb="FF1E2761"/>
        <rFont val="WenQuanYi Zen Hei"/>
        <family val="2"/>
      </rPr>
      <t xml:space="preserve">年</t>
    </r>
    <r>
      <rPr>
        <b val="true"/>
        <sz val="14"/>
        <color rgb="FF1E2761"/>
        <rFont val="Arial"/>
        <family val="0"/>
        <charset val="1"/>
      </rPr>
      <t xml:space="preserve">7</t>
    </r>
    <r>
      <rPr>
        <b val="true"/>
        <sz val="14"/>
        <color rgb="FF1E2761"/>
        <rFont val="WenQuanYi Zen Hei"/>
        <family val="2"/>
      </rPr>
      <t xml:space="preserve">月期）</t>
    </r>
  </si>
  <si>
    <r>
      <rPr>
        <i val="true"/>
        <sz val="9"/>
        <color rgb="FF555555"/>
        <rFont val="WenQuanYi Zen Hei"/>
        <family val="2"/>
      </rPr>
      <t xml:space="preserve">決算書に含まれる共通部門の損益△</t>
    </r>
    <r>
      <rPr>
        <i val="true"/>
        <sz val="9"/>
        <color rgb="FF555555"/>
        <rFont val="Arial"/>
        <family val="0"/>
        <charset val="1"/>
      </rPr>
      <t xml:space="preserve">82,081</t>
    </r>
    <r>
      <rPr>
        <i val="true"/>
        <sz val="9"/>
        <color rgb="FF555555"/>
        <rFont val="WenQuanYi Zen Hei"/>
        <family val="2"/>
      </rPr>
      <t xml:space="preserve">千円のうち、譲渡対象</t>
    </r>
    <r>
      <rPr>
        <i val="true"/>
        <sz val="9"/>
        <color rgb="FF555555"/>
        <rFont val="Arial"/>
        <family val="0"/>
        <charset val="1"/>
      </rPr>
      <t xml:space="preserve">2</t>
    </r>
    <r>
      <rPr>
        <i val="true"/>
        <sz val="9"/>
        <color rgb="FF555555"/>
        <rFont val="WenQuanYi Zen Hei"/>
        <family val="2"/>
      </rPr>
      <t xml:space="preserve">事業へ帰属替えした分と、譲渡対象外として残る分の区分</t>
    </r>
  </si>
  <si>
    <t xml:space="preserve">科目</t>
  </si>
  <si>
    <t xml:space="preserve">実績（決算書ベース）</t>
  </si>
  <si>
    <r>
      <rPr>
        <b val="true"/>
        <sz val="10"/>
        <color rgb="FFFFFFFF"/>
        <rFont val="WenQuanYi Zen Hei"/>
        <family val="2"/>
      </rPr>
      <t xml:space="preserve">うち対象</t>
    </r>
    <r>
      <rPr>
        <b val="true"/>
        <sz val="10"/>
        <color rgb="FFFFFFFF"/>
        <rFont val="Arial"/>
        <family val="0"/>
        <charset val="1"/>
      </rPr>
      <t xml:space="preserve">2</t>
    </r>
    <r>
      <rPr>
        <b val="true"/>
        <sz val="10"/>
        <color rgb="FFFFFFFF"/>
        <rFont val="WenQuanYi Zen Hei"/>
        <family val="2"/>
      </rPr>
      <t xml:space="preserve">事業へ
帰属替え（修正）</t>
    </r>
  </si>
  <si>
    <t xml:space="preserve">譲渡対象外として
共通部門に残る</t>
  </si>
  <si>
    <t xml:space="preserve">賃料収入</t>
  </si>
  <si>
    <t xml:space="preserve">不動産賃貸事業（譲渡対象外）</t>
  </si>
  <si>
    <t xml:space="preserve">売上高（値引等）</t>
  </si>
  <si>
    <t xml:space="preserve">譲渡対象外</t>
  </si>
  <si>
    <t xml:space="preserve">ー役員報酬</t>
  </si>
  <si>
    <r>
      <rPr>
        <sz val="10"/>
        <rFont val="WenQuanYi Zen Hei"/>
        <family val="2"/>
      </rPr>
      <t xml:space="preserve">①加藤様分→</t>
    </r>
    <r>
      <rPr>
        <sz val="10"/>
        <rFont val="Arial"/>
        <family val="0"/>
        <charset val="1"/>
      </rPr>
      <t xml:space="preserve">DDG</t>
    </r>
    <r>
      <rPr>
        <sz val="10"/>
        <rFont val="WenQuanYi Zen Hei"/>
        <family val="2"/>
      </rPr>
      <t xml:space="preserve">へ</t>
    </r>
  </si>
  <si>
    <t xml:space="preserve">ー給料手当</t>
  </si>
  <si>
    <r>
      <rPr>
        <sz val="10"/>
        <rFont val="WenQuanYi Zen Hei"/>
        <family val="2"/>
      </rPr>
      <t xml:space="preserve">②対象従業員</t>
    </r>
    <r>
      <rPr>
        <sz val="10"/>
        <rFont val="Arial"/>
        <family val="0"/>
        <charset val="1"/>
      </rPr>
      <t xml:space="preserve">2</t>
    </r>
    <r>
      <rPr>
        <sz val="10"/>
        <rFont val="WenQuanYi Zen Hei"/>
        <family val="2"/>
      </rPr>
      <t xml:space="preserve">名分→</t>
    </r>
    <r>
      <rPr>
        <sz val="10"/>
        <rFont val="Arial"/>
        <family val="0"/>
        <charset val="1"/>
      </rPr>
      <t xml:space="preserve">DDG</t>
    </r>
    <r>
      <rPr>
        <sz val="10"/>
        <rFont val="WenQuanYi Zen Hei"/>
        <family val="2"/>
      </rPr>
      <t xml:space="preserve">へ</t>
    </r>
  </si>
  <si>
    <t xml:space="preserve">ー法定福利費</t>
  </si>
  <si>
    <t xml:space="preserve">②同上</t>
  </si>
  <si>
    <t xml:space="preserve">ー退職共済金</t>
  </si>
  <si>
    <t xml:space="preserve">福利厚生費</t>
  </si>
  <si>
    <t xml:space="preserve">通勤費</t>
  </si>
  <si>
    <r>
      <rPr>
        <sz val="10"/>
        <rFont val="WenQuanYi Zen Hei"/>
        <family val="2"/>
      </rPr>
      <t xml:space="preserve">支払手数料</t>
    </r>
    <r>
      <rPr>
        <sz val="10"/>
        <rFont val="Arial"/>
        <family val="0"/>
        <charset val="1"/>
      </rPr>
      <t xml:space="preserve">/</t>
    </r>
    <r>
      <rPr>
        <sz val="10"/>
        <rFont val="WenQuanYi Zen Hei"/>
        <family val="2"/>
      </rPr>
      <t xml:space="preserve">システム利用料</t>
    </r>
  </si>
  <si>
    <t xml:space="preserve">④売上割合で配賦</t>
  </si>
  <si>
    <t xml:space="preserve">地代家賃</t>
  </si>
  <si>
    <t xml:space="preserve">共益費</t>
  </si>
  <si>
    <t xml:space="preserve">リース料</t>
  </si>
  <si>
    <t xml:space="preserve">⑤全額広告制作へ</t>
  </si>
  <si>
    <t xml:space="preserve">外注費</t>
  </si>
  <si>
    <t xml:space="preserve">管理部門</t>
  </si>
  <si>
    <t xml:space="preserve">交際費</t>
  </si>
  <si>
    <t xml:space="preserve">オーナー関連費用</t>
  </si>
  <si>
    <t xml:space="preserve">会議費</t>
  </si>
  <si>
    <t xml:space="preserve">旅費交通費</t>
  </si>
  <si>
    <t xml:space="preserve">通信費</t>
  </si>
  <si>
    <t xml:space="preserve">水道光熱費</t>
  </si>
  <si>
    <t xml:space="preserve">本社・保有不動産</t>
  </si>
  <si>
    <t xml:space="preserve">修繕費</t>
  </si>
  <si>
    <t xml:space="preserve">新聞図書費</t>
  </si>
  <si>
    <t xml:space="preserve">諸会費</t>
  </si>
  <si>
    <t xml:space="preserve">賃借料</t>
  </si>
  <si>
    <t xml:space="preserve">保険料</t>
  </si>
  <si>
    <t xml:space="preserve">租税公課</t>
  </si>
  <si>
    <t xml:space="preserve">支払報酬料</t>
  </si>
  <si>
    <t xml:space="preserve">管理部門（顧問報酬等）</t>
  </si>
  <si>
    <t xml:space="preserve">減価償却費</t>
  </si>
  <si>
    <t xml:space="preserve">研修費</t>
  </si>
  <si>
    <t xml:space="preserve">研究開発費</t>
  </si>
  <si>
    <t xml:space="preserve">雑費</t>
  </si>
  <si>
    <t xml:space="preserve">収益 計</t>
  </si>
  <si>
    <t xml:space="preserve">費用 計</t>
  </si>
  <si>
    <t xml:space="preserve">共通部門 営業利益</t>
  </si>
  <si>
    <r>
      <rPr>
        <b val="true"/>
        <sz val="10"/>
        <rFont val="WenQuanYi Zen Hei"/>
        <family val="2"/>
      </rPr>
      <t xml:space="preserve">【検証】共通部門 実績営業利益（部門別損益 </t>
    </r>
    <r>
      <rPr>
        <b val="true"/>
        <sz val="10"/>
        <rFont val="Arial"/>
        <family val="0"/>
        <charset val="1"/>
      </rPr>
      <t xml:space="preserve">N44</t>
    </r>
    <r>
      <rPr>
        <b val="true"/>
        <sz val="10"/>
        <rFont val="WenQuanYi Zen Hei"/>
        <family val="2"/>
      </rPr>
      <t xml:space="preserve">）</t>
    </r>
  </si>
  <si>
    <r>
      <rPr>
        <sz val="10"/>
        <rFont val="Arial"/>
        <family val="0"/>
        <charset val="1"/>
      </rPr>
      <t xml:space="preserve">D</t>
    </r>
    <r>
      <rPr>
        <sz val="10"/>
        <rFont val="WenQuanYi Zen Hei"/>
        <family val="2"/>
      </rPr>
      <t xml:space="preserve">欄が</t>
    </r>
    <r>
      <rPr>
        <sz val="10"/>
        <rFont val="Arial"/>
        <family val="0"/>
        <charset val="1"/>
      </rPr>
      <t xml:space="preserve">0</t>
    </r>
    <r>
      <rPr>
        <sz val="10"/>
        <rFont val="WenQuanYi Zen Hei"/>
        <family val="2"/>
      </rPr>
      <t xml:space="preserve">であれば一致</t>
    </r>
  </si>
  <si>
    <r>
      <rPr>
        <b val="true"/>
        <sz val="10"/>
        <rFont val="WenQuanYi Zen Hei"/>
        <family val="2"/>
      </rPr>
      <t xml:space="preserve">【検証】共通部門 修正後営業利益（部門別損益 </t>
    </r>
    <r>
      <rPr>
        <b val="true"/>
        <sz val="10"/>
        <rFont val="Arial"/>
        <family val="0"/>
        <charset val="1"/>
      </rPr>
      <t xml:space="preserve">P44</t>
    </r>
    <r>
      <rPr>
        <b val="true"/>
        <sz val="10"/>
        <rFont val="WenQuanYi Zen Hei"/>
        <family val="2"/>
      </rPr>
      <t xml:space="preserve">）</t>
    </r>
  </si>
  <si>
    <r>
      <rPr>
        <b val="true"/>
        <sz val="14"/>
        <color rgb="FF1E2761"/>
        <rFont val="WenQuanYi Zen Hei"/>
        <family val="2"/>
      </rPr>
      <t xml:space="preserve">概要書</t>
    </r>
    <r>
      <rPr>
        <b val="true"/>
        <sz val="14"/>
        <color rgb="FF1E2761"/>
        <rFont val="Arial"/>
        <family val="0"/>
        <charset val="1"/>
      </rPr>
      <t xml:space="preserve">p.8</t>
    </r>
    <r>
      <rPr>
        <b val="true"/>
        <sz val="14"/>
        <color rgb="FF1E2761"/>
        <rFont val="WenQuanYi Zen Hei"/>
        <family val="2"/>
      </rPr>
      <t xml:space="preserve">「修正額」の内訳（譲渡対象</t>
    </r>
    <r>
      <rPr>
        <b val="true"/>
        <sz val="14"/>
        <color rgb="FF1E2761"/>
        <rFont val="Arial"/>
        <family val="0"/>
        <charset val="1"/>
      </rPr>
      <t xml:space="preserve">2</t>
    </r>
    <r>
      <rPr>
        <b val="true"/>
        <sz val="14"/>
        <color rgb="FF1E2761"/>
        <rFont val="WenQuanYi Zen Hei"/>
        <family val="2"/>
      </rPr>
      <t xml:space="preserve">事業）</t>
    </r>
  </si>
  <si>
    <r>
      <rPr>
        <i val="true"/>
        <sz val="9"/>
        <color rgb="FF555555"/>
        <rFont val="WenQuanYi Zen Hei"/>
        <family val="2"/>
      </rPr>
      <t xml:space="preserve">修正額の合計は△</t>
    </r>
    <r>
      <rPr>
        <i val="true"/>
        <sz val="9"/>
        <color rgb="FF555555"/>
        <rFont val="Arial"/>
        <family val="0"/>
        <charset val="1"/>
      </rPr>
      <t xml:space="preserve">8,430</t>
    </r>
    <r>
      <rPr>
        <i val="true"/>
        <sz val="9"/>
        <color rgb="FF555555"/>
        <rFont val="WenQuanYi Zen Hei"/>
        <family val="2"/>
      </rPr>
      <t xml:space="preserve">千円（利益減）。共通部門費用の受入（費用増）と、譲渡後に発生しない費用の除外（費用減）の差額。</t>
    </r>
  </si>
  <si>
    <t xml:space="preserve">項目</t>
  </si>
  <si>
    <t xml:space="preserve">利益への影響</t>
  </si>
  <si>
    <t xml:space="preserve">①</t>
  </si>
  <si>
    <t xml:space="preserve">役員報酬</t>
  </si>
  <si>
    <t xml:space="preserve">費用増</t>
  </si>
  <si>
    <r>
      <rPr>
        <sz val="10"/>
        <rFont val="WenQuanYi Zen Hei"/>
        <family val="2"/>
      </rPr>
      <t xml:space="preserve">加藤様分の役員報酬を共通部門から</t>
    </r>
    <r>
      <rPr>
        <sz val="10"/>
        <rFont val="Arial"/>
        <family val="0"/>
        <charset val="1"/>
      </rPr>
      <t xml:space="preserve">DDG</t>
    </r>
    <r>
      <rPr>
        <sz val="10"/>
        <rFont val="WenQuanYi Zen Hei"/>
        <family val="2"/>
      </rPr>
      <t xml:space="preserve">事業へ振替</t>
    </r>
  </si>
  <si>
    <t xml:space="preserve">②</t>
  </si>
  <si>
    <t xml:space="preserve">給料手当</t>
  </si>
  <si>
    <r>
      <rPr>
        <sz val="10"/>
        <rFont val="WenQuanYi Zen Hei"/>
        <family val="2"/>
      </rPr>
      <t xml:space="preserve">譲渡対象従業員</t>
    </r>
    <r>
      <rPr>
        <sz val="10"/>
        <rFont val="Arial"/>
        <family val="0"/>
        <charset val="1"/>
      </rPr>
      <t xml:space="preserve">2</t>
    </r>
    <r>
      <rPr>
        <sz val="10"/>
        <rFont val="WenQuanYi Zen Hei"/>
        <family val="2"/>
      </rPr>
      <t xml:space="preserve">名（経営企画部所属）分</t>
    </r>
  </si>
  <si>
    <t xml:space="preserve">法定福利費</t>
  </si>
  <si>
    <t xml:space="preserve">同上</t>
  </si>
  <si>
    <t xml:space="preserve">退職共済金</t>
  </si>
  <si>
    <t xml:space="preserve">④</t>
  </si>
  <si>
    <t xml:space="preserve">共通部門経費を売上割合で各部門へ配賦</t>
  </si>
  <si>
    <t xml:space="preserve">同上（共通部門計上額の全額を配賦）</t>
  </si>
  <si>
    <t xml:space="preserve">⑤</t>
  </si>
  <si>
    <r>
      <rPr>
        <sz val="10"/>
        <rFont val="WenQuanYi Zen Hei"/>
        <family val="2"/>
      </rPr>
      <t xml:space="preserve">広告制作部門で使用する</t>
    </r>
    <r>
      <rPr>
        <sz val="10"/>
        <rFont val="Arial"/>
        <family val="0"/>
        <charset val="1"/>
      </rPr>
      <t xml:space="preserve">Mac</t>
    </r>
    <r>
      <rPr>
        <sz val="10"/>
        <rFont val="WenQuanYi Zen Hei"/>
        <family val="2"/>
      </rPr>
      <t xml:space="preserve">環境。全額を広告制作部門へ振替</t>
    </r>
  </si>
  <si>
    <t xml:space="preserve">③</t>
  </si>
  <si>
    <t xml:space="preserve">業務委託費</t>
  </si>
  <si>
    <t xml:space="preserve">費用減</t>
  </si>
  <si>
    <r>
      <rPr>
        <sz val="10"/>
        <rFont val="Arial"/>
        <family val="0"/>
        <charset val="1"/>
      </rPr>
      <t xml:space="preserve">(</t>
    </r>
    <r>
      <rPr>
        <sz val="10"/>
        <rFont val="WenQuanYi Zen Hei"/>
        <family val="2"/>
      </rPr>
      <t xml:space="preserve">株</t>
    </r>
    <r>
      <rPr>
        <sz val="10"/>
        <rFont val="Arial"/>
        <family val="0"/>
        <charset val="1"/>
      </rPr>
      <t xml:space="preserve">)Kuberu</t>
    </r>
    <r>
      <rPr>
        <sz val="10"/>
        <rFont val="WenQuanYi Zen Hei"/>
        <family val="2"/>
      </rPr>
      <t xml:space="preserve">社（前代表・原田様の資産管理会社）および退職者への業務継続費用。譲渡後の計上予定なし</t>
    </r>
  </si>
  <si>
    <r>
      <rPr>
        <sz val="10"/>
        <rFont val="Arial"/>
        <family val="0"/>
        <charset val="1"/>
      </rPr>
      <t xml:space="preserve">Salesforce</t>
    </r>
    <r>
      <rPr>
        <sz val="10"/>
        <rFont val="WenQuanYi Zen Hei"/>
        <family val="2"/>
      </rPr>
      <t xml:space="preserve">ライセンス購入費用の正常化（通常運用水準</t>
    </r>
    <r>
      <rPr>
        <sz val="10"/>
        <rFont val="Arial"/>
        <family val="0"/>
        <charset val="1"/>
      </rPr>
      <t xml:space="preserve">3,420,500</t>
    </r>
    <r>
      <rPr>
        <sz val="10"/>
        <rFont val="WenQuanYi Zen Hei"/>
        <family val="2"/>
      </rPr>
      <t xml:space="preserve">円へ調整）</t>
    </r>
  </si>
  <si>
    <t xml:space="preserve">販管費 修正額 合計</t>
  </si>
  <si>
    <t xml:space="preserve">営業利益 修正額（＝販管費修正額の符号反転）</t>
  </si>
  <si>
    <r>
      <rPr>
        <b val="true"/>
        <sz val="10"/>
        <rFont val="WenQuanYi Zen Hei"/>
        <family val="2"/>
      </rPr>
      <t xml:space="preserve">【検証】概要書</t>
    </r>
    <r>
      <rPr>
        <b val="true"/>
        <sz val="10"/>
        <rFont val="Arial"/>
        <family val="0"/>
        <charset val="1"/>
      </rPr>
      <t xml:space="preserve">p.8 </t>
    </r>
    <r>
      <rPr>
        <b val="true"/>
        <sz val="10"/>
        <rFont val="WenQuanYi Zen Hei"/>
        <family val="2"/>
      </rPr>
      <t xml:space="preserve">修正額（</t>
    </r>
    <r>
      <rPr>
        <b val="true"/>
        <sz val="10"/>
        <rFont val="Arial"/>
        <family val="0"/>
        <charset val="1"/>
      </rPr>
      <t xml:space="preserve">X44</t>
    </r>
    <r>
      <rPr>
        <b val="true"/>
        <sz val="10"/>
        <rFont val="WenQuanYi Zen Hei"/>
        <family val="2"/>
      </rPr>
      <t xml:space="preserve">）との差</t>
    </r>
  </si>
  <si>
    <r>
      <rPr>
        <b val="true"/>
        <sz val="14"/>
        <color rgb="FF1E2761"/>
        <rFont val="WenQuanYi Zen Hei"/>
        <family val="2"/>
      </rPr>
      <t xml:space="preserve">決算書と部門別損益（管理資料）の突合（</t>
    </r>
    <r>
      <rPr>
        <b val="true"/>
        <sz val="14"/>
        <color rgb="FF1E2761"/>
        <rFont val="Arial"/>
        <family val="0"/>
        <charset val="1"/>
      </rPr>
      <t xml:space="preserve">2025</t>
    </r>
    <r>
      <rPr>
        <b val="true"/>
        <sz val="14"/>
        <color rgb="FF1E2761"/>
        <rFont val="WenQuanYi Zen Hei"/>
        <family val="2"/>
      </rPr>
      <t xml:space="preserve">年</t>
    </r>
    <r>
      <rPr>
        <b val="true"/>
        <sz val="14"/>
        <color rgb="FF1E2761"/>
        <rFont val="Arial"/>
        <family val="0"/>
        <charset val="1"/>
      </rPr>
      <t xml:space="preserve">7</t>
    </r>
    <r>
      <rPr>
        <b val="true"/>
        <sz val="14"/>
        <color rgb="FF1E2761"/>
        <rFont val="WenQuanYi Zen Hei"/>
        <family val="2"/>
      </rPr>
      <t xml:space="preserve">月期）</t>
    </r>
  </si>
  <si>
    <t xml:space="preserve">部門別損益の全社合計が決算書と一致することの確認。事業利益の算出基礎の妥当性を示す。</t>
  </si>
  <si>
    <r>
      <rPr>
        <b val="true"/>
        <sz val="10"/>
        <color rgb="FFFFFFFF"/>
        <rFont val="WenQuanYi Zen Hei"/>
        <family val="2"/>
      </rPr>
      <t xml:space="preserve">決算書
</t>
    </r>
    <r>
      <rPr>
        <b val="true"/>
        <sz val="10"/>
        <color rgb="FFFFFFFF"/>
        <rFont val="Arial"/>
        <family val="0"/>
        <charset val="1"/>
      </rPr>
      <t xml:space="preserve">(</t>
    </r>
    <r>
      <rPr>
        <b val="true"/>
        <sz val="10"/>
        <color rgb="FFFFFFFF"/>
        <rFont val="WenQuanYi Zen Hei"/>
        <family val="2"/>
      </rPr>
      <t xml:space="preserve">概要書</t>
    </r>
    <r>
      <rPr>
        <b val="true"/>
        <sz val="10"/>
        <color rgb="FFFFFFFF"/>
        <rFont val="Arial"/>
        <family val="0"/>
        <charset val="1"/>
      </rPr>
      <t xml:space="preserve">p.36)</t>
    </r>
  </si>
  <si>
    <t xml:space="preserve">部門別損益
全社合計</t>
  </si>
  <si>
    <t xml:space="preserve">差異</t>
  </si>
  <si>
    <t xml:space="preserve">部門別内訳（円）</t>
  </si>
  <si>
    <t xml:space="preserve">売上高（千円）</t>
  </si>
  <si>
    <t xml:space="preserve">販売費及び一般管理費（千円）</t>
  </si>
  <si>
    <t xml:space="preserve">営業利益（千円）</t>
  </si>
  <si>
    <r>
      <rPr>
        <sz val="10"/>
        <rFont val="WenQuanYi Zen Hei"/>
        <family val="2"/>
      </rPr>
      <t xml:space="preserve">※部門別損益の全社合計（円）は 売上高</t>
    </r>
    <r>
      <rPr>
        <sz val="10"/>
        <rFont val="Arial"/>
        <family val="0"/>
        <charset val="1"/>
      </rPr>
      <t xml:space="preserve">302,057,855</t>
    </r>
    <r>
      <rPr>
        <sz val="10"/>
        <rFont val="WenQuanYi Zen Hei"/>
        <family val="2"/>
      </rPr>
      <t xml:space="preserve">円／販管費</t>
    </r>
    <r>
      <rPr>
        <sz val="10"/>
        <rFont val="Arial"/>
        <family val="0"/>
        <charset val="1"/>
      </rPr>
      <t xml:space="preserve">342,185,676</t>
    </r>
    <r>
      <rPr>
        <sz val="10"/>
        <rFont val="WenQuanYi Zen Hei"/>
        <family val="2"/>
      </rPr>
      <t xml:space="preserve">円／営業利益△</t>
    </r>
    <r>
      <rPr>
        <sz val="10"/>
        <rFont val="Arial"/>
        <family val="0"/>
        <charset val="1"/>
      </rPr>
      <t xml:space="preserve">40,127,821</t>
    </r>
    <r>
      <rPr>
        <sz val="10"/>
        <rFont val="WenQuanYi Zen Hei"/>
        <family val="2"/>
      </rPr>
      <t xml:space="preserve">円。決算書（千円単位）と完全に一致。</t>
    </r>
  </si>
  <si>
    <t xml:space="preserve">【部門別内訳（円）】</t>
  </si>
  <si>
    <t xml:space="preserve">部門</t>
  </si>
  <si>
    <t xml:space="preserve">売上高</t>
  </si>
  <si>
    <t xml:space="preserve">販管費</t>
  </si>
  <si>
    <t xml:space="preserve">営業利益</t>
  </si>
  <si>
    <t xml:space="preserve">企画制作部門</t>
  </si>
  <si>
    <t xml:space="preserve">譲渡対象（広告制作）</t>
  </si>
  <si>
    <t xml:space="preserve">デジタル制作部門</t>
  </si>
  <si>
    <t xml:space="preserve">ソリューション開発部門</t>
  </si>
  <si>
    <r>
      <rPr>
        <sz val="10"/>
        <rFont val="WenQuanYi Zen Hei"/>
        <family val="2"/>
      </rPr>
      <t xml:space="preserve">譲渡対象（</t>
    </r>
    <r>
      <rPr>
        <sz val="10"/>
        <rFont val="Arial"/>
        <family val="0"/>
        <charset val="1"/>
      </rPr>
      <t xml:space="preserve">DDG</t>
    </r>
    <r>
      <rPr>
        <sz val="10"/>
        <rFont val="WenQuanYi Zen Hei"/>
        <family val="2"/>
      </rPr>
      <t xml:space="preserve">）</t>
    </r>
  </si>
  <si>
    <t xml:space="preserve">データベースマーケティング部門</t>
  </si>
  <si>
    <t xml:space="preserve">共通部門</t>
  </si>
  <si>
    <t xml:space="preserve">全社合計</t>
  </si>
  <si>
    <t xml:space="preserve">留意事項</t>
  </si>
  <si>
    <r>
      <rPr>
        <b val="true"/>
        <sz val="10"/>
        <rFont val="Arial"/>
        <family val="0"/>
        <charset val="1"/>
      </rPr>
      <t xml:space="preserve">1. </t>
    </r>
    <r>
      <rPr>
        <b val="true"/>
        <sz val="10"/>
        <rFont val="WenQuanYi Zen Hei"/>
        <family val="2"/>
      </rPr>
      <t xml:space="preserve">事業利益の定義</t>
    </r>
  </si>
  <si>
    <r>
      <rPr>
        <sz val="9"/>
        <rFont val="WenQuanYi Zen Hei"/>
        <family val="2"/>
      </rPr>
      <t xml:space="preserve">・「事業利益」は、譲渡対象</t>
    </r>
    <r>
      <rPr>
        <sz val="9"/>
        <rFont val="Arial"/>
        <family val="0"/>
        <charset val="1"/>
      </rPr>
      <t xml:space="preserve">2</t>
    </r>
    <r>
      <rPr>
        <sz val="9"/>
        <rFont val="WenQuanYi Zen Hei"/>
        <family val="2"/>
      </rPr>
      <t xml:space="preserve">事業（広告制作事業／</t>
    </r>
    <r>
      <rPr>
        <sz val="9"/>
        <rFont val="Arial"/>
        <family val="0"/>
        <charset val="1"/>
      </rPr>
      <t xml:space="preserve">Data &amp; Digital Growth</t>
    </r>
    <r>
      <rPr>
        <sz val="9"/>
        <rFont val="WenQuanYi Zen Hei"/>
        <family val="2"/>
      </rPr>
      <t xml:space="preserve">事業）に帰属する損益のみを抽出し、</t>
    </r>
  </si>
  <si>
    <t xml:space="preserve">　譲渡後の実態に合わせて正常化修正を加えた後の営業利益。会計基準上の営業利益とは異なる。</t>
  </si>
  <si>
    <t xml:space="preserve">・決算書の営業利益は不動産賃貸事業および本社共通部門を含む全社ベースであり、譲渡対象範囲が異なる。</t>
  </si>
  <si>
    <r>
      <rPr>
        <b val="true"/>
        <sz val="10"/>
        <rFont val="Arial"/>
        <family val="0"/>
        <charset val="1"/>
      </rPr>
      <t xml:space="preserve">2. </t>
    </r>
    <r>
      <rPr>
        <b val="true"/>
        <sz val="10"/>
        <rFont val="WenQuanYi Zen Hei"/>
        <family val="2"/>
      </rPr>
      <t xml:space="preserve">数値の出所</t>
    </r>
  </si>
  <si>
    <r>
      <rPr>
        <sz val="9"/>
        <rFont val="WenQuanYi Zen Hei"/>
        <family val="2"/>
      </rPr>
      <t xml:space="preserve">・決算書：概要書</t>
    </r>
    <r>
      <rPr>
        <sz val="9"/>
        <rFont val="Arial"/>
        <family val="0"/>
        <charset val="1"/>
      </rPr>
      <t xml:space="preserve">p.36</t>
    </r>
    <r>
      <rPr>
        <sz val="9"/>
        <rFont val="WenQuanYi Zen Hei"/>
        <family val="2"/>
      </rPr>
      <t xml:space="preserve">「損益計算書」</t>
    </r>
    <r>
      <rPr>
        <sz val="9"/>
        <rFont val="Arial"/>
        <family val="0"/>
        <charset val="1"/>
      </rPr>
      <t xml:space="preserve">2025</t>
    </r>
    <r>
      <rPr>
        <sz val="9"/>
        <rFont val="WenQuanYi Zen Hei"/>
        <family val="2"/>
      </rPr>
      <t xml:space="preserve">年</t>
    </r>
    <r>
      <rPr>
        <sz val="9"/>
        <rFont val="Arial"/>
        <family val="0"/>
        <charset val="1"/>
      </rPr>
      <t xml:space="preserve">7</t>
    </r>
    <r>
      <rPr>
        <sz val="9"/>
        <rFont val="WenQuanYi Zen Hei"/>
        <family val="2"/>
      </rPr>
      <t xml:space="preserve">月期 帳簿価額</t>
    </r>
  </si>
  <si>
    <r>
      <rPr>
        <sz val="9"/>
        <rFont val="WenQuanYi Zen Hei"/>
        <family val="2"/>
      </rPr>
      <t xml:space="preserve">・部門別損益：「部門別損益</t>
    </r>
    <r>
      <rPr>
        <sz val="9"/>
        <rFont val="Arial"/>
        <family val="0"/>
        <charset val="1"/>
      </rPr>
      <t xml:space="preserve">_FY202507-</t>
    </r>
    <r>
      <rPr>
        <sz val="9"/>
        <rFont val="WenQuanYi Zen Hei"/>
        <family val="2"/>
      </rPr>
      <t xml:space="preserve">第</t>
    </r>
    <r>
      <rPr>
        <sz val="9"/>
        <rFont val="Arial"/>
        <family val="0"/>
        <charset val="1"/>
      </rPr>
      <t xml:space="preserve">55</t>
    </r>
    <r>
      <rPr>
        <sz val="9"/>
        <rFont val="WenQuanYi Zen Hei"/>
        <family val="2"/>
      </rPr>
      <t xml:space="preserve">期</t>
    </r>
    <r>
      <rPr>
        <sz val="9"/>
        <rFont val="Arial"/>
        <family val="0"/>
        <charset val="1"/>
      </rPr>
      <t xml:space="preserve">_260604_</t>
    </r>
    <r>
      <rPr>
        <sz val="9"/>
        <rFont val="WenQuanYi Zen Hei"/>
        <family val="2"/>
      </rPr>
      <t xml:space="preserve">加藤様</t>
    </r>
    <r>
      <rPr>
        <sz val="9"/>
        <rFont val="Arial"/>
        <family val="0"/>
        <charset val="1"/>
      </rPr>
      <t xml:space="preserve">Excel</t>
    </r>
    <r>
      <rPr>
        <sz val="9"/>
        <rFont val="WenQuanYi Zen Hei"/>
        <family val="2"/>
      </rPr>
      <t xml:space="preserve">反映版</t>
    </r>
    <r>
      <rPr>
        <sz val="9"/>
        <rFont val="Arial"/>
        <family val="0"/>
        <charset val="1"/>
      </rPr>
      <t xml:space="preserve">.xlsx</t>
    </r>
    <r>
      <rPr>
        <sz val="9"/>
        <rFont val="WenQuanYi Zen Hei"/>
        <family val="2"/>
      </rPr>
      <t xml:space="preserve">」タブ「</t>
    </r>
    <r>
      <rPr>
        <sz val="9"/>
        <rFont val="Arial"/>
        <family val="0"/>
        <charset val="1"/>
      </rPr>
      <t xml:space="preserve">202408-202507</t>
    </r>
    <r>
      <rPr>
        <sz val="9"/>
        <rFont val="WenQuanYi Zen Hei"/>
        <family val="2"/>
      </rPr>
      <t xml:space="preserve">」</t>
    </r>
  </si>
  <si>
    <r>
      <rPr>
        <sz val="9"/>
        <rFont val="WenQuanYi Zen Hei"/>
        <family val="2"/>
      </rPr>
      <t xml:space="preserve">・上記部門別損益の全社合計は決算書と一致（売上高</t>
    </r>
    <r>
      <rPr>
        <sz val="9"/>
        <rFont val="Arial"/>
        <family val="0"/>
        <charset val="1"/>
      </rPr>
      <t xml:space="preserve">302,058</t>
    </r>
    <r>
      <rPr>
        <sz val="9"/>
        <rFont val="WenQuanYi Zen Hei"/>
        <family val="2"/>
      </rPr>
      <t xml:space="preserve">千円／販管費</t>
    </r>
    <r>
      <rPr>
        <sz val="9"/>
        <rFont val="Arial"/>
        <family val="0"/>
        <charset val="1"/>
      </rPr>
      <t xml:space="preserve">342,186</t>
    </r>
    <r>
      <rPr>
        <sz val="9"/>
        <rFont val="WenQuanYi Zen Hei"/>
        <family val="2"/>
      </rPr>
      <t xml:space="preserve">千円／営業利益△</t>
    </r>
    <r>
      <rPr>
        <sz val="9"/>
        <rFont val="Arial"/>
        <family val="0"/>
        <charset val="1"/>
      </rPr>
      <t xml:space="preserve">40,128</t>
    </r>
    <r>
      <rPr>
        <sz val="9"/>
        <rFont val="WenQuanYi Zen Hei"/>
        <family val="2"/>
      </rPr>
      <t xml:space="preserve">千円）。</t>
    </r>
  </si>
  <si>
    <r>
      <rPr>
        <b val="true"/>
        <sz val="10"/>
        <rFont val="Arial"/>
        <family val="0"/>
        <charset val="1"/>
      </rPr>
      <t xml:space="preserve">3. </t>
    </r>
    <r>
      <rPr>
        <b val="true"/>
        <sz val="10"/>
        <rFont val="WenQuanYi Zen Hei"/>
        <family val="2"/>
      </rPr>
      <t xml:space="preserve">共通部門に残る費用の性質</t>
    </r>
  </si>
  <si>
    <r>
      <rPr>
        <sz val="9"/>
        <rFont val="WenQuanYi Zen Hei"/>
        <family val="2"/>
      </rPr>
      <t xml:space="preserve">・共通部門の修正後損益△</t>
    </r>
    <r>
      <rPr>
        <sz val="9"/>
        <rFont val="Arial"/>
        <family val="0"/>
        <charset val="1"/>
      </rPr>
      <t xml:space="preserve">34,820</t>
    </r>
    <r>
      <rPr>
        <sz val="9"/>
        <rFont val="WenQuanYi Zen Hei"/>
        <family val="2"/>
      </rPr>
      <t xml:space="preserve">千円には、以下が含まれる：</t>
    </r>
  </si>
  <si>
    <r>
      <rPr>
        <sz val="9"/>
        <rFont val="WenQuanYi Zen Hei"/>
        <family val="2"/>
      </rPr>
      <t xml:space="preserve">　　不動産賃貸事業（譲渡対象外）の賃料収入</t>
    </r>
    <r>
      <rPr>
        <sz val="9"/>
        <rFont val="Arial"/>
        <family val="0"/>
        <charset val="1"/>
      </rPr>
      <t xml:space="preserve">13,200</t>
    </r>
    <r>
      <rPr>
        <sz val="9"/>
        <rFont val="WenQuanYi Zen Hei"/>
        <family val="2"/>
      </rPr>
      <t xml:space="preserve">千円および関連費用（減価償却費・租税公課・水道光熱費等）</t>
    </r>
  </si>
  <si>
    <r>
      <rPr>
        <sz val="9"/>
        <rFont val="WenQuanYi Zen Hei"/>
        <family val="2"/>
      </rPr>
      <t xml:space="preserve">　　オーナー（加藤様）関連費用：交際費</t>
    </r>
    <r>
      <rPr>
        <sz val="9"/>
        <rFont val="Arial"/>
        <family val="0"/>
        <charset val="1"/>
      </rPr>
      <t xml:space="preserve">6,777</t>
    </r>
    <r>
      <rPr>
        <sz val="9"/>
        <rFont val="WenQuanYi Zen Hei"/>
        <family val="2"/>
      </rPr>
      <t xml:space="preserve">千円、旅費交通費</t>
    </r>
    <r>
      <rPr>
        <sz val="9"/>
        <rFont val="Arial"/>
        <family val="0"/>
        <charset val="1"/>
      </rPr>
      <t xml:space="preserve">5,409</t>
    </r>
    <r>
      <rPr>
        <sz val="9"/>
        <rFont val="WenQuanYi Zen Hei"/>
        <family val="2"/>
      </rPr>
      <t xml:space="preserve">千円</t>
    </r>
  </si>
  <si>
    <r>
      <rPr>
        <sz val="9"/>
        <rFont val="WenQuanYi Zen Hei"/>
        <family val="2"/>
      </rPr>
      <t xml:space="preserve">　　管理部門人件費（振替後）</t>
    </r>
    <r>
      <rPr>
        <sz val="9"/>
        <rFont val="Arial"/>
        <family val="0"/>
        <charset val="1"/>
      </rPr>
      <t xml:space="preserve">13,900</t>
    </r>
    <r>
      <rPr>
        <sz val="9"/>
        <rFont val="WenQuanYi Zen Hei"/>
        <family val="2"/>
      </rPr>
      <t xml:space="preserve">千円、支払報酬料（顧問報酬等）</t>
    </r>
    <r>
      <rPr>
        <sz val="9"/>
        <rFont val="Arial"/>
        <family val="0"/>
        <charset val="1"/>
      </rPr>
      <t xml:space="preserve">6,648</t>
    </r>
    <r>
      <rPr>
        <sz val="9"/>
        <rFont val="WenQuanYi Zen Hei"/>
        <family val="2"/>
      </rPr>
      <t xml:space="preserve">千円、研究開発費</t>
    </r>
    <r>
      <rPr>
        <sz val="9"/>
        <rFont val="Arial"/>
        <family val="0"/>
        <charset val="1"/>
      </rPr>
      <t xml:space="preserve">1,800</t>
    </r>
    <r>
      <rPr>
        <sz val="9"/>
        <rFont val="WenQuanYi Zen Hei"/>
        <family val="2"/>
      </rPr>
      <t xml:space="preserve">千円 等</t>
    </r>
  </si>
  <si>
    <t xml:space="preserve">・共通部門に残る費用のうち、譲受後に一定の管理機能コストが必要となる可能性がある点はご留意ください。</t>
  </si>
  <si>
    <r>
      <rPr>
        <sz val="9"/>
        <rFont val="WenQuanYi Zen Hei"/>
        <family val="2"/>
      </rPr>
      <t xml:space="preserve">　本ブリッジは「譲渡対象</t>
    </r>
    <r>
      <rPr>
        <sz val="9"/>
        <rFont val="Arial"/>
        <family val="0"/>
        <charset val="1"/>
      </rPr>
      <t xml:space="preserve">2</t>
    </r>
    <r>
      <rPr>
        <sz val="9"/>
        <rFont val="WenQuanYi Zen Hei"/>
        <family val="2"/>
      </rPr>
      <t xml:space="preserve">事業への帰属」の観点で区分したものであり、譲受後のスタンドアロンコストの</t>
    </r>
  </si>
  <si>
    <t xml:space="preserve">　見積りとは異なります。</t>
  </si>
  <si>
    <r>
      <rPr>
        <b val="true"/>
        <sz val="10"/>
        <rFont val="Arial"/>
        <family val="0"/>
        <charset val="1"/>
      </rPr>
      <t xml:space="preserve">4. </t>
    </r>
    <r>
      <rPr>
        <b val="true"/>
        <sz val="10"/>
        <rFont val="WenQuanYi Zen Hei"/>
        <family val="2"/>
      </rPr>
      <t xml:space="preserve">決算書の当期純損失について</t>
    </r>
  </si>
  <si>
    <r>
      <rPr>
        <sz val="9"/>
        <rFont val="WenQuanYi Zen Hei"/>
        <family val="2"/>
      </rPr>
      <t xml:space="preserve">・</t>
    </r>
    <r>
      <rPr>
        <sz val="9"/>
        <rFont val="Arial"/>
        <family val="0"/>
        <charset val="1"/>
      </rPr>
      <t xml:space="preserve">2025</t>
    </r>
    <r>
      <rPr>
        <sz val="9"/>
        <rFont val="WenQuanYi Zen Hei"/>
        <family val="2"/>
      </rPr>
      <t xml:space="preserve">年</t>
    </r>
    <r>
      <rPr>
        <sz val="9"/>
        <rFont val="Arial"/>
        <family val="0"/>
        <charset val="1"/>
      </rPr>
      <t xml:space="preserve">7</t>
    </r>
    <r>
      <rPr>
        <sz val="9"/>
        <rFont val="WenQuanYi Zen Hei"/>
        <family val="2"/>
      </rPr>
      <t xml:space="preserve">月期の当期純損失△</t>
    </r>
    <r>
      <rPr>
        <sz val="9"/>
        <rFont val="Arial"/>
        <family val="0"/>
        <charset val="1"/>
      </rPr>
      <t xml:space="preserve">79,885</t>
    </r>
    <r>
      <rPr>
        <sz val="9"/>
        <rFont val="WenQuanYi Zen Hei"/>
        <family val="2"/>
      </rPr>
      <t xml:space="preserve">千円には、特別損失として貸倒損失</t>
    </r>
    <r>
      <rPr>
        <sz val="9"/>
        <rFont val="Arial"/>
        <family val="0"/>
        <charset val="1"/>
      </rPr>
      <t xml:space="preserve">36,780</t>
    </r>
    <r>
      <rPr>
        <sz val="9"/>
        <rFont val="WenQuanYi Zen Hei"/>
        <family val="2"/>
      </rPr>
      <t xml:space="preserve">千円、訴訟関連費用</t>
    </r>
    <r>
      <rPr>
        <sz val="9"/>
        <rFont val="Arial"/>
        <family val="0"/>
        <charset val="1"/>
      </rPr>
      <t xml:space="preserve">2,994</t>
    </r>
    <r>
      <rPr>
        <sz val="9"/>
        <rFont val="WenQuanYi Zen Hei"/>
        <family val="2"/>
      </rPr>
      <t xml:space="preserve">千円が</t>
    </r>
  </si>
  <si>
    <t xml:space="preserve">　含まれる。いずれも営業外／特別損益であり、営業利益および事業利益には影響しない。</t>
  </si>
  <si>
    <r>
      <rPr>
        <b val="true"/>
        <sz val="10"/>
        <rFont val="Arial"/>
        <family val="0"/>
        <charset val="1"/>
      </rPr>
      <t xml:space="preserve">5. </t>
    </r>
    <r>
      <rPr>
        <b val="true"/>
        <sz val="10"/>
        <rFont val="WenQuanYi Zen Hei"/>
        <family val="2"/>
      </rPr>
      <t xml:space="preserve">部門内訳の按分について</t>
    </r>
  </si>
  <si>
    <r>
      <rPr>
        <sz val="9"/>
        <rFont val="WenQuanYi Zen Hei"/>
        <family val="2"/>
      </rPr>
      <t xml:space="preserve">・部門別損益の実績値は加藤様ご提供</t>
    </r>
    <r>
      <rPr>
        <sz val="9"/>
        <rFont val="Arial"/>
        <family val="0"/>
        <charset val="1"/>
      </rPr>
      <t xml:space="preserve">Excel</t>
    </r>
    <r>
      <rPr>
        <sz val="9"/>
        <rFont val="WenQuanYi Zen Hei"/>
        <family val="2"/>
      </rPr>
      <t xml:space="preserve">「</t>
    </r>
    <r>
      <rPr>
        <sz val="9"/>
        <rFont val="Arial"/>
        <family val="0"/>
        <charset val="1"/>
      </rPr>
      <t xml:space="preserve">55</t>
    </r>
    <r>
      <rPr>
        <sz val="9"/>
        <rFont val="WenQuanYi Zen Hei"/>
        <family val="2"/>
      </rPr>
      <t xml:space="preserve">期部門別・営業利益」に基づく。同</t>
    </r>
    <r>
      <rPr>
        <sz val="9"/>
        <rFont val="Arial"/>
        <family val="0"/>
        <charset val="1"/>
      </rPr>
      <t xml:space="preserve">Excel</t>
    </r>
    <r>
      <rPr>
        <sz val="9"/>
        <rFont val="WenQuanYi Zen Hei"/>
        <family val="2"/>
      </rPr>
      <t xml:space="preserve">は「広告制作」「</t>
    </r>
    <r>
      <rPr>
        <sz val="9"/>
        <rFont val="Arial"/>
        <family val="0"/>
        <charset val="1"/>
      </rPr>
      <t xml:space="preserve">DDG</t>
    </r>
    <r>
      <rPr>
        <sz val="9"/>
        <rFont val="WenQuanYi Zen Hei"/>
        <family val="2"/>
      </rPr>
      <t xml:space="preserve">」の</t>
    </r>
  </si>
  <si>
    <r>
      <rPr>
        <sz val="9"/>
        <rFont val="WenQuanYi Zen Hei"/>
        <family val="2"/>
      </rPr>
      <t xml:space="preserve">　</t>
    </r>
    <r>
      <rPr>
        <sz val="9"/>
        <rFont val="Arial"/>
        <family val="0"/>
        <charset val="1"/>
      </rPr>
      <t xml:space="preserve">2</t>
    </r>
    <r>
      <rPr>
        <sz val="9"/>
        <rFont val="WenQuanYi Zen Hei"/>
        <family val="2"/>
      </rPr>
      <t xml:space="preserve">区分のみのため、</t>
    </r>
    <r>
      <rPr>
        <sz val="9"/>
        <rFont val="Arial"/>
        <family val="0"/>
        <charset val="1"/>
      </rPr>
      <t xml:space="preserve">5</t>
    </r>
    <r>
      <rPr>
        <sz val="9"/>
        <rFont val="WenQuanYi Zen Hei"/>
        <family val="2"/>
      </rPr>
      <t xml:space="preserve">部門への内訳は各部門の既存残高比で按分している。</t>
    </r>
  </si>
  <si>
    <r>
      <rPr>
        <sz val="9"/>
        <rFont val="WenQuanYi Zen Hei"/>
        <family val="2"/>
      </rPr>
      <t xml:space="preserve">・本ブリッジで用いる区分合計（譲渡対象</t>
    </r>
    <r>
      <rPr>
        <sz val="9"/>
        <rFont val="Arial"/>
        <family val="0"/>
        <charset val="1"/>
      </rPr>
      <t xml:space="preserve">2</t>
    </r>
    <r>
      <rPr>
        <sz val="9"/>
        <rFont val="WenQuanYi Zen Hei"/>
        <family val="2"/>
      </rPr>
      <t xml:space="preserve">事業計・共通部門）は当該按分方法によらず一意に決まる。</t>
    </r>
  </si>
</sst>
</file>

<file path=xl/styles.xml><?xml version="1.0" encoding="utf-8"?>
<styleSheet xmlns="http://schemas.openxmlformats.org/spreadsheetml/2006/main">
  <numFmts count="2">
    <numFmt numFmtId="164" formatCode="General"/>
    <numFmt numFmtId="165" formatCode="#,##0;\△#,##0;\-"/>
  </numFmts>
  <fonts count="25">
    <font>
      <sz val="11"/>
      <color theme="1"/>
      <name val="Calibri"/>
      <family val="2"/>
      <charset val="1"/>
    </font>
    <font>
      <sz val="10"/>
      <name val="Arial"/>
      <family val="0"/>
    </font>
    <font>
      <sz val="10"/>
      <name val="Arial"/>
      <family val="0"/>
    </font>
    <font>
      <sz val="10"/>
      <name val="Arial"/>
      <family val="0"/>
    </font>
    <font>
      <b val="true"/>
      <sz val="14"/>
      <color rgb="FF1E2761"/>
      <name val="WenQuanYi Zen Hei"/>
      <family val="2"/>
    </font>
    <font>
      <b val="true"/>
      <sz val="14"/>
      <color rgb="FF1E2761"/>
      <name val="Arial"/>
      <family val="0"/>
      <charset val="1"/>
    </font>
    <font>
      <i val="true"/>
      <sz val="9"/>
      <color rgb="FF555555"/>
      <name val="WenQuanYi Zen Hei"/>
      <family val="2"/>
    </font>
    <font>
      <i val="true"/>
      <sz val="9"/>
      <color rgb="FF555555"/>
      <name val="Arial"/>
      <family val="0"/>
      <charset val="1"/>
    </font>
    <font>
      <b val="true"/>
      <sz val="11"/>
      <name val="WenQuanYi Zen Hei"/>
      <family val="2"/>
    </font>
    <font>
      <b val="true"/>
      <sz val="11"/>
      <name val="Arial"/>
      <family val="0"/>
      <charset val="1"/>
    </font>
    <font>
      <sz val="10"/>
      <name val="WenQuanYi Zen Hei"/>
      <family val="2"/>
    </font>
    <font>
      <sz val="10"/>
      <name val="Arial"/>
      <family val="0"/>
      <charset val="1"/>
    </font>
    <font>
      <b val="true"/>
      <sz val="10"/>
      <color rgb="FFFFFFFF"/>
      <name val="WenQuanYi Zen Hei"/>
      <family val="2"/>
    </font>
    <font>
      <b val="true"/>
      <sz val="10"/>
      <color rgb="FFFFFFFF"/>
      <name val="Arial"/>
      <family val="0"/>
      <charset val="1"/>
    </font>
    <font>
      <b val="true"/>
      <sz val="10"/>
      <name val="WenQuanYi Zen Hei"/>
      <family val="2"/>
    </font>
    <font>
      <b val="true"/>
      <sz val="10"/>
      <name val="Arial"/>
      <family val="0"/>
      <charset val="1"/>
    </font>
    <font>
      <b val="true"/>
      <sz val="10"/>
      <color rgb="FF1E2761"/>
      <name val="Arial"/>
      <family val="0"/>
      <charset val="1"/>
    </font>
    <font>
      <b val="true"/>
      <sz val="10"/>
      <color rgb="FF1E2761"/>
      <name val="WenQuanYi Zen Hei"/>
      <family val="2"/>
    </font>
    <font>
      <b val="true"/>
      <sz val="11"/>
      <color rgb="FFC00000"/>
      <name val="WenQuanYi Zen Hei"/>
      <family val="2"/>
    </font>
    <font>
      <b val="true"/>
      <sz val="11"/>
      <color rgb="FFC00000"/>
      <name val="Arial"/>
      <family val="0"/>
      <charset val="1"/>
    </font>
    <font>
      <b val="true"/>
      <sz val="11"/>
      <color rgb="FF1E2761"/>
      <name val="Arial"/>
      <family val="0"/>
      <charset val="1"/>
    </font>
    <font>
      <b val="true"/>
      <sz val="11"/>
      <color rgb="FF1E2761"/>
      <name val="WenQuanYi Zen Hei"/>
      <family val="2"/>
    </font>
    <font>
      <sz val="11"/>
      <color theme="1"/>
      <name val="WenQuanYi Zen Hei"/>
      <family val="2"/>
    </font>
    <font>
      <sz val="9"/>
      <name val="Arial"/>
      <family val="0"/>
      <charset val="1"/>
    </font>
    <font>
      <sz val="9"/>
      <name val="WenQuanYi Zen Hei"/>
      <family val="2"/>
    </font>
  </fonts>
  <fills count="5">
    <fill>
      <patternFill patternType="none"/>
    </fill>
    <fill>
      <patternFill patternType="gray125"/>
    </fill>
    <fill>
      <patternFill patternType="solid">
        <fgColor rgb="FF1E2761"/>
        <bgColor rgb="FF333333"/>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5" fontId="12"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false" applyProtection="false">
      <alignment horizontal="general" vertical="bottom" textRotation="0" wrapText="false" indent="0" shrinkToFit="false"/>
      <protection locked="true" hidden="false"/>
    </xf>
    <xf numFmtId="165" fontId="19" fillId="3"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xf numFmtId="164" fontId="21" fillId="3" borderId="1" xfId="0" applyFont="true" applyBorder="true" applyAlignment="false" applyProtection="false">
      <alignment horizontal="general" vertical="bottom" textRotation="0" wrapText="false" indent="0" shrinkToFit="false"/>
      <protection locked="true" hidden="false"/>
    </xf>
    <xf numFmtId="165" fontId="20" fillId="3"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46"/>
    <col collapsed="false" customWidth="true" hidden="false" outlineLevel="0" max="3" min="3" style="0" width="17"/>
    <col collapsed="false" customWidth="true" hidden="false" outlineLevel="0" max="4" min="4" style="0" width="14"/>
    <col collapsed="false" customWidth="true" hidden="false" outlineLevel="0" max="5" min="5" style="0" width="62"/>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8" customFormat="false" ht="15" hidden="false" customHeight="false" outlineLevel="0" collapsed="false">
      <c r="A8" s="3" t="s">
        <v>5</v>
      </c>
    </row>
    <row r="9" customFormat="false" ht="15" hidden="false" customHeight="false" outlineLevel="0" collapsed="false">
      <c r="A9" s="5" t="s">
        <v>6</v>
      </c>
      <c r="B9" s="6" t="s">
        <v>7</v>
      </c>
      <c r="C9" s="6" t="s">
        <v>8</v>
      </c>
      <c r="D9" s="6" t="s">
        <v>9</v>
      </c>
      <c r="E9" s="7"/>
    </row>
    <row r="10" customFormat="false" ht="15" hidden="false" customHeight="false" outlineLevel="0" collapsed="false">
      <c r="A10" s="8" t="s">
        <v>10</v>
      </c>
      <c r="B10" s="9" t="n">
        <v>34819962</v>
      </c>
      <c r="C10" s="9" t="n">
        <f aca="false">B10/1000</f>
        <v>34819.962</v>
      </c>
      <c r="D10" s="10" t="s">
        <v>11</v>
      </c>
      <c r="E10" s="8"/>
    </row>
    <row r="11" customFormat="false" ht="15" hidden="false" customHeight="false" outlineLevel="0" collapsed="false">
      <c r="A11" s="8" t="s">
        <v>12</v>
      </c>
      <c r="B11" s="10" t="n">
        <v>38830563</v>
      </c>
      <c r="C11" s="10" t="n">
        <f aca="false">B11/1000</f>
        <v>38830.563</v>
      </c>
      <c r="D11" s="9" t="s">
        <v>13</v>
      </c>
      <c r="E11" s="8"/>
    </row>
    <row r="12" customFormat="false" ht="15" hidden="false" customHeight="false" outlineLevel="0" collapsed="false">
      <c r="A12" s="11" t="s">
        <v>14</v>
      </c>
      <c r="B12" s="12" t="n">
        <f aca="false">SUM(B10:B11)</f>
        <v>73650525</v>
      </c>
      <c r="C12" s="12" t="n">
        <f aca="false">B12/1000</f>
        <v>73650.525</v>
      </c>
      <c r="D12" s="12"/>
      <c r="E12" s="8"/>
    </row>
    <row r="13" customFormat="false" ht="15" hidden="false" customHeight="false" outlineLevel="0" collapsed="false">
      <c r="A13" s="8"/>
      <c r="B13" s="10"/>
      <c r="C13" s="10"/>
      <c r="D13" s="10"/>
      <c r="E13" s="8"/>
    </row>
    <row r="14" customFormat="false" ht="15" hidden="false" customHeight="false" outlineLevel="0" collapsed="false">
      <c r="A14" s="13" t="s">
        <v>15</v>
      </c>
      <c r="B14" s="10"/>
      <c r="C14" s="10"/>
      <c r="D14" s="10"/>
      <c r="E14" s="8"/>
    </row>
    <row r="15" customFormat="false" ht="15" hidden="false" customHeight="false" outlineLevel="0" collapsed="false">
      <c r="A15" s="5"/>
      <c r="B15" s="6" t="s">
        <v>16</v>
      </c>
      <c r="C15" s="6" t="s">
        <v>7</v>
      </c>
      <c r="D15" s="6" t="s">
        <v>8</v>
      </c>
      <c r="E15" s="5" t="s">
        <v>17</v>
      </c>
    </row>
    <row r="16" customFormat="false" ht="15" hidden="false" customHeight="false" outlineLevel="0" collapsed="false">
      <c r="A16" s="8"/>
      <c r="B16" s="8" t="s">
        <v>18</v>
      </c>
      <c r="C16" s="10" t="n">
        <v>-40127821</v>
      </c>
      <c r="D16" s="10" t="n">
        <f aca="false">C16/1000</f>
        <v>-40127.821</v>
      </c>
      <c r="E16" s="8" t="s">
        <v>19</v>
      </c>
    </row>
    <row r="17" customFormat="false" ht="15" hidden="false" customHeight="false" outlineLevel="0" collapsed="false">
      <c r="A17" s="8" t="s">
        <v>20</v>
      </c>
      <c r="B17" s="8" t="s">
        <v>21</v>
      </c>
      <c r="C17" s="10" t="n">
        <v>82080830</v>
      </c>
      <c r="D17" s="10" t="n">
        <f aca="false">C17/1000</f>
        <v>82080.83</v>
      </c>
      <c r="E17" s="8" t="s">
        <v>22</v>
      </c>
    </row>
    <row r="18" customFormat="false" ht="15" hidden="false" customHeight="false" outlineLevel="0" collapsed="false">
      <c r="A18" s="14"/>
      <c r="B18" s="15" t="s">
        <v>23</v>
      </c>
      <c r="C18" s="16" t="n">
        <f aca="false">SUM(C16:C17)</f>
        <v>41953009</v>
      </c>
      <c r="D18" s="16" t="n">
        <f aca="false">C18/1000</f>
        <v>41953.009</v>
      </c>
      <c r="E18" s="15" t="s">
        <v>24</v>
      </c>
    </row>
    <row r="19" customFormat="false" ht="15" hidden="false" customHeight="false" outlineLevel="0" collapsed="false">
      <c r="A19" s="7" t="s">
        <v>25</v>
      </c>
      <c r="B19" s="8" t="s">
        <v>26</v>
      </c>
      <c r="C19" s="10" t="n">
        <v>-47260868</v>
      </c>
      <c r="D19" s="10" t="n">
        <f aca="false">C19/1000</f>
        <v>-47260.868</v>
      </c>
      <c r="E19" s="8" t="s">
        <v>27</v>
      </c>
    </row>
    <row r="20" customFormat="false" ht="15" hidden="false" customHeight="false" outlineLevel="0" collapsed="false">
      <c r="A20" s="8" t="s">
        <v>20</v>
      </c>
      <c r="B20" s="8" t="s">
        <v>28</v>
      </c>
      <c r="C20" s="10" t="n">
        <v>35712363</v>
      </c>
      <c r="D20" s="10" t="n">
        <f aca="false">C20/1000</f>
        <v>35712.363</v>
      </c>
      <c r="E20" s="7" t="s">
        <v>29</v>
      </c>
    </row>
    <row r="21" customFormat="false" ht="15" hidden="false" customHeight="false" outlineLevel="0" collapsed="false">
      <c r="A21" s="8" t="s">
        <v>20</v>
      </c>
      <c r="B21" s="7" t="s">
        <v>30</v>
      </c>
      <c r="C21" s="10" t="n">
        <v>3118200</v>
      </c>
      <c r="D21" s="10" t="n">
        <f aca="false">C21/1000</f>
        <v>3118.2</v>
      </c>
      <c r="E21" s="7" t="s">
        <v>31</v>
      </c>
    </row>
    <row r="22" customFormat="false" ht="15" hidden="false" customHeight="false" outlineLevel="0" collapsed="false">
      <c r="A22" s="14"/>
      <c r="B22" s="15" t="s">
        <v>32</v>
      </c>
      <c r="C22" s="16" t="n">
        <f aca="false">C18+SUM(C19:C21)</f>
        <v>33522704</v>
      </c>
      <c r="D22" s="16" t="n">
        <f aca="false">C22/1000</f>
        <v>33522.704</v>
      </c>
      <c r="E22" s="15" t="s">
        <v>33</v>
      </c>
    </row>
    <row r="23" customFormat="false" ht="15" hidden="false" customHeight="false" outlineLevel="0" collapsed="false">
      <c r="A23" s="8"/>
      <c r="B23" s="17" t="s">
        <v>34</v>
      </c>
      <c r="C23" s="18" t="n">
        <f aca="false">C22-33522704</f>
        <v>0</v>
      </c>
      <c r="D23" s="10"/>
      <c r="E23" s="7" t="s">
        <v>35</v>
      </c>
    </row>
    <row r="24" customFormat="false" ht="14.15" hidden="false" customHeight="false" outlineLevel="0" collapsed="false">
      <c r="A24" s="8"/>
      <c r="B24" s="17" t="s">
        <v>36</v>
      </c>
      <c r="C24" s="18" t="n">
        <f aca="false">B12-(C22-C16)</f>
        <v>0</v>
      </c>
      <c r="D24" s="10"/>
      <c r="E24" s="7" t="s">
        <v>37</v>
      </c>
    </row>
    <row r="25" customFormat="false" ht="15" hidden="false" customHeight="false" outlineLevel="0" collapsed="false">
      <c r="A25" s="8"/>
      <c r="B25" s="8"/>
      <c r="C25" s="10"/>
      <c r="D25" s="10"/>
      <c r="E25"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4" min="2" style="0" width="22"/>
    <col collapsed="false" customWidth="true" hidden="false" outlineLevel="0" max="5" min="5" style="0" width="30"/>
  </cols>
  <sheetData>
    <row r="1" customFormat="false" ht="19.4" hidden="false" customHeight="false" outlineLevel="0" collapsed="false">
      <c r="A1" s="1" t="s">
        <v>38</v>
      </c>
    </row>
    <row r="2" customFormat="false" ht="15" hidden="false" customHeight="false" outlineLevel="0" collapsed="false">
      <c r="A2" s="2" t="s">
        <v>39</v>
      </c>
    </row>
    <row r="4" customFormat="false" ht="33.75" hidden="false" customHeight="true" outlineLevel="0" collapsed="false">
      <c r="A4" s="5" t="s">
        <v>40</v>
      </c>
      <c r="B4" s="6" t="s">
        <v>41</v>
      </c>
      <c r="C4" s="6" t="s">
        <v>42</v>
      </c>
      <c r="D4" s="6" t="s">
        <v>43</v>
      </c>
      <c r="E4" s="5" t="s">
        <v>16</v>
      </c>
    </row>
    <row r="5" customFormat="false" ht="15" hidden="false" customHeight="false" outlineLevel="0" collapsed="false">
      <c r="A5" s="8" t="s">
        <v>44</v>
      </c>
      <c r="B5" s="10" t="n">
        <v>13200000</v>
      </c>
      <c r="C5" s="10" t="n">
        <v>0</v>
      </c>
      <c r="D5" s="10" t="n">
        <f aca="false">B5-C5</f>
        <v>13200000</v>
      </c>
      <c r="E5" s="8" t="s">
        <v>45</v>
      </c>
    </row>
    <row r="6" customFormat="false" ht="15" hidden="false" customHeight="false" outlineLevel="0" collapsed="false">
      <c r="A6" s="8" t="s">
        <v>46</v>
      </c>
      <c r="B6" s="10" t="n">
        <v>-708100</v>
      </c>
      <c r="C6" s="10" t="n">
        <v>0</v>
      </c>
      <c r="D6" s="10" t="n">
        <f aca="false">B6-C6</f>
        <v>-708100</v>
      </c>
      <c r="E6" s="8" t="s">
        <v>47</v>
      </c>
    </row>
    <row r="7" customFormat="false" ht="15" hidden="false" customHeight="false" outlineLevel="0" collapsed="false">
      <c r="A7" s="8" t="s">
        <v>48</v>
      </c>
      <c r="B7" s="10" t="n">
        <v>12000000</v>
      </c>
      <c r="C7" s="10" t="n">
        <v>12000000</v>
      </c>
      <c r="D7" s="10" t="n">
        <f aca="false">B7-C7</f>
        <v>0</v>
      </c>
      <c r="E7" s="8" t="s">
        <v>49</v>
      </c>
    </row>
    <row r="8" customFormat="false" ht="15" hidden="false" customHeight="false" outlineLevel="0" collapsed="false">
      <c r="A8" s="8" t="s">
        <v>50</v>
      </c>
      <c r="B8" s="10" t="n">
        <v>27553741</v>
      </c>
      <c r="C8" s="10" t="n">
        <v>16920000</v>
      </c>
      <c r="D8" s="10" t="n">
        <f aca="false">B8-C8</f>
        <v>10633741</v>
      </c>
      <c r="E8" s="8" t="s">
        <v>51</v>
      </c>
    </row>
    <row r="9" customFormat="false" ht="15" hidden="false" customHeight="false" outlineLevel="0" collapsed="false">
      <c r="A9" s="8" t="s">
        <v>52</v>
      </c>
      <c r="B9" s="10" t="n">
        <v>5310548</v>
      </c>
      <c r="C9" s="10" t="n">
        <v>2785878</v>
      </c>
      <c r="D9" s="10" t="n">
        <f aca="false">B9-C9</f>
        <v>2524670</v>
      </c>
      <c r="E9" s="8" t="s">
        <v>53</v>
      </c>
    </row>
    <row r="10" customFormat="false" ht="15" hidden="false" customHeight="false" outlineLevel="0" collapsed="false">
      <c r="A10" s="8" t="s">
        <v>54</v>
      </c>
      <c r="B10" s="10" t="n">
        <v>228000</v>
      </c>
      <c r="C10" s="10" t="n">
        <v>144000</v>
      </c>
      <c r="D10" s="10" t="n">
        <f aca="false">B10-C10</f>
        <v>84000</v>
      </c>
      <c r="E10" s="8" t="s">
        <v>53</v>
      </c>
    </row>
    <row r="11" customFormat="false" ht="15" hidden="false" customHeight="false" outlineLevel="0" collapsed="false">
      <c r="A11" s="8" t="s">
        <v>55</v>
      </c>
      <c r="B11" s="10" t="n">
        <v>716977</v>
      </c>
      <c r="C11" s="10" t="n">
        <v>59178</v>
      </c>
      <c r="D11" s="10" t="n">
        <f aca="false">B11-C11</f>
        <v>657799</v>
      </c>
      <c r="E11" s="8" t="s">
        <v>53</v>
      </c>
    </row>
    <row r="12" customFormat="false" ht="15" hidden="false" customHeight="false" outlineLevel="0" collapsed="false">
      <c r="A12" s="8" t="s">
        <v>56</v>
      </c>
      <c r="B12" s="10" t="n">
        <v>137405</v>
      </c>
      <c r="C12" s="10" t="n">
        <v>137405</v>
      </c>
      <c r="D12" s="10" t="n">
        <f aca="false">B12-C12</f>
        <v>0</v>
      </c>
      <c r="E12" s="8" t="s">
        <v>53</v>
      </c>
    </row>
    <row r="13" customFormat="false" ht="15" hidden="false" customHeight="false" outlineLevel="0" collapsed="false">
      <c r="A13" s="8" t="s">
        <v>57</v>
      </c>
      <c r="B13" s="10" t="n">
        <v>3350430</v>
      </c>
      <c r="C13" s="10" t="n">
        <v>3350430</v>
      </c>
      <c r="D13" s="10" t="n">
        <f aca="false">B13-C13</f>
        <v>0</v>
      </c>
      <c r="E13" s="8" t="s">
        <v>58</v>
      </c>
    </row>
    <row r="14" customFormat="false" ht="15" hidden="false" customHeight="false" outlineLevel="0" collapsed="false">
      <c r="A14" s="8" t="s">
        <v>59</v>
      </c>
      <c r="B14" s="10" t="n">
        <v>8022600</v>
      </c>
      <c r="C14" s="10" t="n">
        <v>8022600</v>
      </c>
      <c r="D14" s="10" t="n">
        <f aca="false">B14-C14</f>
        <v>0</v>
      </c>
      <c r="E14" s="8" t="s">
        <v>58</v>
      </c>
    </row>
    <row r="15" customFormat="false" ht="15" hidden="false" customHeight="false" outlineLevel="0" collapsed="false">
      <c r="A15" s="8" t="s">
        <v>60</v>
      </c>
      <c r="B15" s="10" t="n">
        <v>1279248</v>
      </c>
      <c r="C15" s="10" t="n">
        <v>1279248</v>
      </c>
      <c r="D15" s="10" t="n">
        <f aca="false">B15-C15</f>
        <v>0</v>
      </c>
      <c r="E15" s="8" t="s">
        <v>58</v>
      </c>
    </row>
    <row r="16" customFormat="false" ht="15" hidden="false" customHeight="false" outlineLevel="0" collapsed="false">
      <c r="A16" s="8" t="s">
        <v>61</v>
      </c>
      <c r="B16" s="10" t="n">
        <v>2562129</v>
      </c>
      <c r="C16" s="10" t="n">
        <v>2562129</v>
      </c>
      <c r="D16" s="10" t="n">
        <f aca="false">B16-C16</f>
        <v>0</v>
      </c>
      <c r="E16" s="8" t="s">
        <v>62</v>
      </c>
    </row>
    <row r="17" customFormat="false" ht="15" hidden="false" customHeight="false" outlineLevel="0" collapsed="false">
      <c r="A17" s="8" t="s">
        <v>63</v>
      </c>
      <c r="B17" s="10" t="n">
        <v>74032</v>
      </c>
      <c r="C17" s="10" t="n">
        <v>0</v>
      </c>
      <c r="D17" s="10" t="n">
        <f aca="false">B17-C17</f>
        <v>74032</v>
      </c>
      <c r="E17" s="8" t="s">
        <v>64</v>
      </c>
    </row>
    <row r="18" customFormat="false" ht="15" hidden="false" customHeight="false" outlineLevel="0" collapsed="false">
      <c r="A18" s="8" t="s">
        <v>65</v>
      </c>
      <c r="B18" s="10" t="n">
        <v>6777295</v>
      </c>
      <c r="C18" s="10" t="n">
        <v>0</v>
      </c>
      <c r="D18" s="10" t="n">
        <f aca="false">B18-C18</f>
        <v>6777295</v>
      </c>
      <c r="E18" s="8" t="s">
        <v>66</v>
      </c>
    </row>
    <row r="19" customFormat="false" ht="15" hidden="false" customHeight="false" outlineLevel="0" collapsed="false">
      <c r="A19" s="8" t="s">
        <v>67</v>
      </c>
      <c r="B19" s="10" t="n">
        <v>151000</v>
      </c>
      <c r="C19" s="10" t="n">
        <v>0</v>
      </c>
      <c r="D19" s="10" t="n">
        <f aca="false">B19-C19</f>
        <v>151000</v>
      </c>
      <c r="E19" s="8" t="s">
        <v>64</v>
      </c>
    </row>
    <row r="20" customFormat="false" ht="15" hidden="false" customHeight="false" outlineLevel="0" collapsed="false">
      <c r="A20" s="8" t="s">
        <v>68</v>
      </c>
      <c r="B20" s="10" t="n">
        <v>5409362</v>
      </c>
      <c r="C20" s="10" t="n">
        <v>0</v>
      </c>
      <c r="D20" s="10" t="n">
        <f aca="false">B20-C20</f>
        <v>5409362</v>
      </c>
      <c r="E20" s="8" t="s">
        <v>66</v>
      </c>
    </row>
    <row r="21" customFormat="false" ht="15" hidden="false" customHeight="false" outlineLevel="0" collapsed="false">
      <c r="A21" s="8" t="s">
        <v>69</v>
      </c>
      <c r="B21" s="10" t="n">
        <v>1417106</v>
      </c>
      <c r="C21" s="10" t="n">
        <v>0</v>
      </c>
      <c r="D21" s="10" t="n">
        <f aca="false">B21-C21</f>
        <v>1417106</v>
      </c>
      <c r="E21" s="8" t="s">
        <v>64</v>
      </c>
    </row>
    <row r="22" customFormat="false" ht="15" hidden="false" customHeight="false" outlineLevel="0" collapsed="false">
      <c r="A22" s="8" t="s">
        <v>70</v>
      </c>
      <c r="B22" s="10" t="n">
        <v>464150</v>
      </c>
      <c r="C22" s="10" t="n">
        <v>0</v>
      </c>
      <c r="D22" s="10" t="n">
        <f aca="false">B22-C22</f>
        <v>464150</v>
      </c>
      <c r="E22" s="8" t="s">
        <v>71</v>
      </c>
    </row>
    <row r="23" customFormat="false" ht="15" hidden="false" customHeight="false" outlineLevel="0" collapsed="false">
      <c r="A23" s="8" t="s">
        <v>72</v>
      </c>
      <c r="B23" s="10" t="n">
        <v>442500</v>
      </c>
      <c r="C23" s="10" t="n">
        <v>0</v>
      </c>
      <c r="D23" s="10" t="n">
        <f aca="false">B23-C23</f>
        <v>442500</v>
      </c>
      <c r="E23" s="8" t="s">
        <v>71</v>
      </c>
    </row>
    <row r="24" customFormat="false" ht="15" hidden="false" customHeight="false" outlineLevel="0" collapsed="false">
      <c r="A24" s="8" t="s">
        <v>73</v>
      </c>
      <c r="B24" s="10" t="n">
        <v>192496</v>
      </c>
      <c r="C24" s="10" t="n">
        <v>0</v>
      </c>
      <c r="D24" s="10" t="n">
        <f aca="false">B24-C24</f>
        <v>192496</v>
      </c>
      <c r="E24" s="8" t="s">
        <v>64</v>
      </c>
    </row>
    <row r="25" customFormat="false" ht="15" hidden="false" customHeight="false" outlineLevel="0" collapsed="false">
      <c r="A25" s="8" t="s">
        <v>74</v>
      </c>
      <c r="B25" s="10" t="n">
        <v>37500</v>
      </c>
      <c r="C25" s="10" t="n">
        <v>0</v>
      </c>
      <c r="D25" s="10" t="n">
        <f aca="false">B25-C25</f>
        <v>37500</v>
      </c>
      <c r="E25" s="8" t="s">
        <v>64</v>
      </c>
    </row>
    <row r="26" customFormat="false" ht="15" hidden="false" customHeight="false" outlineLevel="0" collapsed="false">
      <c r="A26" s="8" t="s">
        <v>75</v>
      </c>
      <c r="B26" s="10" t="n">
        <v>725952</v>
      </c>
      <c r="C26" s="10" t="n">
        <v>0</v>
      </c>
      <c r="D26" s="10" t="n">
        <f aca="false">B26-C26</f>
        <v>725952</v>
      </c>
      <c r="E26" s="8" t="s">
        <v>64</v>
      </c>
    </row>
    <row r="27" customFormat="false" ht="15" hidden="false" customHeight="false" outlineLevel="0" collapsed="false">
      <c r="A27" s="8" t="s">
        <v>76</v>
      </c>
      <c r="B27" s="10" t="n">
        <v>442756</v>
      </c>
      <c r="C27" s="10" t="n">
        <v>0</v>
      </c>
      <c r="D27" s="10" t="n">
        <f aca="false">B27-C27</f>
        <v>442756</v>
      </c>
      <c r="E27" s="8" t="s">
        <v>64</v>
      </c>
    </row>
    <row r="28" customFormat="false" ht="15" hidden="false" customHeight="false" outlineLevel="0" collapsed="false">
      <c r="A28" s="8" t="s">
        <v>77</v>
      </c>
      <c r="B28" s="10" t="n">
        <v>1058500</v>
      </c>
      <c r="C28" s="10" t="n">
        <v>0</v>
      </c>
      <c r="D28" s="10" t="n">
        <f aca="false">B28-C28</f>
        <v>1058500</v>
      </c>
      <c r="E28" s="8" t="s">
        <v>71</v>
      </c>
    </row>
    <row r="29" customFormat="false" ht="15" hidden="false" customHeight="false" outlineLevel="0" collapsed="false">
      <c r="A29" s="8" t="s">
        <v>78</v>
      </c>
      <c r="B29" s="10" t="n">
        <v>6647672</v>
      </c>
      <c r="C29" s="10" t="n">
        <v>0</v>
      </c>
      <c r="D29" s="10" t="n">
        <f aca="false">B29-C29</f>
        <v>6647672</v>
      </c>
      <c r="E29" s="8" t="s">
        <v>79</v>
      </c>
    </row>
    <row r="30" customFormat="false" ht="15" hidden="false" customHeight="false" outlineLevel="0" collapsed="false">
      <c r="A30" s="8" t="s">
        <v>80</v>
      </c>
      <c r="B30" s="10" t="n">
        <v>5736372</v>
      </c>
      <c r="C30" s="10" t="n">
        <v>0</v>
      </c>
      <c r="D30" s="10" t="n">
        <f aca="false">B30-C30</f>
        <v>5736372</v>
      </c>
      <c r="E30" s="8" t="s">
        <v>71</v>
      </c>
    </row>
    <row r="31" customFormat="false" ht="15" hidden="false" customHeight="false" outlineLevel="0" collapsed="false">
      <c r="A31" s="8" t="s">
        <v>81</v>
      </c>
      <c r="B31" s="10" t="n">
        <v>85417</v>
      </c>
      <c r="C31" s="10" t="n">
        <v>0</v>
      </c>
      <c r="D31" s="10" t="n">
        <f aca="false">B31-C31</f>
        <v>85417</v>
      </c>
      <c r="E31" s="8" t="s">
        <v>64</v>
      </c>
    </row>
    <row r="32" customFormat="false" ht="15" hidden="false" customHeight="false" outlineLevel="0" collapsed="false">
      <c r="A32" s="8" t="s">
        <v>82</v>
      </c>
      <c r="B32" s="10" t="n">
        <v>1800000</v>
      </c>
      <c r="C32" s="10" t="n">
        <v>0</v>
      </c>
      <c r="D32" s="10" t="n">
        <f aca="false">B32-C32</f>
        <v>1800000</v>
      </c>
      <c r="E32" s="8" t="s">
        <v>64</v>
      </c>
    </row>
    <row r="33" customFormat="false" ht="15" hidden="false" customHeight="false" outlineLevel="0" collapsed="false">
      <c r="A33" s="8" t="s">
        <v>83</v>
      </c>
      <c r="B33" s="10" t="n">
        <v>1949542</v>
      </c>
      <c r="C33" s="10" t="n">
        <v>0</v>
      </c>
      <c r="D33" s="10" t="n">
        <f aca="false">B33-C33</f>
        <v>1949542</v>
      </c>
      <c r="E33" s="8" t="s">
        <v>64</v>
      </c>
    </row>
    <row r="34" customFormat="false" ht="15" hidden="false" customHeight="false" outlineLevel="0" collapsed="false">
      <c r="A34" s="11" t="s">
        <v>84</v>
      </c>
      <c r="B34" s="12" t="n">
        <f aca="false">B5+B6</f>
        <v>12491900</v>
      </c>
      <c r="C34" s="12" t="n">
        <f aca="false">C5+C6</f>
        <v>0</v>
      </c>
      <c r="D34" s="12" t="n">
        <f aca="false">D5+D6</f>
        <v>12491900</v>
      </c>
      <c r="E34" s="11"/>
    </row>
    <row r="35" customFormat="false" ht="15" hidden="false" customHeight="false" outlineLevel="0" collapsed="false">
      <c r="A35" s="11" t="s">
        <v>85</v>
      </c>
      <c r="B35" s="12" t="n">
        <f aca="false">B7+B8+B9+B10+B11+B12+B13+B14+B15+B16+B17+B18+B19+B20+B21+B22+B23+B24+B25+B26+B27+B28+B29+B30+B31+B32+B33</f>
        <v>94572730</v>
      </c>
      <c r="C35" s="12" t="n">
        <f aca="false">C7+C8+C9+C10+C11+C12+C13+C14+C15+C16+C17+C18+C19+C20+C21+C22+C23+C24+C25+C26+C27+C28+C29+C30+C31+C32+C33</f>
        <v>47260868</v>
      </c>
      <c r="D35" s="12" t="n">
        <f aca="false">D7+D8+D9+D10+D11+D12+D13+D14+D15+D16+D17+D18+D19+D20+D21+D22+D23+D24+D25+D26+D27+D28+D29+D30+D31+D32+D33</f>
        <v>47311862</v>
      </c>
      <c r="E35" s="11"/>
    </row>
    <row r="36" customFormat="false" ht="15" hidden="false" customHeight="false" outlineLevel="0" collapsed="false">
      <c r="A36" s="19" t="s">
        <v>86</v>
      </c>
      <c r="B36" s="20" t="n">
        <f aca="false">B34-B35</f>
        <v>-82080830</v>
      </c>
      <c r="C36" s="20" t="n">
        <f aca="false">C34-C35</f>
        <v>-47260868</v>
      </c>
      <c r="D36" s="20" t="n">
        <f aca="false">D34-D35</f>
        <v>-34819962</v>
      </c>
      <c r="E36" s="19"/>
    </row>
    <row r="37" customFormat="false" ht="15" hidden="false" customHeight="false" outlineLevel="0" collapsed="false">
      <c r="A37" s="8"/>
      <c r="B37" s="10"/>
      <c r="C37" s="10"/>
      <c r="D37" s="10"/>
      <c r="E37" s="8"/>
    </row>
    <row r="38" customFormat="false" ht="15" hidden="false" customHeight="false" outlineLevel="0" collapsed="false">
      <c r="A38" s="21" t="s">
        <v>87</v>
      </c>
      <c r="B38" s="10" t="n">
        <v>-82080830</v>
      </c>
      <c r="C38" s="10"/>
      <c r="D38" s="18" t="n">
        <f aca="false">B36-B38</f>
        <v>0</v>
      </c>
      <c r="E38" s="7" t="s">
        <v>88</v>
      </c>
    </row>
    <row r="39" customFormat="false" ht="15" hidden="false" customHeight="false" outlineLevel="0" collapsed="false">
      <c r="A39" s="21" t="s">
        <v>89</v>
      </c>
      <c r="B39" s="10" t="n">
        <v>-34819962</v>
      </c>
      <c r="C39" s="10"/>
      <c r="D39" s="18" t="n">
        <f aca="false">D36-B39</f>
        <v>0</v>
      </c>
      <c r="E39" s="7"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7"/>
    <col collapsed="false" customWidth="true" hidden="false" outlineLevel="0" max="4" min="4" style="0" width="13"/>
    <col collapsed="false" customWidth="true" hidden="false" outlineLevel="0" max="5" min="5" style="0" width="72"/>
  </cols>
  <sheetData>
    <row r="1" customFormat="false" ht="19.4" hidden="false" customHeight="false" outlineLevel="0" collapsed="false">
      <c r="A1" s="1" t="s">
        <v>90</v>
      </c>
    </row>
    <row r="2" customFormat="false" ht="15" hidden="false" customHeight="false" outlineLevel="0" collapsed="false">
      <c r="A2" s="2" t="s">
        <v>91</v>
      </c>
    </row>
    <row r="4" customFormat="false" ht="15" hidden="false" customHeight="false" outlineLevel="0" collapsed="false">
      <c r="A4" s="5" t="s">
        <v>16</v>
      </c>
      <c r="B4" s="5" t="s">
        <v>92</v>
      </c>
      <c r="C4" s="6" t="s">
        <v>7</v>
      </c>
      <c r="D4" s="5" t="s">
        <v>93</v>
      </c>
      <c r="E4" s="5" t="s">
        <v>9</v>
      </c>
    </row>
    <row r="5" customFormat="false" ht="15" hidden="false" customHeight="false" outlineLevel="0" collapsed="false">
      <c r="A5" s="7" t="s">
        <v>94</v>
      </c>
      <c r="B5" s="8" t="s">
        <v>95</v>
      </c>
      <c r="C5" s="10" t="n">
        <v>12000000</v>
      </c>
      <c r="D5" s="8" t="s">
        <v>96</v>
      </c>
      <c r="E5" s="8" t="s">
        <v>97</v>
      </c>
    </row>
    <row r="6" customFormat="false" ht="15" hidden="false" customHeight="false" outlineLevel="0" collapsed="false">
      <c r="A6" s="7" t="s">
        <v>98</v>
      </c>
      <c r="B6" s="8" t="s">
        <v>99</v>
      </c>
      <c r="C6" s="10" t="n">
        <v>16920000</v>
      </c>
      <c r="D6" s="8" t="s">
        <v>96</v>
      </c>
      <c r="E6" s="8" t="s">
        <v>100</v>
      </c>
    </row>
    <row r="7" customFormat="false" ht="15" hidden="false" customHeight="false" outlineLevel="0" collapsed="false">
      <c r="A7" s="7" t="s">
        <v>98</v>
      </c>
      <c r="B7" s="8" t="s">
        <v>101</v>
      </c>
      <c r="C7" s="10" t="n">
        <v>2785878</v>
      </c>
      <c r="D7" s="8" t="s">
        <v>96</v>
      </c>
      <c r="E7" s="8" t="s">
        <v>102</v>
      </c>
    </row>
    <row r="8" customFormat="false" ht="15" hidden="false" customHeight="false" outlineLevel="0" collapsed="false">
      <c r="A8" s="7" t="s">
        <v>98</v>
      </c>
      <c r="B8" s="8" t="s">
        <v>103</v>
      </c>
      <c r="C8" s="10" t="n">
        <v>144000</v>
      </c>
      <c r="D8" s="8" t="s">
        <v>96</v>
      </c>
      <c r="E8" s="8" t="s">
        <v>102</v>
      </c>
    </row>
    <row r="9" customFormat="false" ht="15" hidden="false" customHeight="false" outlineLevel="0" collapsed="false">
      <c r="A9" s="7" t="s">
        <v>98</v>
      </c>
      <c r="B9" s="8" t="s">
        <v>55</v>
      </c>
      <c r="C9" s="10" t="n">
        <v>59178</v>
      </c>
      <c r="D9" s="8" t="s">
        <v>96</v>
      </c>
      <c r="E9" s="8" t="s">
        <v>102</v>
      </c>
    </row>
    <row r="10" customFormat="false" ht="15" hidden="false" customHeight="false" outlineLevel="0" collapsed="false">
      <c r="A10" s="7" t="s">
        <v>98</v>
      </c>
      <c r="B10" s="8" t="s">
        <v>56</v>
      </c>
      <c r="C10" s="10" t="n">
        <v>137405</v>
      </c>
      <c r="D10" s="8" t="s">
        <v>96</v>
      </c>
      <c r="E10" s="8" t="s">
        <v>102</v>
      </c>
    </row>
    <row r="11" customFormat="false" ht="15" hidden="false" customHeight="false" outlineLevel="0" collapsed="false">
      <c r="A11" s="7" t="s">
        <v>104</v>
      </c>
      <c r="B11" s="8" t="s">
        <v>59</v>
      </c>
      <c r="C11" s="10" t="n">
        <v>8022600</v>
      </c>
      <c r="D11" s="8" t="s">
        <v>96</v>
      </c>
      <c r="E11" s="8" t="s">
        <v>105</v>
      </c>
    </row>
    <row r="12" customFormat="false" ht="15" hidden="false" customHeight="false" outlineLevel="0" collapsed="false">
      <c r="A12" s="7" t="s">
        <v>104</v>
      </c>
      <c r="B12" s="8" t="s">
        <v>60</v>
      </c>
      <c r="C12" s="10" t="n">
        <v>1279248</v>
      </c>
      <c r="D12" s="8" t="s">
        <v>96</v>
      </c>
      <c r="E12" s="8" t="s">
        <v>102</v>
      </c>
    </row>
    <row r="13" customFormat="false" ht="15" hidden="false" customHeight="false" outlineLevel="0" collapsed="false">
      <c r="A13" s="7" t="s">
        <v>104</v>
      </c>
      <c r="B13" s="8" t="s">
        <v>57</v>
      </c>
      <c r="C13" s="10" t="n">
        <v>3350430</v>
      </c>
      <c r="D13" s="8" t="s">
        <v>96</v>
      </c>
      <c r="E13" s="8" t="s">
        <v>106</v>
      </c>
    </row>
    <row r="14" customFormat="false" ht="15" hidden="false" customHeight="false" outlineLevel="0" collapsed="false">
      <c r="A14" s="7" t="s">
        <v>107</v>
      </c>
      <c r="B14" s="8" t="s">
        <v>61</v>
      </c>
      <c r="C14" s="10" t="n">
        <v>2562129</v>
      </c>
      <c r="D14" s="8" t="s">
        <v>96</v>
      </c>
      <c r="E14" s="8" t="s">
        <v>108</v>
      </c>
    </row>
    <row r="15" customFormat="false" ht="15" hidden="false" customHeight="false" outlineLevel="0" collapsed="false">
      <c r="A15" s="7" t="s">
        <v>109</v>
      </c>
      <c r="B15" s="8" t="s">
        <v>110</v>
      </c>
      <c r="C15" s="10" t="n">
        <v>-35712363</v>
      </c>
      <c r="D15" s="8" t="s">
        <v>111</v>
      </c>
      <c r="E15" s="7" t="s">
        <v>112</v>
      </c>
    </row>
    <row r="16" customFormat="false" ht="15" hidden="false" customHeight="false" outlineLevel="0" collapsed="false">
      <c r="A16" s="7" t="s">
        <v>104</v>
      </c>
      <c r="B16" s="8" t="s">
        <v>57</v>
      </c>
      <c r="C16" s="10" t="n">
        <v>-3118200</v>
      </c>
      <c r="D16" s="8" t="s">
        <v>111</v>
      </c>
      <c r="E16" s="7" t="s">
        <v>113</v>
      </c>
    </row>
    <row r="17" customFormat="false" ht="15" hidden="false" customHeight="false" outlineLevel="0" collapsed="false">
      <c r="A17" s="11"/>
      <c r="B17" s="11" t="s">
        <v>114</v>
      </c>
      <c r="C17" s="12" t="n">
        <f aca="false">SUM(C5:C16)</f>
        <v>8430305</v>
      </c>
      <c r="D17" s="11" t="s">
        <v>96</v>
      </c>
      <c r="E17" s="11"/>
    </row>
    <row r="18" customFormat="false" ht="15" hidden="false" customHeight="false" outlineLevel="0" collapsed="false">
      <c r="A18" s="22"/>
      <c r="B18" s="23" t="s">
        <v>115</v>
      </c>
      <c r="C18" s="24" t="n">
        <f aca="false">-C17</f>
        <v>-8430305</v>
      </c>
      <c r="D18" s="22"/>
      <c r="E18" s="22"/>
    </row>
    <row r="19" customFormat="false" ht="15" hidden="false" customHeight="false" outlineLevel="0" collapsed="false">
      <c r="A19" s="8"/>
      <c r="B19" s="8"/>
      <c r="C19" s="10"/>
      <c r="D19" s="8"/>
      <c r="E19" s="8"/>
    </row>
    <row r="20" customFormat="false" ht="15" hidden="false" customHeight="false" outlineLevel="0" collapsed="false">
      <c r="A20" s="8"/>
      <c r="B20" s="21" t="s">
        <v>116</v>
      </c>
      <c r="C20" s="10" t="n">
        <v>-8430305</v>
      </c>
      <c r="D20" s="18" t="n">
        <f aca="false">-C17-C20</f>
        <v>0</v>
      </c>
      <c r="E20" s="7"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24"/>
  </cols>
  <sheetData>
    <row r="1" customFormat="false" ht="19.4" hidden="false" customHeight="false" outlineLevel="0" collapsed="false">
      <c r="A1" s="1" t="s">
        <v>117</v>
      </c>
    </row>
    <row r="2" customFormat="false" ht="15" hidden="false" customHeight="false" outlineLevel="0" collapsed="false">
      <c r="A2" s="2" t="s">
        <v>118</v>
      </c>
    </row>
    <row r="4" customFormat="false" ht="30" hidden="false" customHeight="true" outlineLevel="0" collapsed="false">
      <c r="A4" s="5" t="s">
        <v>40</v>
      </c>
      <c r="B4" s="6" t="s">
        <v>119</v>
      </c>
      <c r="C4" s="6" t="s">
        <v>120</v>
      </c>
      <c r="D4" s="6" t="s">
        <v>121</v>
      </c>
      <c r="E4" s="8"/>
      <c r="F4" s="25" t="s">
        <v>122</v>
      </c>
    </row>
    <row r="5" customFormat="false" ht="15" hidden="false" customHeight="false" outlineLevel="0" collapsed="false">
      <c r="A5" s="8" t="s">
        <v>123</v>
      </c>
      <c r="B5" s="10" t="n">
        <v>302058</v>
      </c>
      <c r="C5" s="10" t="n">
        <v>302058</v>
      </c>
      <c r="D5" s="10" t="n">
        <f aca="false">C5-B5</f>
        <v>0</v>
      </c>
      <c r="E5" s="8"/>
    </row>
    <row r="6" customFormat="false" ht="15" hidden="false" customHeight="false" outlineLevel="0" collapsed="false">
      <c r="A6" s="8" t="s">
        <v>124</v>
      </c>
      <c r="B6" s="10" t="n">
        <v>342186</v>
      </c>
      <c r="C6" s="10" t="n">
        <v>342186</v>
      </c>
      <c r="D6" s="10" t="n">
        <f aca="false">C6-B6</f>
        <v>0</v>
      </c>
      <c r="E6" s="8"/>
    </row>
    <row r="7" customFormat="false" ht="15" hidden="false" customHeight="false" outlineLevel="0" collapsed="false">
      <c r="A7" s="11" t="s">
        <v>125</v>
      </c>
      <c r="B7" s="12" t="n">
        <v>-40128</v>
      </c>
      <c r="C7" s="12" t="n">
        <v>-40128</v>
      </c>
      <c r="D7" s="12" t="n">
        <f aca="false">C7-B7</f>
        <v>0</v>
      </c>
      <c r="E7" s="8"/>
    </row>
    <row r="8" customFormat="false" ht="15" hidden="false" customHeight="false" outlineLevel="0" collapsed="false">
      <c r="A8" s="8"/>
      <c r="B8" s="10"/>
      <c r="C8" s="10"/>
      <c r="D8" s="10"/>
      <c r="E8" s="8"/>
    </row>
    <row r="9" customFormat="false" ht="15" hidden="false" customHeight="false" outlineLevel="0" collapsed="false">
      <c r="A9" s="8" t="s">
        <v>126</v>
      </c>
      <c r="B9" s="10"/>
      <c r="C9" s="10"/>
      <c r="D9" s="10"/>
      <c r="E9" s="8"/>
    </row>
    <row r="10" customFormat="false" ht="15" hidden="false" customHeight="false" outlineLevel="0" collapsed="false">
      <c r="A10" s="8"/>
      <c r="B10" s="10"/>
      <c r="C10" s="10"/>
      <c r="D10" s="10"/>
      <c r="E10" s="8"/>
    </row>
    <row r="11" customFormat="false" ht="15" hidden="false" customHeight="false" outlineLevel="0" collapsed="false">
      <c r="A11" s="13" t="s">
        <v>127</v>
      </c>
      <c r="B11" s="10"/>
      <c r="C11" s="10"/>
      <c r="D11" s="10"/>
      <c r="E11" s="8"/>
    </row>
    <row r="12" customFormat="false" ht="15" hidden="false" customHeight="false" outlineLevel="0" collapsed="false">
      <c r="A12" s="5" t="s">
        <v>128</v>
      </c>
      <c r="B12" s="6" t="s">
        <v>129</v>
      </c>
      <c r="C12" s="6" t="s">
        <v>130</v>
      </c>
      <c r="D12" s="6" t="s">
        <v>131</v>
      </c>
      <c r="E12" s="5" t="s">
        <v>16</v>
      </c>
    </row>
    <row r="13" customFormat="false" ht="15" hidden="false" customHeight="false" outlineLevel="0" collapsed="false">
      <c r="A13" s="8" t="s">
        <v>132</v>
      </c>
      <c r="B13" s="10" t="n">
        <v>97380463</v>
      </c>
      <c r="C13" s="10" t="n">
        <v>84749341</v>
      </c>
      <c r="D13" s="10" t="n">
        <f aca="false">B13-C13</f>
        <v>12631122</v>
      </c>
      <c r="E13" s="8" t="s">
        <v>133</v>
      </c>
    </row>
    <row r="14" customFormat="false" ht="15" hidden="false" customHeight="false" outlineLevel="0" collapsed="false">
      <c r="A14" s="8" t="s">
        <v>134</v>
      </c>
      <c r="B14" s="10" t="n">
        <v>25572530</v>
      </c>
      <c r="C14" s="10" t="n">
        <v>21351823</v>
      </c>
      <c r="D14" s="10" t="n">
        <f aca="false">B14-C14</f>
        <v>4220707</v>
      </c>
      <c r="E14" s="8" t="s">
        <v>133</v>
      </c>
    </row>
    <row r="15" customFormat="false" ht="15" hidden="false" customHeight="false" outlineLevel="0" collapsed="false">
      <c r="A15" s="8" t="s">
        <v>135</v>
      </c>
      <c r="B15" s="10" t="n">
        <v>134880812</v>
      </c>
      <c r="C15" s="10" t="n">
        <v>119830678</v>
      </c>
      <c r="D15" s="10" t="n">
        <f aca="false">B15-C15</f>
        <v>15050134</v>
      </c>
      <c r="E15" s="8" t="s">
        <v>136</v>
      </c>
    </row>
    <row r="16" customFormat="false" ht="15" hidden="false" customHeight="false" outlineLevel="0" collapsed="false">
      <c r="A16" s="8" t="s">
        <v>137</v>
      </c>
      <c r="B16" s="10" t="n">
        <v>31732150</v>
      </c>
      <c r="C16" s="10" t="n">
        <v>21681104</v>
      </c>
      <c r="D16" s="10" t="n">
        <f aca="false">B16-C16</f>
        <v>10051046</v>
      </c>
      <c r="E16" s="8" t="s">
        <v>136</v>
      </c>
    </row>
    <row r="17" customFormat="false" ht="15" hidden="false" customHeight="false" outlineLevel="0" collapsed="false">
      <c r="A17" s="8" t="s">
        <v>138</v>
      </c>
      <c r="B17" s="10" t="n">
        <v>12491900</v>
      </c>
      <c r="C17" s="10" t="n">
        <v>94572730</v>
      </c>
      <c r="D17" s="10" t="n">
        <f aca="false">B17-C17</f>
        <v>-82080830</v>
      </c>
      <c r="E17" s="8" t="s">
        <v>47</v>
      </c>
    </row>
    <row r="18" customFormat="false" ht="15" hidden="false" customHeight="false" outlineLevel="0" collapsed="false">
      <c r="A18" s="11" t="s">
        <v>139</v>
      </c>
      <c r="B18" s="12" t="n">
        <f aca="false">SUM(B13:B17)</f>
        <v>302057855</v>
      </c>
      <c r="C18" s="12" t="n">
        <f aca="false">SUM(C13:C17)</f>
        <v>342185676</v>
      </c>
      <c r="D18" s="12" t="n">
        <f aca="false">SUM(D13:D17)</f>
        <v>-40127821</v>
      </c>
      <c r="E18"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8"/>
  </cols>
  <sheetData>
    <row r="1" customFormat="false" ht="17.35" hidden="false" customHeight="false" outlineLevel="0" collapsed="false">
      <c r="A1" s="1" t="s">
        <v>140</v>
      </c>
    </row>
    <row r="2" customFormat="false" ht="15" hidden="false" customHeight="false" outlineLevel="0" collapsed="false">
      <c r="A2" s="2"/>
    </row>
    <row r="3" customFormat="false" ht="15" hidden="false" customHeight="false" outlineLevel="0" collapsed="false">
      <c r="A3" s="26" t="s">
        <v>141</v>
      </c>
      <c r="B3" s="27"/>
    </row>
    <row r="4" customFormat="false" ht="15" hidden="false" customHeight="false" outlineLevel="0" collapsed="false">
      <c r="A4" s="4"/>
      <c r="B4" s="28" t="s">
        <v>142</v>
      </c>
    </row>
    <row r="5" customFormat="false" ht="15" hidden="false" customHeight="false" outlineLevel="0" collapsed="false">
      <c r="A5" s="4"/>
      <c r="B5" s="28" t="s">
        <v>143</v>
      </c>
    </row>
    <row r="6" customFormat="false" ht="15" hidden="false" customHeight="false" outlineLevel="0" collapsed="false">
      <c r="A6" s="4"/>
      <c r="B6" s="28" t="s">
        <v>144</v>
      </c>
    </row>
    <row r="7" customFormat="false" ht="15" hidden="false" customHeight="false" outlineLevel="0" collapsed="false">
      <c r="A7" s="26" t="s">
        <v>145</v>
      </c>
      <c r="B7" s="27"/>
    </row>
    <row r="8" customFormat="false" ht="15" hidden="false" customHeight="false" outlineLevel="0" collapsed="false">
      <c r="A8" s="4"/>
      <c r="B8" s="28" t="s">
        <v>146</v>
      </c>
    </row>
    <row r="9" customFormat="false" ht="15" hidden="false" customHeight="false" outlineLevel="0" collapsed="false">
      <c r="A9" s="4"/>
      <c r="B9" s="28" t="s">
        <v>147</v>
      </c>
    </row>
    <row r="10" customFormat="false" ht="15" hidden="false" customHeight="false" outlineLevel="0" collapsed="false">
      <c r="A10" s="4"/>
      <c r="B10" s="28" t="s">
        <v>148</v>
      </c>
    </row>
    <row r="11" customFormat="false" ht="15" hidden="false" customHeight="false" outlineLevel="0" collapsed="false">
      <c r="A11" s="26" t="s">
        <v>149</v>
      </c>
      <c r="B11" s="27"/>
    </row>
    <row r="12" customFormat="false" ht="15" hidden="false" customHeight="false" outlineLevel="0" collapsed="false">
      <c r="A12" s="4"/>
      <c r="B12" s="28" t="s">
        <v>150</v>
      </c>
    </row>
    <row r="13" customFormat="false" ht="15" hidden="false" customHeight="false" outlineLevel="0" collapsed="false">
      <c r="A13" s="4"/>
      <c r="B13" s="28" t="s">
        <v>151</v>
      </c>
    </row>
    <row r="14" customFormat="false" ht="15" hidden="false" customHeight="false" outlineLevel="0" collapsed="false">
      <c r="A14" s="4"/>
      <c r="B14" s="28" t="s">
        <v>152</v>
      </c>
    </row>
    <row r="15" customFormat="false" ht="15" hidden="false" customHeight="false" outlineLevel="0" collapsed="false">
      <c r="A15" s="4"/>
      <c r="B15" s="28" t="s">
        <v>153</v>
      </c>
    </row>
    <row r="16" customFormat="false" ht="15" hidden="false" customHeight="false" outlineLevel="0" collapsed="false">
      <c r="A16" s="4"/>
      <c r="B16" s="28" t="s">
        <v>154</v>
      </c>
    </row>
    <row r="17" customFormat="false" ht="15" hidden="false" customHeight="false" outlineLevel="0" collapsed="false">
      <c r="A17" s="4"/>
      <c r="B17" s="28" t="s">
        <v>155</v>
      </c>
    </row>
    <row r="18" customFormat="false" ht="15" hidden="false" customHeight="false" outlineLevel="0" collapsed="false">
      <c r="A18" s="4"/>
      <c r="B18" s="28" t="s">
        <v>156</v>
      </c>
    </row>
    <row r="19" customFormat="false" ht="15" hidden="false" customHeight="false" outlineLevel="0" collapsed="false">
      <c r="A19" s="26" t="s">
        <v>157</v>
      </c>
      <c r="B19" s="27"/>
    </row>
    <row r="20" customFormat="false" ht="15" hidden="false" customHeight="false" outlineLevel="0" collapsed="false">
      <c r="A20" s="4"/>
      <c r="B20" s="28" t="s">
        <v>158</v>
      </c>
    </row>
    <row r="21" customFormat="false" ht="15" hidden="false" customHeight="false" outlineLevel="0" collapsed="false">
      <c r="A21" s="4"/>
      <c r="B21" s="28" t="s">
        <v>159</v>
      </c>
    </row>
    <row r="22" customFormat="false" ht="15" hidden="false" customHeight="false" outlineLevel="0" collapsed="false">
      <c r="A22" s="26" t="s">
        <v>160</v>
      </c>
      <c r="B22" s="27"/>
    </row>
    <row r="23" customFormat="false" ht="15" hidden="false" customHeight="false" outlineLevel="0" collapsed="false">
      <c r="A23" s="4"/>
      <c r="B23" s="28" t="s">
        <v>161</v>
      </c>
    </row>
    <row r="24" customFormat="false" ht="15" hidden="false" customHeight="false" outlineLevel="0" collapsed="false">
      <c r="A24" s="4"/>
      <c r="B24" s="28" t="s">
        <v>162</v>
      </c>
    </row>
    <row r="25" customFormat="false" ht="15" hidden="false" customHeight="false" outlineLevel="0" collapsed="false">
      <c r="A25" s="4"/>
      <c r="B25" s="28"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2026-07-30T03:05:09Z</dcterms:created>
  <dc:creator>openpyxl</dc:creator>
  <dc:description/>
  <dc:language>en-US</dc:language>
  <cp:lastModifiedBy/>
  <dcterms:modified xsi:type="dcterms:W3CDTF">2026-07-30T03:05:09Z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