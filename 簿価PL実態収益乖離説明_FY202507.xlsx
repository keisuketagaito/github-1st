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①整合性チェック" sheetId="1" state="visible" r:id="rId3"/>
    <sheet name="②決算書→スタンドアロン" sheetId="2" state="visible" r:id="rId4"/>
    <sheet name="③要因分解" sheetId="3" state="visible" r:id="rId5"/>
    <sheet name="④共通部門コスト処理" sheetId="4" state="visible" r:id="rId6"/>
    <sheet name="⑤前提・注記"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<sst xmlns="http://schemas.openxmlformats.org/spreadsheetml/2006/main" count="302" uniqueCount="256">
  <si>
    <r>
      <rPr>
        <b val="true"/>
        <sz val="14"/>
        <color rgb="FF1E2761"/>
        <rFont val="WenQuanYi Zen Hei"/>
        <family val="2"/>
      </rPr>
      <t xml:space="preserve">部門別損益</t>
    </r>
    <r>
      <rPr>
        <b val="true"/>
        <sz val="14"/>
        <color rgb="FF1E2761"/>
        <rFont val="Arial"/>
        <family val="0"/>
        <charset val="1"/>
      </rPr>
      <t xml:space="preserve">_</t>
    </r>
    <r>
      <rPr>
        <b val="true"/>
        <sz val="14"/>
        <color rgb="FF1E2761"/>
        <rFont val="WenQuanYi Zen Hei"/>
        <family val="2"/>
      </rPr>
      <t xml:space="preserve">加藤様スタンドアロン調整版（</t>
    </r>
    <r>
      <rPr>
        <b val="true"/>
        <sz val="14"/>
        <color rgb="FF1E2761"/>
        <rFont val="Arial"/>
        <family val="0"/>
        <charset val="1"/>
      </rPr>
      <t xml:space="preserve">260831</t>
    </r>
    <r>
      <rPr>
        <b val="true"/>
        <sz val="14"/>
        <color rgb="FF1E2761"/>
        <rFont val="WenQuanYi Zen Hei"/>
        <family val="2"/>
      </rPr>
      <t xml:space="preserve">）　整合性チェック結果</t>
    </r>
  </si>
  <si>
    <r>
      <rPr>
        <i val="true"/>
        <sz val="9"/>
        <color rgb="FF555555"/>
        <rFont val="WenQuanYi Zen Hei"/>
        <family val="2"/>
      </rPr>
      <t xml:space="preserve">「部門別損益</t>
    </r>
    <r>
      <rPr>
        <i val="true"/>
        <sz val="9"/>
        <color rgb="FF555555"/>
        <rFont val="Arial"/>
        <family val="0"/>
        <charset val="1"/>
      </rPr>
      <t xml:space="preserve">_FY202507_55</t>
    </r>
    <r>
      <rPr>
        <i val="true"/>
        <sz val="9"/>
        <color rgb="FF555555"/>
        <rFont val="WenQuanYi Zen Hei"/>
        <family val="2"/>
      </rPr>
      <t xml:space="preserve">期</t>
    </r>
    <r>
      <rPr>
        <i val="true"/>
        <sz val="9"/>
        <color rgb="FF555555"/>
        <rFont val="Arial"/>
        <family val="0"/>
        <charset val="1"/>
      </rPr>
      <t xml:space="preserve">_260831_</t>
    </r>
    <r>
      <rPr>
        <i val="true"/>
        <sz val="9"/>
        <color rgb="FF555555"/>
        <rFont val="WenQuanYi Zen Hei"/>
        <family val="2"/>
      </rPr>
      <t xml:space="preserve">スタンドアローンで回るように調整」の内部整合と決算書との一致確認</t>
    </r>
  </si>
  <si>
    <r>
      <rPr>
        <b val="true"/>
        <sz val="11"/>
        <rFont val="WenQuanYi Zen Hei"/>
        <family val="2"/>
      </rPr>
      <t xml:space="preserve">【</t>
    </r>
    <r>
      <rPr>
        <b val="true"/>
        <sz val="11"/>
        <rFont val="Arial"/>
        <family val="0"/>
        <charset val="1"/>
      </rPr>
      <t xml:space="preserve">1</t>
    </r>
    <r>
      <rPr>
        <b val="true"/>
        <sz val="11"/>
        <rFont val="WenQuanYi Zen Hei"/>
        <family val="2"/>
      </rPr>
      <t xml:space="preserve">】決算書との突合（実績ベース／千円）</t>
    </r>
  </si>
  <si>
    <t xml:space="preserve">科目</t>
  </si>
  <si>
    <r>
      <rPr>
        <b val="true"/>
        <sz val="10"/>
        <color rgb="FFFFFFFF"/>
        <rFont val="WenQuanYi Zen Hei"/>
        <family val="2"/>
      </rPr>
      <t xml:space="preserve">決算書
</t>
    </r>
    <r>
      <rPr>
        <b val="true"/>
        <sz val="10"/>
        <color rgb="FFFFFFFF"/>
        <rFont val="Arial"/>
        <family val="0"/>
        <charset val="1"/>
      </rPr>
      <t xml:space="preserve">(</t>
    </r>
    <r>
      <rPr>
        <b val="true"/>
        <sz val="10"/>
        <color rgb="FFFFFFFF"/>
        <rFont val="WenQuanYi Zen Hei"/>
        <family val="2"/>
      </rPr>
      <t xml:space="preserve">概要書</t>
    </r>
    <r>
      <rPr>
        <b val="true"/>
        <sz val="10"/>
        <color rgb="FFFFFFFF"/>
        <rFont val="Arial"/>
        <family val="0"/>
        <charset val="1"/>
      </rPr>
      <t xml:space="preserve">p.36)</t>
    </r>
  </si>
  <si>
    <t xml:space="preserve">部門別損益
全社合計</t>
  </si>
  <si>
    <t xml:space="preserve">差異</t>
  </si>
  <si>
    <t xml:space="preserve">判定</t>
  </si>
  <si>
    <t xml:space="preserve">売上高</t>
  </si>
  <si>
    <r>
      <rPr>
        <sz val="10"/>
        <rFont val="Arial"/>
        <family val="0"/>
        <charset val="1"/>
      </rPr>
      <t xml:space="preserve">OK</t>
    </r>
    <r>
      <rPr>
        <sz val="10"/>
        <rFont val="WenQuanYi Zen Hei"/>
        <family val="2"/>
      </rPr>
      <t xml:space="preserve">（一致）</t>
    </r>
  </si>
  <si>
    <t xml:space="preserve">販売費及び一般管理費</t>
  </si>
  <si>
    <t xml:space="preserve">営業利益</t>
  </si>
  <si>
    <r>
      <rPr>
        <b val="true"/>
        <sz val="11"/>
        <rFont val="WenQuanYi Zen Hei"/>
        <family val="2"/>
      </rPr>
      <t xml:space="preserve">【</t>
    </r>
    <r>
      <rPr>
        <b val="true"/>
        <sz val="11"/>
        <rFont val="Arial"/>
        <family val="0"/>
        <charset val="1"/>
      </rPr>
      <t xml:space="preserve">2</t>
    </r>
    <r>
      <rPr>
        <b val="true"/>
        <sz val="11"/>
        <rFont val="WenQuanYi Zen Hei"/>
        <family val="2"/>
      </rPr>
      <t xml:space="preserve">】部門別「実績＋修正額＝修正後」の整合</t>
    </r>
  </si>
  <si>
    <t xml:space="preserve">チェック項目</t>
  </si>
  <si>
    <t xml:space="preserve">結果</t>
  </si>
  <si>
    <r>
      <rPr>
        <sz val="10"/>
        <rFont val="WenQuanYi Zen Hei"/>
        <family val="2"/>
      </rPr>
      <t xml:space="preserve">企画制作部門</t>
    </r>
    <r>
      <rPr>
        <sz val="10"/>
        <rFont val="Arial"/>
        <family val="0"/>
        <charset val="1"/>
      </rPr>
      <t xml:space="preserve">(B/C/D</t>
    </r>
    <r>
      <rPr>
        <sz val="10"/>
        <rFont val="WenQuanYi Zen Hei"/>
        <family val="2"/>
      </rPr>
      <t xml:space="preserve">列</t>
    </r>
    <r>
      <rPr>
        <sz val="10"/>
        <rFont val="Arial"/>
        <family val="0"/>
        <charset val="1"/>
      </rPr>
      <t xml:space="preserve">)</t>
    </r>
    <r>
      <rPr>
        <sz val="10"/>
        <rFont val="WenQuanYi Zen Hei"/>
        <family val="2"/>
      </rPr>
      <t xml:space="preserve">：売上高・販管費・営業利益</t>
    </r>
  </si>
  <si>
    <t xml:space="preserve">OK</t>
  </si>
  <si>
    <r>
      <rPr>
        <sz val="10"/>
        <rFont val="WenQuanYi Zen Hei"/>
        <family val="2"/>
      </rPr>
      <t xml:space="preserve">デジタル制作部門</t>
    </r>
    <r>
      <rPr>
        <sz val="10"/>
        <rFont val="Arial"/>
        <family val="0"/>
        <charset val="1"/>
      </rPr>
      <t xml:space="preserve">(E/F/G</t>
    </r>
    <r>
      <rPr>
        <sz val="10"/>
        <rFont val="WenQuanYi Zen Hei"/>
        <family val="2"/>
      </rPr>
      <t xml:space="preserve">列</t>
    </r>
    <r>
      <rPr>
        <sz val="10"/>
        <rFont val="Arial"/>
        <family val="0"/>
        <charset val="1"/>
      </rPr>
      <t xml:space="preserve">)</t>
    </r>
    <r>
      <rPr>
        <sz val="10"/>
        <rFont val="WenQuanYi Zen Hei"/>
        <family val="2"/>
      </rPr>
      <t xml:space="preserve">：同上</t>
    </r>
  </si>
  <si>
    <r>
      <rPr>
        <sz val="10"/>
        <rFont val="WenQuanYi Zen Hei"/>
        <family val="2"/>
      </rPr>
      <t xml:space="preserve">ソリューション開発部門</t>
    </r>
    <r>
      <rPr>
        <sz val="10"/>
        <rFont val="Arial"/>
        <family val="0"/>
        <charset val="1"/>
      </rPr>
      <t xml:space="preserve">(H/I/J</t>
    </r>
    <r>
      <rPr>
        <sz val="10"/>
        <rFont val="WenQuanYi Zen Hei"/>
        <family val="2"/>
      </rPr>
      <t xml:space="preserve">列</t>
    </r>
    <r>
      <rPr>
        <sz val="10"/>
        <rFont val="Arial"/>
        <family val="0"/>
        <charset val="1"/>
      </rPr>
      <t xml:space="preserve">)</t>
    </r>
    <r>
      <rPr>
        <sz val="10"/>
        <rFont val="WenQuanYi Zen Hei"/>
        <family val="2"/>
      </rPr>
      <t xml:space="preserve">：同上</t>
    </r>
  </si>
  <si>
    <r>
      <rPr>
        <sz val="10"/>
        <rFont val="WenQuanYi Zen Hei"/>
        <family val="2"/>
      </rPr>
      <t xml:space="preserve">データベースマーケティング部門</t>
    </r>
    <r>
      <rPr>
        <sz val="10"/>
        <rFont val="Arial"/>
        <family val="0"/>
        <charset val="1"/>
      </rPr>
      <t xml:space="preserve">(K/L/M</t>
    </r>
    <r>
      <rPr>
        <sz val="10"/>
        <rFont val="WenQuanYi Zen Hei"/>
        <family val="2"/>
      </rPr>
      <t xml:space="preserve">列</t>
    </r>
    <r>
      <rPr>
        <sz val="10"/>
        <rFont val="Arial"/>
        <family val="0"/>
        <charset val="1"/>
      </rPr>
      <t xml:space="preserve">)</t>
    </r>
    <r>
      <rPr>
        <sz val="10"/>
        <rFont val="WenQuanYi Zen Hei"/>
        <family val="2"/>
      </rPr>
      <t xml:space="preserve">：同上</t>
    </r>
  </si>
  <si>
    <r>
      <rPr>
        <sz val="10"/>
        <rFont val="WenQuanYi Zen Hei"/>
        <family val="2"/>
      </rPr>
      <t xml:space="preserve">共通部門</t>
    </r>
    <r>
      <rPr>
        <sz val="10"/>
        <rFont val="Arial"/>
        <family val="0"/>
        <charset val="1"/>
      </rPr>
      <t xml:space="preserve">(N/O/P</t>
    </r>
    <r>
      <rPr>
        <sz val="10"/>
        <rFont val="WenQuanYi Zen Hei"/>
        <family val="2"/>
      </rPr>
      <t xml:space="preserve">列</t>
    </r>
    <r>
      <rPr>
        <sz val="10"/>
        <rFont val="Arial"/>
        <family val="0"/>
        <charset val="1"/>
      </rPr>
      <t xml:space="preserve">)</t>
    </r>
    <r>
      <rPr>
        <sz val="10"/>
        <rFont val="WenQuanYi Zen Hei"/>
        <family val="2"/>
      </rPr>
      <t xml:space="preserve">：同上</t>
    </r>
  </si>
  <si>
    <r>
      <rPr>
        <sz val="10"/>
        <rFont val="WenQuanYi Zen Hei"/>
        <family val="2"/>
      </rPr>
      <t xml:space="preserve">対象事業合計</t>
    </r>
    <r>
      <rPr>
        <sz val="10"/>
        <rFont val="Arial"/>
        <family val="0"/>
        <charset val="1"/>
      </rPr>
      <t xml:space="preserve">(Q</t>
    </r>
    <r>
      <rPr>
        <sz val="10"/>
        <rFont val="WenQuanYi Zen Hei"/>
        <family val="2"/>
      </rPr>
      <t xml:space="preserve">列</t>
    </r>
    <r>
      <rPr>
        <sz val="10"/>
        <rFont val="Arial"/>
        <family val="0"/>
        <charset val="1"/>
      </rPr>
      <t xml:space="preserve">=B+E, T</t>
    </r>
    <r>
      <rPr>
        <sz val="10"/>
        <rFont val="WenQuanYi Zen Hei"/>
        <family val="2"/>
      </rPr>
      <t xml:space="preserve">列</t>
    </r>
    <r>
      <rPr>
        <sz val="10"/>
        <rFont val="Arial"/>
        <family val="0"/>
        <charset val="1"/>
      </rPr>
      <t xml:space="preserve">=H+K, W</t>
    </r>
    <r>
      <rPr>
        <sz val="10"/>
        <rFont val="WenQuanYi Zen Hei"/>
        <family val="2"/>
      </rPr>
      <t xml:space="preserve">列</t>
    </r>
    <r>
      <rPr>
        <sz val="10"/>
        <rFont val="Arial"/>
        <family val="0"/>
        <charset val="1"/>
      </rPr>
      <t xml:space="preserve">=B+E+H+K)</t>
    </r>
  </si>
  <si>
    <r>
      <rPr>
        <sz val="10"/>
        <rFont val="WenQuanYi Zen Hei"/>
        <family val="2"/>
      </rPr>
      <t xml:space="preserve">修正額合計</t>
    </r>
    <r>
      <rPr>
        <sz val="10"/>
        <rFont val="Arial"/>
        <family val="0"/>
        <charset val="1"/>
      </rPr>
      <t xml:space="preserve">(X</t>
    </r>
    <r>
      <rPr>
        <sz val="10"/>
        <rFont val="WenQuanYi Zen Hei"/>
        <family val="2"/>
      </rPr>
      <t xml:space="preserve">列 </t>
    </r>
    <r>
      <rPr>
        <sz val="10"/>
        <rFont val="Arial"/>
        <family val="0"/>
        <charset val="1"/>
      </rPr>
      <t xml:space="preserve">= R+U)</t>
    </r>
  </si>
  <si>
    <r>
      <rPr>
        <b val="true"/>
        <sz val="11"/>
        <rFont val="WenQuanYi Zen Hei"/>
        <family val="2"/>
      </rPr>
      <t xml:space="preserve">【</t>
    </r>
    <r>
      <rPr>
        <b val="true"/>
        <sz val="11"/>
        <rFont val="Arial"/>
        <family val="0"/>
        <charset val="1"/>
      </rPr>
      <t xml:space="preserve">3</t>
    </r>
    <r>
      <rPr>
        <b val="true"/>
        <sz val="11"/>
        <rFont val="WenQuanYi Zen Hei"/>
        <family val="2"/>
      </rPr>
      <t xml:space="preserve">】スタンドアロン</t>
    </r>
    <r>
      <rPr>
        <b val="true"/>
        <sz val="11"/>
        <rFont val="Arial"/>
        <family val="0"/>
        <charset val="1"/>
      </rPr>
      <t xml:space="preserve">PL</t>
    </r>
    <r>
      <rPr>
        <b val="true"/>
        <sz val="11"/>
        <rFont val="WenQuanYi Zen Hei"/>
        <family val="2"/>
      </rPr>
      <t xml:space="preserve">全体の整合</t>
    </r>
  </si>
  <si>
    <t xml:space="preserve">項目</t>
  </si>
  <si>
    <r>
      <rPr>
        <b val="true"/>
        <sz val="10"/>
        <color rgb="FFFFFFFF"/>
        <rFont val="WenQuanYi Zen Hei"/>
        <family val="2"/>
      </rPr>
      <t xml:space="preserve">金額</t>
    </r>
    <r>
      <rPr>
        <b val="true"/>
        <sz val="10"/>
        <color rgb="FFFFFFFF"/>
        <rFont val="Arial"/>
        <family val="0"/>
        <charset val="1"/>
      </rPr>
      <t xml:space="preserve">(</t>
    </r>
    <r>
      <rPr>
        <b val="true"/>
        <sz val="10"/>
        <color rgb="FFFFFFFF"/>
        <rFont val="WenQuanYi Zen Hei"/>
        <family val="2"/>
      </rPr>
      <t xml:space="preserve">円</t>
    </r>
    <r>
      <rPr>
        <b val="true"/>
        <sz val="10"/>
        <color rgb="FFFFFFFF"/>
        <rFont val="Arial"/>
        <family val="0"/>
        <charset val="1"/>
      </rPr>
      <t xml:space="preserve">)</t>
    </r>
  </si>
  <si>
    <r>
      <rPr>
        <b val="true"/>
        <sz val="10"/>
        <color rgb="FFFFFFFF"/>
        <rFont val="WenQuanYi Zen Hei"/>
        <family val="2"/>
      </rPr>
      <t xml:space="preserve">金額</t>
    </r>
    <r>
      <rPr>
        <b val="true"/>
        <sz val="10"/>
        <color rgb="FFFFFFFF"/>
        <rFont val="Arial"/>
        <family val="0"/>
        <charset val="1"/>
      </rPr>
      <t xml:space="preserve">(</t>
    </r>
    <r>
      <rPr>
        <b val="true"/>
        <sz val="10"/>
        <color rgb="FFFFFFFF"/>
        <rFont val="WenQuanYi Zen Hei"/>
        <family val="2"/>
      </rPr>
      <t xml:space="preserve">千円</t>
    </r>
    <r>
      <rPr>
        <b val="true"/>
        <sz val="10"/>
        <color rgb="FFFFFFFF"/>
        <rFont val="Arial"/>
        <family val="0"/>
        <charset val="1"/>
      </rPr>
      <t xml:space="preserve">)</t>
    </r>
  </si>
  <si>
    <t xml:space="preserve">備考</t>
  </si>
  <si>
    <r>
      <rPr>
        <sz val="10"/>
        <rFont val="WenQuanYi Zen Hei"/>
        <family val="2"/>
      </rPr>
      <t xml:space="preserve">決算書ベース営業利益</t>
    </r>
    <r>
      <rPr>
        <sz val="10"/>
        <rFont val="Arial"/>
        <family val="0"/>
        <charset val="1"/>
      </rPr>
      <t xml:space="preserve">(</t>
    </r>
    <r>
      <rPr>
        <sz val="10"/>
        <rFont val="WenQuanYi Zen Hei"/>
        <family val="2"/>
      </rPr>
      <t xml:space="preserve">実績</t>
    </r>
    <r>
      <rPr>
        <sz val="10"/>
        <rFont val="Arial"/>
        <family val="0"/>
        <charset val="1"/>
      </rPr>
      <t xml:space="preserve">)</t>
    </r>
  </si>
  <si>
    <r>
      <rPr>
        <sz val="10"/>
        <rFont val="Arial"/>
        <family val="0"/>
        <charset val="1"/>
      </rPr>
      <t xml:space="preserve">B4+E4+H4+K4+N4 </t>
    </r>
    <r>
      <rPr>
        <sz val="10"/>
        <rFont val="WenQuanYi Zen Hei"/>
        <family val="2"/>
      </rPr>
      <t xml:space="preserve">の集計</t>
    </r>
  </si>
  <si>
    <r>
      <rPr>
        <sz val="10"/>
        <rFont val="WenQuanYi Zen Hei"/>
        <family val="2"/>
      </rPr>
      <t xml:space="preserve">修正額合計</t>
    </r>
    <r>
      <rPr>
        <sz val="10"/>
        <rFont val="Arial"/>
        <family val="0"/>
        <charset val="1"/>
      </rPr>
      <t xml:space="preserve">(</t>
    </r>
    <r>
      <rPr>
        <sz val="10"/>
        <rFont val="WenQuanYi Zen Hei"/>
        <family val="2"/>
      </rPr>
      <t xml:space="preserve">全部門</t>
    </r>
    <r>
      <rPr>
        <sz val="10"/>
        <rFont val="Arial"/>
        <family val="0"/>
        <charset val="1"/>
      </rPr>
      <t xml:space="preserve">)</t>
    </r>
  </si>
  <si>
    <r>
      <rPr>
        <sz val="10"/>
        <rFont val="WenQuanYi Zen Hei"/>
        <family val="2"/>
      </rPr>
      <t xml:space="preserve">対象事業</t>
    </r>
    <r>
      <rPr>
        <sz val="10"/>
        <rFont val="Arial"/>
        <family val="0"/>
        <charset val="1"/>
      </rPr>
      <t xml:space="preserve">X44 + </t>
    </r>
    <r>
      <rPr>
        <sz val="10"/>
        <rFont val="WenQuanYi Zen Hei"/>
        <family val="2"/>
      </rPr>
      <t xml:space="preserve">共通部門</t>
    </r>
    <r>
      <rPr>
        <sz val="10"/>
        <rFont val="Arial"/>
        <family val="0"/>
        <charset val="1"/>
      </rPr>
      <t xml:space="preserve">O44</t>
    </r>
  </si>
  <si>
    <t xml:space="preserve">修正後全社合計</t>
  </si>
  <si>
    <r>
      <rPr>
        <sz val="10"/>
        <rFont val="WenQuanYi Zen Hei"/>
        <family val="2"/>
      </rPr>
      <t xml:space="preserve">対象事業</t>
    </r>
    <r>
      <rPr>
        <sz val="10"/>
        <rFont val="Arial"/>
        <family val="0"/>
        <charset val="1"/>
      </rPr>
      <t xml:space="preserve">Y44 + </t>
    </r>
    <r>
      <rPr>
        <sz val="10"/>
        <rFont val="WenQuanYi Zen Hei"/>
        <family val="2"/>
      </rPr>
      <t xml:space="preserve">共通部門</t>
    </r>
    <r>
      <rPr>
        <sz val="10"/>
        <rFont val="Arial"/>
        <family val="0"/>
        <charset val="1"/>
      </rPr>
      <t xml:space="preserve">P44</t>
    </r>
  </si>
  <si>
    <r>
      <rPr>
        <sz val="10"/>
        <rFont val="WenQuanYi Zen Hei"/>
        <family val="2"/>
      </rPr>
      <t xml:space="preserve">検算 </t>
    </r>
    <r>
      <rPr>
        <sz val="10"/>
        <rFont val="Arial"/>
        <family val="0"/>
        <charset val="1"/>
      </rPr>
      <t xml:space="preserve">(</t>
    </r>
    <r>
      <rPr>
        <sz val="10"/>
        <rFont val="WenQuanYi Zen Hei"/>
        <family val="2"/>
      </rPr>
      <t xml:space="preserve">上</t>
    </r>
    <r>
      <rPr>
        <sz val="10"/>
        <rFont val="Arial"/>
        <family val="0"/>
        <charset val="1"/>
      </rPr>
      <t xml:space="preserve">2</t>
    </r>
    <r>
      <rPr>
        <sz val="10"/>
        <rFont val="WenQuanYi Zen Hei"/>
        <family val="2"/>
      </rPr>
      <t xml:space="preserve">行の和 </t>
    </r>
    <r>
      <rPr>
        <sz val="10"/>
        <rFont val="Arial"/>
        <family val="0"/>
        <charset val="1"/>
      </rPr>
      <t xml:space="preserve">- 3</t>
    </r>
    <r>
      <rPr>
        <sz val="10"/>
        <rFont val="WenQuanYi Zen Hei"/>
        <family val="2"/>
      </rPr>
      <t xml:space="preserve">行目</t>
    </r>
    <r>
      <rPr>
        <sz val="10"/>
        <rFont val="Arial"/>
        <family val="0"/>
        <charset val="1"/>
      </rPr>
      <t xml:space="preserve">)</t>
    </r>
  </si>
  <si>
    <r>
      <rPr>
        <sz val="10"/>
        <rFont val="Arial"/>
        <family val="0"/>
        <charset val="1"/>
      </rPr>
      <t xml:space="preserve">0</t>
    </r>
    <r>
      <rPr>
        <sz val="10"/>
        <rFont val="WenQuanYi Zen Hei"/>
        <family val="2"/>
      </rPr>
      <t xml:space="preserve">であれば整合</t>
    </r>
  </si>
  <si>
    <r>
      <rPr>
        <b val="true"/>
        <sz val="10"/>
        <color rgb="FF1E2761"/>
        <rFont val="WenQuanYi Zen Hei"/>
        <family val="2"/>
      </rPr>
      <t xml:space="preserve">対象</t>
    </r>
    <r>
      <rPr>
        <b val="true"/>
        <sz val="10"/>
        <color rgb="FF1E2761"/>
        <rFont val="Arial"/>
        <family val="0"/>
        <charset val="1"/>
      </rPr>
      <t xml:space="preserve">2</t>
    </r>
    <r>
      <rPr>
        <b val="true"/>
        <sz val="10"/>
        <color rgb="FF1E2761"/>
        <rFont val="WenQuanYi Zen Hei"/>
        <family val="2"/>
      </rPr>
      <t xml:space="preserve">事業 スタンドアロン営業利益</t>
    </r>
    <r>
      <rPr>
        <b val="true"/>
        <sz val="10"/>
        <color rgb="FF1E2761"/>
        <rFont val="Arial"/>
        <family val="0"/>
        <charset val="1"/>
      </rPr>
      <t xml:space="preserve">(Y44)</t>
    </r>
  </si>
  <si>
    <t xml:space="preserve">＝実態収益力</t>
  </si>
  <si>
    <r>
      <rPr>
        <sz val="10"/>
        <rFont val="WenQuanYi Zen Hei"/>
        <family val="2"/>
      </rPr>
      <t xml:space="preserve">共通部門 修正後</t>
    </r>
    <r>
      <rPr>
        <sz val="10"/>
        <rFont val="Arial"/>
        <family val="0"/>
        <charset val="1"/>
      </rPr>
      <t xml:space="preserve">(P44)</t>
    </r>
  </si>
  <si>
    <t xml:space="preserve">不動産賃貸業＋オーナー関連＋残置管理費用</t>
  </si>
  <si>
    <t xml:space="preserve">【結論】</t>
  </si>
  <si>
    <r>
      <rPr>
        <sz val="10"/>
        <rFont val="WenQuanYi Zen Hei"/>
        <family val="2"/>
      </rPr>
      <t xml:space="preserve">・提示ファイルは決算書と完全に一致し、内部整合も取れている（数式エラー</t>
    </r>
    <r>
      <rPr>
        <sz val="10"/>
        <rFont val="Arial"/>
        <family val="0"/>
        <charset val="1"/>
      </rPr>
      <t xml:space="preserve">0</t>
    </r>
    <r>
      <rPr>
        <sz val="10"/>
        <rFont val="WenQuanYi Zen Hei"/>
        <family val="2"/>
      </rPr>
      <t xml:space="preserve">件、突合差異</t>
    </r>
    <r>
      <rPr>
        <sz val="10"/>
        <rFont val="Arial"/>
        <family val="0"/>
        <charset val="1"/>
      </rPr>
      <t xml:space="preserve">0</t>
    </r>
    <r>
      <rPr>
        <sz val="10"/>
        <rFont val="WenQuanYi Zen Hei"/>
        <family val="2"/>
      </rPr>
      <t xml:space="preserve">円）。</t>
    </r>
  </si>
  <si>
    <r>
      <rPr>
        <sz val="10"/>
        <rFont val="WenQuanYi Zen Hei"/>
        <family val="2"/>
      </rPr>
      <t xml:space="preserve">・対象</t>
    </r>
    <r>
      <rPr>
        <sz val="10"/>
        <rFont val="Arial"/>
        <family val="0"/>
        <charset val="1"/>
      </rPr>
      <t xml:space="preserve">2</t>
    </r>
    <r>
      <rPr>
        <sz val="10"/>
        <rFont val="WenQuanYi Zen Hei"/>
        <family val="2"/>
      </rPr>
      <t xml:space="preserve">事業のスタンドアロン営業利益は</t>
    </r>
    <r>
      <rPr>
        <sz val="10"/>
        <rFont val="Arial"/>
        <family val="0"/>
        <charset val="1"/>
      </rPr>
      <t xml:space="preserve">+30,174</t>
    </r>
    <r>
      <rPr>
        <sz val="10"/>
        <rFont val="WenQuanYi Zen Hei"/>
        <family val="2"/>
      </rPr>
      <t xml:space="preserve">千円（営業利益率</t>
    </r>
    <r>
      <rPr>
        <sz val="10"/>
        <rFont val="Arial"/>
        <family val="0"/>
        <charset val="1"/>
      </rPr>
      <t xml:space="preserve">10.4%</t>
    </r>
    <r>
      <rPr>
        <sz val="10"/>
        <rFont val="WenQuanYi Zen Hei"/>
        <family val="2"/>
      </rPr>
      <t xml:space="preserve">）。</t>
    </r>
  </si>
  <si>
    <r>
      <rPr>
        <sz val="10"/>
        <rFont val="WenQuanYi Zen Hei"/>
        <family val="2"/>
      </rPr>
      <t xml:space="preserve">・簿価</t>
    </r>
    <r>
      <rPr>
        <sz val="10"/>
        <rFont val="Arial"/>
        <family val="0"/>
        <charset val="1"/>
      </rPr>
      <t xml:space="preserve">PL△40,128</t>
    </r>
    <r>
      <rPr>
        <sz val="10"/>
        <rFont val="WenQuanYi Zen Hei"/>
        <family val="2"/>
      </rPr>
      <t xml:space="preserve">千円 と 実態収益</t>
    </r>
    <r>
      <rPr>
        <sz val="10"/>
        <rFont val="Arial"/>
        <family val="0"/>
        <charset val="1"/>
      </rPr>
      <t xml:space="preserve">+30,174</t>
    </r>
    <r>
      <rPr>
        <sz val="10"/>
        <rFont val="WenQuanYi Zen Hei"/>
        <family val="2"/>
      </rPr>
      <t xml:space="preserve">千円 の乖離は </t>
    </r>
    <r>
      <rPr>
        <sz val="10"/>
        <rFont val="Arial"/>
        <family val="0"/>
        <charset val="1"/>
      </rPr>
      <t xml:space="preserve">70,302</t>
    </r>
    <r>
      <rPr>
        <sz val="10"/>
        <rFont val="WenQuanYi Zen Hei"/>
        <family val="2"/>
      </rPr>
      <t xml:space="preserve">千円（約</t>
    </r>
    <r>
      <rPr>
        <sz val="10"/>
        <rFont val="Arial"/>
        <family val="0"/>
        <charset val="1"/>
      </rPr>
      <t xml:space="preserve">7,000</t>
    </r>
    <r>
      <rPr>
        <sz val="10"/>
        <rFont val="WenQuanYi Zen Hei"/>
        <family val="2"/>
      </rPr>
      <t xml:space="preserve">万円）。</t>
    </r>
  </si>
  <si>
    <t xml:space="preserve">・この乖離の内訳は「②決算書→スタンドアロン ブリッジ」タブおよび「③要因分解」タブに整理。</t>
  </si>
  <si>
    <r>
      <rPr>
        <b val="true"/>
        <sz val="14"/>
        <color rgb="FF1E2761"/>
        <rFont val="WenQuanYi Zen Hei"/>
        <family val="2"/>
      </rPr>
      <t xml:space="preserve">決算書 営業利益△</t>
    </r>
    <r>
      <rPr>
        <b val="true"/>
        <sz val="14"/>
        <color rgb="FF1E2761"/>
        <rFont val="Arial"/>
        <family val="0"/>
        <charset val="1"/>
      </rPr>
      <t xml:space="preserve">40,128</t>
    </r>
    <r>
      <rPr>
        <b val="true"/>
        <sz val="14"/>
        <color rgb="FF1E2761"/>
        <rFont val="WenQuanYi Zen Hei"/>
        <family val="2"/>
      </rPr>
      <t xml:space="preserve">千円 → スタンドアロン営業利益</t>
    </r>
    <r>
      <rPr>
        <b val="true"/>
        <sz val="14"/>
        <color rgb="FF1E2761"/>
        <rFont val="Arial"/>
        <family val="0"/>
        <charset val="1"/>
      </rPr>
      <t xml:space="preserve">+30,174</t>
    </r>
    <r>
      <rPr>
        <b val="true"/>
        <sz val="14"/>
        <color rgb="FF1E2761"/>
        <rFont val="WenQuanYi Zen Hei"/>
        <family val="2"/>
      </rPr>
      <t xml:space="preserve">千円 段階式ブリッジ</t>
    </r>
  </si>
  <si>
    <r>
      <rPr>
        <i val="true"/>
        <sz val="9"/>
        <color rgb="FF555555"/>
        <rFont val="WenQuanYi Zen Hei"/>
        <family val="2"/>
      </rPr>
      <t xml:space="preserve">簿価</t>
    </r>
    <r>
      <rPr>
        <i val="true"/>
        <sz val="9"/>
        <color rgb="FF555555"/>
        <rFont val="Arial"/>
        <family val="0"/>
        <charset val="1"/>
      </rPr>
      <t xml:space="preserve">PL</t>
    </r>
    <r>
      <rPr>
        <i val="true"/>
        <sz val="9"/>
        <color rgb="FF555555"/>
        <rFont val="WenQuanYi Zen Hei"/>
        <family val="2"/>
      </rPr>
      <t xml:space="preserve">と実態収益の乖離</t>
    </r>
    <r>
      <rPr>
        <i val="true"/>
        <sz val="9"/>
        <color rgb="FF555555"/>
        <rFont val="Arial"/>
        <family val="0"/>
        <charset val="1"/>
      </rPr>
      <t xml:space="preserve">+70,302</t>
    </r>
    <r>
      <rPr>
        <i val="true"/>
        <sz val="9"/>
        <color rgb="FF555555"/>
        <rFont val="WenQuanYi Zen Hei"/>
        <family val="2"/>
      </rPr>
      <t xml:space="preserve">千円（約</t>
    </r>
    <r>
      <rPr>
        <i val="true"/>
        <sz val="9"/>
        <color rgb="FF555555"/>
        <rFont val="Arial"/>
        <family val="0"/>
        <charset val="1"/>
      </rPr>
      <t xml:space="preserve">7,000</t>
    </r>
    <r>
      <rPr>
        <i val="true"/>
        <sz val="9"/>
        <color rgb="FF555555"/>
        <rFont val="WenQuanYi Zen Hei"/>
        <family val="2"/>
      </rPr>
      <t xml:space="preserve">万円）を</t>
    </r>
    <r>
      <rPr>
        <i val="true"/>
        <sz val="9"/>
        <color rgb="FF555555"/>
        <rFont val="Arial"/>
        <family val="0"/>
        <charset val="1"/>
      </rPr>
      <t xml:space="preserve">5</t>
    </r>
    <r>
      <rPr>
        <i val="true"/>
        <sz val="9"/>
        <color rgb="FF555555"/>
        <rFont val="WenQuanYi Zen Hei"/>
        <family val="2"/>
      </rPr>
      <t xml:space="preserve">区分で説明（単位：千円）</t>
    </r>
  </si>
  <si>
    <t xml:space="preserve">区分</t>
  </si>
  <si>
    <r>
      <rPr>
        <b val="true"/>
        <sz val="10"/>
        <color rgb="FFFFFFFF"/>
        <rFont val="WenQuanYi Zen Hei"/>
        <family val="2"/>
      </rPr>
      <t xml:space="preserve">累計</t>
    </r>
    <r>
      <rPr>
        <b val="true"/>
        <sz val="10"/>
        <color rgb="FFFFFFFF"/>
        <rFont val="Arial"/>
        <family val="0"/>
        <charset val="1"/>
      </rPr>
      <t xml:space="preserve">(</t>
    </r>
    <r>
      <rPr>
        <b val="true"/>
        <sz val="10"/>
        <color rgb="FFFFFFFF"/>
        <rFont val="WenQuanYi Zen Hei"/>
        <family val="2"/>
      </rPr>
      <t xml:space="preserve">千円</t>
    </r>
    <r>
      <rPr>
        <b val="true"/>
        <sz val="10"/>
        <color rgb="FFFFFFFF"/>
        <rFont val="Arial"/>
        <family val="0"/>
        <charset val="1"/>
      </rPr>
      <t xml:space="preserve">)</t>
    </r>
  </si>
  <si>
    <t xml:space="preserve">出所・根拠</t>
  </si>
  <si>
    <r>
      <rPr>
        <b val="true"/>
        <sz val="10"/>
        <color rgb="FF1E2761"/>
        <rFont val="WenQuanYi Zen Hei"/>
        <family val="2"/>
      </rPr>
      <t xml:space="preserve">決算書 営業利益（</t>
    </r>
    <r>
      <rPr>
        <b val="true"/>
        <sz val="10"/>
        <color rgb="FF1E2761"/>
        <rFont val="Arial"/>
        <family val="0"/>
        <charset val="1"/>
      </rPr>
      <t xml:space="preserve">2025</t>
    </r>
    <r>
      <rPr>
        <b val="true"/>
        <sz val="10"/>
        <color rgb="FF1E2761"/>
        <rFont val="WenQuanYi Zen Hei"/>
        <family val="2"/>
      </rPr>
      <t xml:space="preserve">年</t>
    </r>
    <r>
      <rPr>
        <b val="true"/>
        <sz val="10"/>
        <color rgb="FF1E2761"/>
        <rFont val="Arial"/>
        <family val="0"/>
        <charset val="1"/>
      </rPr>
      <t xml:space="preserve">7</t>
    </r>
    <r>
      <rPr>
        <b val="true"/>
        <sz val="10"/>
        <color rgb="FF1E2761"/>
        <rFont val="WenQuanYi Zen Hei"/>
        <family val="2"/>
      </rPr>
      <t xml:space="preserve">月期・全社）</t>
    </r>
  </si>
  <si>
    <r>
      <rPr>
        <b val="true"/>
        <sz val="10"/>
        <color rgb="FF1E2761"/>
        <rFont val="WenQuanYi Zen Hei"/>
        <family val="2"/>
      </rPr>
      <t xml:space="preserve">概要書</t>
    </r>
    <r>
      <rPr>
        <b val="true"/>
        <sz val="10"/>
        <color rgb="FF1E2761"/>
        <rFont val="Arial"/>
        <family val="0"/>
        <charset val="1"/>
      </rPr>
      <t xml:space="preserve">p.36 </t>
    </r>
    <r>
      <rPr>
        <b val="true"/>
        <sz val="10"/>
        <color rgb="FF1E2761"/>
        <rFont val="WenQuanYi Zen Hei"/>
        <family val="2"/>
      </rPr>
      <t xml:space="preserve">損益計算書／全社ベース</t>
    </r>
  </si>
  <si>
    <t xml:space="preserve">【① 譲渡対象外事業（不動産賃貸業）の切分け】</t>
  </si>
  <si>
    <t xml:space="preserve">不動産賃貸業は対象会社に残置（＝譲渡対象外）</t>
  </si>
  <si>
    <t xml:space="preserve">△</t>
  </si>
  <si>
    <t xml:space="preserve">賃料収入の切分け</t>
  </si>
  <si>
    <t xml:space="preserve">対象事業視点から失う収益</t>
  </si>
  <si>
    <t xml:space="preserve">＋</t>
  </si>
  <si>
    <r>
      <rPr>
        <sz val="10"/>
        <rFont val="WenQuanYi Zen Hei"/>
        <family val="2"/>
      </rPr>
      <t xml:space="preserve">売上値引△</t>
    </r>
    <r>
      <rPr>
        <sz val="10"/>
        <rFont val="Arial"/>
        <family val="0"/>
        <charset val="1"/>
      </rPr>
      <t xml:space="preserve">708</t>
    </r>
    <r>
      <rPr>
        <sz val="10"/>
        <rFont val="WenQuanYi Zen Hei"/>
        <family val="2"/>
      </rPr>
      <t xml:space="preserve">千円の切分け</t>
    </r>
  </si>
  <si>
    <t xml:space="preserve">共通部門計上の売上調整項目</t>
  </si>
  <si>
    <r>
      <rPr>
        <sz val="10"/>
        <rFont val="WenQuanYi Zen Hei"/>
        <family val="2"/>
      </rPr>
      <t xml:space="preserve">保有不動産関連費用</t>
    </r>
    <r>
      <rPr>
        <sz val="10"/>
        <rFont val="Arial"/>
        <family val="0"/>
        <charset val="1"/>
      </rPr>
      <t xml:space="preserve">(4</t>
    </r>
    <r>
      <rPr>
        <sz val="10"/>
        <rFont val="WenQuanYi Zen Hei"/>
        <family val="2"/>
      </rPr>
      <t xml:space="preserve">項目</t>
    </r>
    <r>
      <rPr>
        <sz val="10"/>
        <rFont val="Arial"/>
        <family val="0"/>
        <charset val="1"/>
      </rPr>
      <t xml:space="preserve">)</t>
    </r>
    <r>
      <rPr>
        <sz val="10"/>
        <rFont val="WenQuanYi Zen Hei"/>
        <family val="2"/>
      </rPr>
      <t xml:space="preserve">の切分け</t>
    </r>
  </si>
  <si>
    <r>
      <rPr>
        <sz val="10"/>
        <rFont val="WenQuanYi Zen Hei"/>
        <family val="2"/>
      </rPr>
      <t xml:space="preserve">減価償却</t>
    </r>
    <r>
      <rPr>
        <sz val="10"/>
        <rFont val="Arial"/>
        <family val="0"/>
        <charset val="1"/>
      </rPr>
      <t xml:space="preserve">5,736+</t>
    </r>
    <r>
      <rPr>
        <sz val="10"/>
        <rFont val="WenQuanYi Zen Hei"/>
        <family val="2"/>
      </rPr>
      <t xml:space="preserve">租税公課</t>
    </r>
    <r>
      <rPr>
        <sz val="10"/>
        <rFont val="Arial"/>
        <family val="0"/>
        <charset val="1"/>
      </rPr>
      <t xml:space="preserve">1,058+</t>
    </r>
    <r>
      <rPr>
        <sz val="10"/>
        <rFont val="WenQuanYi Zen Hei"/>
        <family val="2"/>
      </rPr>
      <t xml:space="preserve">水道光熱</t>
    </r>
    <r>
      <rPr>
        <sz val="10"/>
        <rFont val="Arial"/>
        <family val="0"/>
        <charset val="1"/>
      </rPr>
      <t xml:space="preserve">464+</t>
    </r>
    <r>
      <rPr>
        <sz val="10"/>
        <rFont val="WenQuanYi Zen Hei"/>
        <family val="2"/>
      </rPr>
      <t xml:space="preserve">修繕</t>
    </r>
    <r>
      <rPr>
        <sz val="10"/>
        <rFont val="Arial"/>
        <family val="0"/>
        <charset val="1"/>
      </rPr>
      <t xml:space="preserve">442 </t>
    </r>
    <r>
      <rPr>
        <sz val="10"/>
        <rFont val="WenQuanYi Zen Hei"/>
        <family val="2"/>
      </rPr>
      <t xml:space="preserve">千円</t>
    </r>
  </si>
  <si>
    <t xml:space="preserve">　　小計①（不動産賃貸業関連 純影響額）</t>
  </si>
  <si>
    <r>
      <rPr>
        <b val="true"/>
        <i val="true"/>
        <sz val="10"/>
        <color rgb="FF555555"/>
        <rFont val="WenQuanYi Zen Hei"/>
        <family val="2"/>
      </rPr>
      <t xml:space="preserve">不動産賃貸業の純益△</t>
    </r>
    <r>
      <rPr>
        <b val="true"/>
        <i val="true"/>
        <sz val="10"/>
        <color rgb="FF555555"/>
        <rFont val="Arial"/>
        <family val="0"/>
        <charset val="1"/>
      </rPr>
      <t xml:space="preserve">4,790</t>
    </r>
    <r>
      <rPr>
        <b val="true"/>
        <i val="true"/>
        <sz val="10"/>
        <color rgb="FF555555"/>
        <rFont val="WenQuanYi Zen Hei"/>
        <family val="2"/>
      </rPr>
      <t xml:space="preserve">千円を対象事業視点から失う</t>
    </r>
  </si>
  <si>
    <t xml:space="preserve">【② オーナー・退任関連費用の除外】</t>
  </si>
  <si>
    <t xml:space="preserve">いずれも譲渡後は発生しない前提</t>
  </si>
  <si>
    <r>
      <rPr>
        <sz val="10"/>
        <rFont val="WenQuanYi Zen Hei"/>
        <family val="2"/>
      </rPr>
      <t xml:space="preserve">業務委託費</t>
    </r>
    <r>
      <rPr>
        <sz val="10"/>
        <rFont val="Arial"/>
        <family val="0"/>
        <charset val="1"/>
      </rPr>
      <t xml:space="preserve">(Kuberu</t>
    </r>
    <r>
      <rPr>
        <sz val="10"/>
        <rFont val="WenQuanYi Zen Hei"/>
        <family val="2"/>
      </rPr>
      <t xml:space="preserve">社等</t>
    </r>
    <r>
      <rPr>
        <sz val="10"/>
        <rFont val="Arial"/>
        <family val="0"/>
        <charset val="1"/>
      </rPr>
      <t xml:space="preserve">)</t>
    </r>
    <r>
      <rPr>
        <sz val="10"/>
        <rFont val="WenQuanYi Zen Hei"/>
        <family val="2"/>
      </rPr>
      <t xml:space="preserve">の除外</t>
    </r>
  </si>
  <si>
    <r>
      <rPr>
        <sz val="10"/>
        <rFont val="Arial"/>
        <family val="0"/>
        <charset val="1"/>
      </rPr>
      <t xml:space="preserve">(</t>
    </r>
    <r>
      <rPr>
        <sz val="10"/>
        <rFont val="WenQuanYi Zen Hei"/>
        <family val="2"/>
      </rPr>
      <t xml:space="preserve">株</t>
    </r>
    <r>
      <rPr>
        <sz val="10"/>
        <rFont val="Arial"/>
        <family val="0"/>
        <charset val="1"/>
      </rPr>
      <t xml:space="preserve">)Kuberu</t>
    </r>
    <r>
      <rPr>
        <sz val="10"/>
        <rFont val="WenQuanYi Zen Hei"/>
        <family val="2"/>
      </rPr>
      <t xml:space="preserve">社</t>
    </r>
    <r>
      <rPr>
        <sz val="10"/>
        <rFont val="Arial"/>
        <family val="0"/>
        <charset val="1"/>
      </rPr>
      <t xml:space="preserve">(</t>
    </r>
    <r>
      <rPr>
        <sz val="10"/>
        <rFont val="WenQuanYi Zen Hei"/>
        <family val="2"/>
      </rPr>
      <t xml:space="preserve">前代表・原田様の資産管理会社</t>
    </r>
    <r>
      <rPr>
        <sz val="10"/>
        <rFont val="Arial"/>
        <family val="0"/>
        <charset val="1"/>
      </rPr>
      <t xml:space="preserve">)/</t>
    </r>
    <r>
      <rPr>
        <sz val="10"/>
        <rFont val="WenQuanYi Zen Hei"/>
        <family val="2"/>
      </rPr>
      <t xml:space="preserve">退職者への業務継続費用</t>
    </r>
    <r>
      <rPr>
        <sz val="10"/>
        <rFont val="Arial"/>
        <family val="0"/>
        <charset val="1"/>
      </rPr>
      <t xml:space="preserve">/</t>
    </r>
    <r>
      <rPr>
        <sz val="10"/>
        <rFont val="WenQuanYi Zen Hei"/>
        <family val="2"/>
      </rPr>
      <t xml:space="preserve">突発的な業務委託</t>
    </r>
  </si>
  <si>
    <r>
      <rPr>
        <sz val="10"/>
        <rFont val="WenQuanYi Zen Hei"/>
        <family val="2"/>
      </rPr>
      <t xml:space="preserve">交際費</t>
    </r>
    <r>
      <rPr>
        <sz val="10"/>
        <rFont val="Arial"/>
        <family val="0"/>
        <charset val="1"/>
      </rPr>
      <t xml:space="preserve">(</t>
    </r>
    <r>
      <rPr>
        <sz val="10"/>
        <rFont val="WenQuanYi Zen Hei"/>
        <family val="2"/>
      </rPr>
      <t xml:space="preserve">共通部門全額</t>
    </r>
    <r>
      <rPr>
        <sz val="10"/>
        <rFont val="Arial"/>
        <family val="0"/>
        <charset val="1"/>
      </rPr>
      <t xml:space="preserve">)</t>
    </r>
  </si>
  <si>
    <r>
      <rPr>
        <sz val="10"/>
        <rFont val="WenQuanYi Zen Hei"/>
        <family val="2"/>
      </rPr>
      <t xml:space="preserve">前代表</t>
    </r>
    <r>
      <rPr>
        <sz val="10"/>
        <rFont val="Arial"/>
        <family val="0"/>
        <charset val="1"/>
      </rPr>
      <t xml:space="preserve">(</t>
    </r>
    <r>
      <rPr>
        <sz val="10"/>
        <rFont val="WenQuanYi Zen Hei"/>
        <family val="2"/>
      </rPr>
      <t xml:space="preserve">原田様</t>
    </r>
    <r>
      <rPr>
        <sz val="10"/>
        <rFont val="Arial"/>
        <family val="0"/>
        <charset val="1"/>
      </rPr>
      <t xml:space="preserve">)</t>
    </r>
    <r>
      <rPr>
        <sz val="10"/>
        <rFont val="WenQuanYi Zen Hei"/>
        <family val="2"/>
      </rPr>
      <t xml:space="preserve">・オーナー</t>
    </r>
    <r>
      <rPr>
        <sz val="10"/>
        <rFont val="Arial"/>
        <family val="0"/>
        <charset val="1"/>
      </rPr>
      <t xml:space="preserve">(</t>
    </r>
    <r>
      <rPr>
        <sz val="10"/>
        <rFont val="WenQuanYi Zen Hei"/>
        <family val="2"/>
      </rPr>
      <t xml:space="preserve">加藤様</t>
    </r>
    <r>
      <rPr>
        <sz val="10"/>
        <rFont val="Arial"/>
        <family val="0"/>
        <charset val="1"/>
      </rPr>
      <t xml:space="preserve">)</t>
    </r>
    <r>
      <rPr>
        <sz val="10"/>
        <rFont val="WenQuanYi Zen Hei"/>
        <family val="2"/>
      </rPr>
      <t xml:space="preserve">関連の私用経費</t>
    </r>
  </si>
  <si>
    <r>
      <rPr>
        <sz val="10"/>
        <rFont val="WenQuanYi Zen Hei"/>
        <family val="2"/>
      </rPr>
      <t xml:space="preserve">旅費交通費</t>
    </r>
    <r>
      <rPr>
        <sz val="10"/>
        <rFont val="Arial"/>
        <family val="0"/>
        <charset val="1"/>
      </rPr>
      <t xml:space="preserve">(</t>
    </r>
    <r>
      <rPr>
        <sz val="10"/>
        <rFont val="WenQuanYi Zen Hei"/>
        <family val="2"/>
      </rPr>
      <t xml:space="preserve">共通部門全額</t>
    </r>
    <r>
      <rPr>
        <sz val="10"/>
        <rFont val="Arial"/>
        <family val="0"/>
        <charset val="1"/>
      </rPr>
      <t xml:space="preserve">)</t>
    </r>
  </si>
  <si>
    <t xml:space="preserve">同上</t>
  </si>
  <si>
    <r>
      <rPr>
        <sz val="10"/>
        <rFont val="WenQuanYi Zen Hei"/>
        <family val="2"/>
      </rPr>
      <t xml:space="preserve">支払報酬料</t>
    </r>
    <r>
      <rPr>
        <sz val="10"/>
        <rFont val="Arial"/>
        <family val="0"/>
        <charset val="1"/>
      </rPr>
      <t xml:space="preserve">(</t>
    </r>
    <r>
      <rPr>
        <sz val="10"/>
        <rFont val="WenQuanYi Zen Hei"/>
        <family val="2"/>
      </rPr>
      <t xml:space="preserve">残置分・退任関連</t>
    </r>
    <r>
      <rPr>
        <sz val="10"/>
        <rFont val="Arial"/>
        <family val="0"/>
        <charset val="1"/>
      </rPr>
      <t xml:space="preserve">)</t>
    </r>
  </si>
  <si>
    <r>
      <rPr>
        <sz val="10"/>
        <rFont val="WenQuanYi Zen Hei"/>
        <family val="2"/>
      </rPr>
      <t xml:space="preserve">支払報酬料</t>
    </r>
    <r>
      <rPr>
        <sz val="10"/>
        <rFont val="Arial"/>
        <family val="0"/>
        <charset val="1"/>
      </rPr>
      <t xml:space="preserve">6,648</t>
    </r>
    <r>
      <rPr>
        <sz val="10"/>
        <rFont val="WenQuanYi Zen Hei"/>
        <family val="2"/>
      </rPr>
      <t xml:space="preserve">千円のうち、譲渡後発生しない</t>
    </r>
    <r>
      <rPr>
        <sz val="10"/>
        <rFont val="Arial"/>
        <family val="0"/>
        <charset val="1"/>
      </rPr>
      <t xml:space="preserve">4,648</t>
    </r>
    <r>
      <rPr>
        <sz val="10"/>
        <rFont val="WenQuanYi Zen Hei"/>
        <family val="2"/>
      </rPr>
      <t xml:space="preserve">千円。会計・税務・法務</t>
    </r>
    <r>
      <rPr>
        <sz val="10"/>
        <rFont val="Arial"/>
        <family val="0"/>
        <charset val="1"/>
      </rPr>
      <t xml:space="preserve">2,000</t>
    </r>
    <r>
      <rPr>
        <sz val="10"/>
        <rFont val="WenQuanYi Zen Hei"/>
        <family val="2"/>
      </rPr>
      <t xml:space="preserve">千円は対象事業へ配賦済み</t>
    </r>
  </si>
  <si>
    <t xml:space="preserve">研究開発費</t>
  </si>
  <si>
    <t xml:space="preserve">対象事業の継続運営に必須ではない一過性費用</t>
  </si>
  <si>
    <r>
      <rPr>
        <sz val="10"/>
        <rFont val="WenQuanYi Zen Hei"/>
        <family val="2"/>
      </rPr>
      <t xml:space="preserve">保険料</t>
    </r>
    <r>
      <rPr>
        <sz val="10"/>
        <rFont val="Arial"/>
        <family val="0"/>
        <charset val="1"/>
      </rPr>
      <t xml:space="preserve">(</t>
    </r>
    <r>
      <rPr>
        <sz val="10"/>
        <rFont val="WenQuanYi Zen Hei"/>
        <family val="2"/>
      </rPr>
      <t xml:space="preserve">サイバー保険等・残置分</t>
    </r>
    <r>
      <rPr>
        <sz val="10"/>
        <rFont val="Arial"/>
        <family val="0"/>
        <charset val="1"/>
      </rPr>
      <t xml:space="preserve">)</t>
    </r>
  </si>
  <si>
    <r>
      <rPr>
        <sz val="10"/>
        <rFont val="WenQuanYi Zen Hei"/>
        <family val="2"/>
      </rPr>
      <t xml:space="preserve">火災保険</t>
    </r>
    <r>
      <rPr>
        <sz val="10"/>
        <rFont val="Arial"/>
        <family val="0"/>
        <charset val="1"/>
      </rPr>
      <t xml:space="preserve">111</t>
    </r>
    <r>
      <rPr>
        <sz val="10"/>
        <rFont val="WenQuanYi Zen Hei"/>
        <family val="2"/>
      </rPr>
      <t xml:space="preserve">千円は対象事業へ配賦、サイバー保険</t>
    </r>
    <r>
      <rPr>
        <sz val="10"/>
        <rFont val="Arial"/>
        <family val="0"/>
        <charset val="1"/>
      </rPr>
      <t xml:space="preserve">331</t>
    </r>
    <r>
      <rPr>
        <sz val="10"/>
        <rFont val="WenQuanYi Zen Hei"/>
        <family val="2"/>
      </rPr>
      <t xml:space="preserve">千円は譲渡後発生しない</t>
    </r>
  </si>
  <si>
    <t xml:space="preserve">　　小計②（オーナー・退任関連 純影響額）</t>
  </si>
  <si>
    <t xml:space="preserve">【③ 一過性費用の正常化】</t>
  </si>
  <si>
    <r>
      <rPr>
        <sz val="10"/>
        <rFont val="Arial"/>
        <family val="0"/>
        <charset val="1"/>
      </rPr>
      <t xml:space="preserve">Salesforce</t>
    </r>
    <r>
      <rPr>
        <sz val="10"/>
        <rFont val="WenQuanYi Zen Hei"/>
        <family val="2"/>
      </rPr>
      <t xml:space="preserve">ライセンス費用の正常化</t>
    </r>
  </si>
  <si>
    <r>
      <rPr>
        <sz val="10"/>
        <rFont val="Arial"/>
        <family val="0"/>
        <charset val="1"/>
      </rPr>
      <t xml:space="preserve">2025</t>
    </r>
    <r>
      <rPr>
        <sz val="10"/>
        <rFont val="WenQuanYi Zen Hei"/>
        <family val="2"/>
      </rPr>
      <t xml:space="preserve">年</t>
    </r>
    <r>
      <rPr>
        <sz val="10"/>
        <rFont val="Arial"/>
        <family val="0"/>
        <charset val="1"/>
      </rPr>
      <t xml:space="preserve">7</t>
    </r>
    <r>
      <rPr>
        <sz val="10"/>
        <rFont val="WenQuanYi Zen Hei"/>
        <family val="2"/>
      </rPr>
      <t xml:space="preserve">月期の一時的増加分を正常運用水準</t>
    </r>
    <r>
      <rPr>
        <sz val="10"/>
        <rFont val="Arial"/>
        <family val="0"/>
        <charset val="1"/>
      </rPr>
      <t xml:space="preserve">(3,420</t>
    </r>
    <r>
      <rPr>
        <sz val="10"/>
        <rFont val="WenQuanYi Zen Hei"/>
        <family val="2"/>
      </rPr>
      <t xml:space="preserve">千円</t>
    </r>
    <r>
      <rPr>
        <sz val="10"/>
        <rFont val="Arial"/>
        <family val="0"/>
        <charset val="1"/>
      </rPr>
      <t xml:space="preserve">)</t>
    </r>
    <r>
      <rPr>
        <sz val="10"/>
        <rFont val="WenQuanYi Zen Hei"/>
        <family val="2"/>
      </rPr>
      <t xml:space="preserve">へ調整</t>
    </r>
  </si>
  <si>
    <t xml:space="preserve">　　小計③</t>
  </si>
  <si>
    <t xml:space="preserve">【④ 管理部門コスト（対象会社に残置）】</t>
  </si>
  <si>
    <t xml:space="preserve">いずれも共通部門に残置され、対象事業スタンドアロンには帰属させない</t>
  </si>
  <si>
    <r>
      <rPr>
        <sz val="10"/>
        <rFont val="WenQuanYi Zen Hei"/>
        <family val="2"/>
      </rPr>
      <t xml:space="preserve">給料手当</t>
    </r>
    <r>
      <rPr>
        <sz val="10"/>
        <rFont val="Arial"/>
        <family val="0"/>
        <charset val="1"/>
      </rPr>
      <t xml:space="preserve">(</t>
    </r>
    <r>
      <rPr>
        <sz val="10"/>
        <rFont val="WenQuanYi Zen Hei"/>
        <family val="2"/>
      </rPr>
      <t xml:space="preserve">振替後残存分</t>
    </r>
    <r>
      <rPr>
        <sz val="10"/>
        <rFont val="Arial"/>
        <family val="0"/>
        <charset val="1"/>
      </rPr>
      <t xml:space="preserve">)</t>
    </r>
  </si>
  <si>
    <r>
      <rPr>
        <sz val="10"/>
        <rFont val="WenQuanYi Zen Hei"/>
        <family val="2"/>
      </rPr>
      <t xml:space="preserve">対象従業員</t>
    </r>
    <r>
      <rPr>
        <sz val="10"/>
        <rFont val="Arial"/>
        <family val="0"/>
        <charset val="1"/>
      </rPr>
      <t xml:space="preserve">2</t>
    </r>
    <r>
      <rPr>
        <sz val="10"/>
        <rFont val="WenQuanYi Zen Hei"/>
        <family val="2"/>
      </rPr>
      <t xml:space="preserve">名</t>
    </r>
    <r>
      <rPr>
        <sz val="10"/>
        <rFont val="Arial"/>
        <family val="0"/>
        <charset val="1"/>
      </rPr>
      <t xml:space="preserve">(</t>
    </r>
    <r>
      <rPr>
        <sz val="10"/>
        <rFont val="WenQuanYi Zen Hei"/>
        <family val="2"/>
      </rPr>
      <t xml:space="preserve">水元・小濱</t>
    </r>
    <r>
      <rPr>
        <sz val="10"/>
        <rFont val="Arial"/>
        <family val="0"/>
        <charset val="1"/>
      </rPr>
      <t xml:space="preserve">)</t>
    </r>
    <r>
      <rPr>
        <sz val="10"/>
        <rFont val="WenQuanYi Zen Hei"/>
        <family val="2"/>
      </rPr>
      <t xml:space="preserve">を除いた管理部門</t>
    </r>
    <r>
      <rPr>
        <sz val="10"/>
        <rFont val="Arial"/>
        <family val="0"/>
        <charset val="1"/>
      </rPr>
      <t xml:space="preserve">(</t>
    </r>
    <r>
      <rPr>
        <sz val="10"/>
        <rFont val="WenQuanYi Zen Hei"/>
        <family val="2"/>
      </rPr>
      <t xml:space="preserve">経理・総務等</t>
    </r>
    <r>
      <rPr>
        <sz val="10"/>
        <rFont val="Arial"/>
        <family val="0"/>
        <charset val="1"/>
      </rPr>
      <t xml:space="preserve">)</t>
    </r>
    <r>
      <rPr>
        <sz val="10"/>
        <rFont val="WenQuanYi Zen Hei"/>
        <family val="2"/>
      </rPr>
      <t xml:space="preserve">の人件費</t>
    </r>
  </si>
  <si>
    <r>
      <rPr>
        <sz val="10"/>
        <rFont val="WenQuanYi Zen Hei"/>
        <family val="2"/>
      </rPr>
      <t xml:space="preserve">法定福利費</t>
    </r>
    <r>
      <rPr>
        <sz val="10"/>
        <rFont val="Arial"/>
        <family val="0"/>
        <charset val="1"/>
      </rPr>
      <t xml:space="preserve">(</t>
    </r>
    <r>
      <rPr>
        <sz val="10"/>
        <rFont val="WenQuanYi Zen Hei"/>
        <family val="2"/>
      </rPr>
      <t xml:space="preserve">残存分</t>
    </r>
    <r>
      <rPr>
        <sz val="10"/>
        <rFont val="Arial"/>
        <family val="0"/>
        <charset val="1"/>
      </rPr>
      <t xml:space="preserve">)</t>
    </r>
  </si>
  <si>
    <t xml:space="preserve">同上に係る法定福利費</t>
  </si>
  <si>
    <r>
      <rPr>
        <sz val="10"/>
        <rFont val="WenQuanYi Zen Hei"/>
        <family val="2"/>
      </rPr>
      <t xml:space="preserve">退職共済金</t>
    </r>
    <r>
      <rPr>
        <sz val="10"/>
        <rFont val="Arial"/>
        <family val="0"/>
        <charset val="1"/>
      </rPr>
      <t xml:space="preserve">(</t>
    </r>
    <r>
      <rPr>
        <sz val="10"/>
        <rFont val="WenQuanYi Zen Hei"/>
        <family val="2"/>
      </rPr>
      <t xml:space="preserve">残存分</t>
    </r>
    <r>
      <rPr>
        <sz val="10"/>
        <rFont val="Arial"/>
        <family val="0"/>
        <charset val="1"/>
      </rPr>
      <t xml:space="preserve">)</t>
    </r>
  </si>
  <si>
    <r>
      <rPr>
        <sz val="10"/>
        <rFont val="WenQuanYi Zen Hei"/>
        <family val="2"/>
      </rPr>
      <t xml:space="preserve">福利厚生費</t>
    </r>
    <r>
      <rPr>
        <sz val="10"/>
        <rFont val="Arial"/>
        <family val="0"/>
        <charset val="1"/>
      </rPr>
      <t xml:space="preserve">(</t>
    </r>
    <r>
      <rPr>
        <sz val="10"/>
        <rFont val="WenQuanYi Zen Hei"/>
        <family val="2"/>
      </rPr>
      <t xml:space="preserve">残存分</t>
    </r>
    <r>
      <rPr>
        <sz val="10"/>
        <rFont val="Arial"/>
        <family val="0"/>
        <charset val="1"/>
      </rPr>
      <t xml:space="preserve">)</t>
    </r>
  </si>
  <si>
    <r>
      <rPr>
        <sz val="10"/>
        <rFont val="WenQuanYi Zen Hei"/>
        <family val="2"/>
      </rPr>
      <t xml:space="preserve">外注費</t>
    </r>
    <r>
      <rPr>
        <sz val="10"/>
        <rFont val="Arial"/>
        <family val="0"/>
        <charset val="1"/>
      </rPr>
      <t xml:space="preserve">(</t>
    </r>
    <r>
      <rPr>
        <sz val="10"/>
        <rFont val="WenQuanYi Zen Hei"/>
        <family val="2"/>
      </rPr>
      <t xml:space="preserve">共通部門</t>
    </r>
    <r>
      <rPr>
        <sz val="10"/>
        <rFont val="Arial"/>
        <family val="0"/>
        <charset val="1"/>
      </rPr>
      <t xml:space="preserve">)</t>
    </r>
  </si>
  <si>
    <t xml:space="preserve">管理部門実費</t>
  </si>
  <si>
    <r>
      <rPr>
        <sz val="10"/>
        <rFont val="WenQuanYi Zen Hei"/>
        <family val="2"/>
      </rPr>
      <t xml:space="preserve">会議費</t>
    </r>
    <r>
      <rPr>
        <sz val="10"/>
        <rFont val="Arial"/>
        <family val="0"/>
        <charset val="1"/>
      </rPr>
      <t xml:space="preserve">(</t>
    </r>
    <r>
      <rPr>
        <sz val="10"/>
        <rFont val="WenQuanYi Zen Hei"/>
        <family val="2"/>
      </rPr>
      <t xml:space="preserve">共通部門</t>
    </r>
    <r>
      <rPr>
        <sz val="10"/>
        <rFont val="Arial"/>
        <family val="0"/>
        <charset val="1"/>
      </rPr>
      <t xml:space="preserve">)</t>
    </r>
  </si>
  <si>
    <r>
      <rPr>
        <sz val="10"/>
        <rFont val="WenQuanYi Zen Hei"/>
        <family val="2"/>
      </rPr>
      <t xml:space="preserve">賃借料</t>
    </r>
    <r>
      <rPr>
        <sz val="10"/>
        <rFont val="Arial"/>
        <family val="0"/>
        <charset val="1"/>
      </rPr>
      <t xml:space="preserve">(</t>
    </r>
    <r>
      <rPr>
        <sz val="10"/>
        <rFont val="WenQuanYi Zen Hei"/>
        <family val="2"/>
      </rPr>
      <t xml:space="preserve">共通部門</t>
    </r>
    <r>
      <rPr>
        <sz val="10"/>
        <rFont val="Arial"/>
        <family val="0"/>
        <charset val="1"/>
      </rPr>
      <t xml:space="preserve">)</t>
    </r>
  </si>
  <si>
    <t xml:space="preserve">コピー機等</t>
  </si>
  <si>
    <r>
      <rPr>
        <sz val="10"/>
        <rFont val="WenQuanYi Zen Hei"/>
        <family val="2"/>
      </rPr>
      <t xml:space="preserve">研修費</t>
    </r>
    <r>
      <rPr>
        <sz val="10"/>
        <rFont val="Arial"/>
        <family val="0"/>
        <charset val="1"/>
      </rPr>
      <t xml:space="preserve">(</t>
    </r>
    <r>
      <rPr>
        <sz val="10"/>
        <rFont val="WenQuanYi Zen Hei"/>
        <family val="2"/>
      </rPr>
      <t xml:space="preserve">共通部門</t>
    </r>
    <r>
      <rPr>
        <sz val="10"/>
        <rFont val="Arial"/>
        <family val="0"/>
        <charset val="1"/>
      </rPr>
      <t xml:space="preserve">)</t>
    </r>
  </si>
  <si>
    <r>
      <rPr>
        <sz val="10"/>
        <rFont val="WenQuanYi Zen Hei"/>
        <family val="2"/>
      </rPr>
      <t xml:space="preserve">雑費</t>
    </r>
    <r>
      <rPr>
        <sz val="10"/>
        <rFont val="Arial"/>
        <family val="0"/>
        <charset val="1"/>
      </rPr>
      <t xml:space="preserve">(</t>
    </r>
    <r>
      <rPr>
        <sz val="10"/>
        <rFont val="WenQuanYi Zen Hei"/>
        <family val="2"/>
      </rPr>
      <t xml:space="preserve">共通部門</t>
    </r>
    <r>
      <rPr>
        <sz val="10"/>
        <rFont val="Arial"/>
        <family val="0"/>
        <charset val="1"/>
      </rPr>
      <t xml:space="preserve">)</t>
    </r>
  </si>
  <si>
    <t xml:space="preserve">　　小計④（管理部門残置 純影響額）</t>
  </si>
  <si>
    <t xml:space="preserve">【⑤ その他】</t>
  </si>
  <si>
    <r>
      <rPr>
        <sz val="10"/>
        <rFont val="Arial"/>
        <family val="0"/>
        <charset val="1"/>
      </rPr>
      <t xml:space="preserve">DB</t>
    </r>
    <r>
      <rPr>
        <sz val="10"/>
        <rFont val="WenQuanYi Zen Hei"/>
        <family val="2"/>
      </rPr>
      <t xml:space="preserve">マーケ部門 減価償却費の除外</t>
    </r>
  </si>
  <si>
    <t xml:space="preserve">保有不動産関連との整理</t>
  </si>
  <si>
    <t xml:space="preserve">　　小計⑤</t>
  </si>
  <si>
    <r>
      <rPr>
        <b val="true"/>
        <sz val="12"/>
        <color rgb="FF1E2761"/>
        <rFont val="WenQuanYi Zen Hei"/>
        <family val="2"/>
      </rPr>
      <t xml:space="preserve">＝ 対象</t>
    </r>
    <r>
      <rPr>
        <b val="true"/>
        <sz val="12"/>
        <color rgb="FF1E2761"/>
        <rFont val="Arial"/>
        <family val="0"/>
        <charset val="1"/>
      </rPr>
      <t xml:space="preserve">2</t>
    </r>
    <r>
      <rPr>
        <b val="true"/>
        <sz val="12"/>
        <color rgb="FF1E2761"/>
        <rFont val="WenQuanYi Zen Hei"/>
        <family val="2"/>
      </rPr>
      <t xml:space="preserve">事業 スタンドアロン営業利益</t>
    </r>
  </si>
  <si>
    <r>
      <rPr>
        <b val="true"/>
        <sz val="12"/>
        <color rgb="FF1E2761"/>
        <rFont val="Arial"/>
        <family val="0"/>
        <charset val="1"/>
      </rPr>
      <t xml:space="preserve">Y44(30,174</t>
    </r>
    <r>
      <rPr>
        <b val="true"/>
        <sz val="12"/>
        <color rgb="FF1E2761"/>
        <rFont val="WenQuanYi Zen Hei"/>
        <family val="2"/>
      </rPr>
      <t xml:space="preserve">千円</t>
    </r>
    <r>
      <rPr>
        <b val="true"/>
        <sz val="12"/>
        <color rgb="FF1E2761"/>
        <rFont val="Arial"/>
        <family val="0"/>
        <charset val="1"/>
      </rPr>
      <t xml:space="preserve">)</t>
    </r>
    <r>
      <rPr>
        <b val="true"/>
        <sz val="12"/>
        <color rgb="FF1E2761"/>
        <rFont val="WenQuanYi Zen Hei"/>
        <family val="2"/>
      </rPr>
      <t xml:space="preserve">と一致</t>
    </r>
  </si>
  <si>
    <t xml:space="preserve">※</t>
  </si>
  <si>
    <r>
      <rPr>
        <b val="true"/>
        <sz val="10"/>
        <rFont val="WenQuanYi Zen Hei"/>
        <family val="2"/>
      </rPr>
      <t xml:space="preserve">【検証】ファイルの</t>
    </r>
    <r>
      <rPr>
        <b val="true"/>
        <sz val="10"/>
        <rFont val="Arial"/>
        <family val="0"/>
        <charset val="1"/>
      </rPr>
      <t xml:space="preserve">Y44</t>
    </r>
    <r>
      <rPr>
        <b val="true"/>
        <sz val="10"/>
        <rFont val="WenQuanYi Zen Hei"/>
        <family val="2"/>
      </rPr>
      <t xml:space="preserve">値との差</t>
    </r>
  </si>
  <si>
    <r>
      <rPr>
        <sz val="10"/>
        <rFont val="Arial"/>
        <family val="0"/>
        <charset val="1"/>
      </rPr>
      <t xml:space="preserve">±100</t>
    </r>
    <r>
      <rPr>
        <sz val="10"/>
        <rFont val="WenQuanYi Zen Hei"/>
        <family val="2"/>
      </rPr>
      <t xml:space="preserve">千円以内であれば実務上</t>
    </r>
    <r>
      <rPr>
        <sz val="10"/>
        <rFont val="Arial"/>
        <family val="0"/>
        <charset val="1"/>
      </rPr>
      <t xml:space="preserve">OK</t>
    </r>
    <r>
      <rPr>
        <sz val="10"/>
        <rFont val="WenQuanYi Zen Hei"/>
        <family val="2"/>
      </rPr>
      <t xml:space="preserve">（端数処理の範囲）</t>
    </r>
  </si>
  <si>
    <r>
      <rPr>
        <b val="true"/>
        <sz val="10"/>
        <color rgb="FFC00000"/>
        <rFont val="WenQuanYi Zen Hei"/>
        <family val="2"/>
      </rPr>
      <t xml:space="preserve">【乖離額】＝スタンドアロン </t>
    </r>
    <r>
      <rPr>
        <b val="true"/>
        <sz val="10"/>
        <color rgb="FFC00000"/>
        <rFont val="Arial"/>
        <family val="0"/>
        <charset val="1"/>
      </rPr>
      <t xml:space="preserve">- </t>
    </r>
    <r>
      <rPr>
        <b val="true"/>
        <sz val="10"/>
        <color rgb="FFC00000"/>
        <rFont val="WenQuanYi Zen Hei"/>
        <family val="2"/>
      </rPr>
      <t xml:space="preserve">決算書</t>
    </r>
  </si>
  <si>
    <r>
      <rPr>
        <sz val="10"/>
        <rFont val="WenQuanYi Zen Hei"/>
        <family val="2"/>
      </rPr>
      <t xml:space="preserve">＝約</t>
    </r>
    <r>
      <rPr>
        <sz val="10"/>
        <rFont val="Arial"/>
        <family val="0"/>
        <charset val="1"/>
      </rPr>
      <t xml:space="preserve">70,302</t>
    </r>
    <r>
      <rPr>
        <sz val="10"/>
        <rFont val="WenQuanYi Zen Hei"/>
        <family val="2"/>
      </rPr>
      <t xml:space="preserve">千円（＝約</t>
    </r>
    <r>
      <rPr>
        <sz val="10"/>
        <rFont val="Arial"/>
        <family val="0"/>
        <charset val="1"/>
      </rPr>
      <t xml:space="preserve">7,000</t>
    </r>
    <r>
      <rPr>
        <sz val="10"/>
        <rFont val="WenQuanYi Zen Hei"/>
        <family val="2"/>
      </rPr>
      <t xml:space="preserve">万円）</t>
    </r>
  </si>
  <si>
    <t xml:space="preserve">【注記】本ブリッジは「共通部門から対象事業への配賦」を明示していません。</t>
  </si>
  <si>
    <r>
      <rPr>
        <sz val="10"/>
        <rFont val="WenQuanYi Zen Hei"/>
        <family val="2"/>
      </rPr>
      <t xml:space="preserve">・配賦（地代家賃・共益費・システム利用料・リース料・人件費 等 合計</t>
    </r>
    <r>
      <rPr>
        <sz val="10"/>
        <rFont val="Arial"/>
        <family val="0"/>
        <charset val="1"/>
      </rPr>
      <t xml:space="preserve">51,018</t>
    </r>
    <r>
      <rPr>
        <sz val="10"/>
        <rFont val="WenQuanYi Zen Hei"/>
        <family val="2"/>
      </rPr>
      <t xml:space="preserve">千円）は、共通部門損失△</t>
    </r>
    <r>
      <rPr>
        <sz val="10"/>
        <rFont val="Arial"/>
        <family val="0"/>
        <charset val="1"/>
      </rPr>
      <t xml:space="preserve">82,081</t>
    </r>
    <r>
      <rPr>
        <sz val="10"/>
        <rFont val="WenQuanYi Zen Hei"/>
        <family val="2"/>
      </rPr>
      <t xml:space="preserve">千円の除外と相殺されるため、</t>
    </r>
  </si>
  <si>
    <r>
      <rPr>
        <sz val="10"/>
        <rFont val="WenQuanYi Zen Hei"/>
        <family val="2"/>
      </rPr>
      <t xml:space="preserve">　ブリッジ上では表示していません（＝</t>
    </r>
    <r>
      <rPr>
        <sz val="10"/>
        <rFont val="Arial"/>
        <family val="0"/>
        <charset val="1"/>
      </rPr>
      <t xml:space="preserve">decisional PL △40,128 → target-only view </t>
    </r>
    <r>
      <rPr>
        <sz val="10"/>
        <rFont val="WenQuanYi Zen Hei"/>
        <family val="2"/>
      </rPr>
      <t xml:space="preserve">の際、共通部門の消失として</t>
    </r>
    <r>
      <rPr>
        <sz val="10"/>
        <rFont val="Arial"/>
        <family val="0"/>
        <charset val="1"/>
      </rPr>
      <t xml:space="preserve">+82,081</t>
    </r>
    <r>
      <rPr>
        <sz val="10"/>
        <rFont val="WenQuanYi Zen Hei"/>
        <family val="2"/>
      </rPr>
      <t xml:space="preserve">、</t>
    </r>
  </si>
  <si>
    <r>
      <rPr>
        <sz val="10"/>
        <rFont val="WenQuanYi Zen Hei"/>
        <family val="2"/>
      </rPr>
      <t xml:space="preserve">　対象事業の費用増として</t>
    </r>
    <r>
      <rPr>
        <sz val="10"/>
        <rFont val="Arial"/>
        <family val="0"/>
        <charset val="1"/>
      </rPr>
      <t xml:space="preserve">-51,018</t>
    </r>
    <r>
      <rPr>
        <sz val="10"/>
        <rFont val="WenQuanYi Zen Hei"/>
        <family val="2"/>
      </rPr>
      <t xml:space="preserve">が同時に発生し、差引</t>
    </r>
    <r>
      <rPr>
        <sz val="10"/>
        <rFont val="Arial"/>
        <family val="0"/>
        <charset val="1"/>
      </rPr>
      <t xml:space="preserve">+31,063</t>
    </r>
    <r>
      <rPr>
        <sz val="10"/>
        <rFont val="WenQuanYi Zen Hei"/>
        <family val="2"/>
      </rPr>
      <t xml:space="preserve">が対象事業スタンドアロンに寄与）。</t>
    </r>
  </si>
  <si>
    <r>
      <rPr>
        <sz val="10"/>
        <rFont val="WenQuanYi Zen Hei"/>
        <family val="2"/>
      </rPr>
      <t xml:space="preserve">・対象事業スタンドアロン営業利益</t>
    </r>
    <r>
      <rPr>
        <sz val="10"/>
        <rFont val="Arial"/>
        <family val="0"/>
        <charset val="1"/>
      </rPr>
      <t xml:space="preserve">+30,174</t>
    </r>
    <r>
      <rPr>
        <sz val="10"/>
        <rFont val="WenQuanYi Zen Hei"/>
        <family val="2"/>
      </rPr>
      <t xml:space="preserve">千円には、この配賦後費用（</t>
    </r>
    <r>
      <rPr>
        <sz val="10"/>
        <rFont val="Arial"/>
        <family val="0"/>
        <charset val="1"/>
      </rPr>
      <t xml:space="preserve">51,018</t>
    </r>
    <r>
      <rPr>
        <sz val="10"/>
        <rFont val="WenQuanYi Zen Hei"/>
        <family val="2"/>
      </rPr>
      <t xml:space="preserve">千円）が既に含まれています。</t>
    </r>
  </si>
  <si>
    <r>
      <rPr>
        <b val="true"/>
        <sz val="14"/>
        <color rgb="FF1E2761"/>
        <rFont val="WenQuanYi Zen Hei"/>
        <family val="2"/>
      </rPr>
      <t xml:space="preserve">乖離</t>
    </r>
    <r>
      <rPr>
        <b val="true"/>
        <sz val="14"/>
        <color rgb="FF1E2761"/>
        <rFont val="Arial"/>
        <family val="0"/>
        <charset val="1"/>
      </rPr>
      <t xml:space="preserve">+70,302</t>
    </r>
    <r>
      <rPr>
        <b val="true"/>
        <sz val="14"/>
        <color rgb="FF1E2761"/>
        <rFont val="WenQuanYi Zen Hei"/>
        <family val="2"/>
      </rPr>
      <t xml:space="preserve">千円の</t>
    </r>
    <r>
      <rPr>
        <b val="true"/>
        <sz val="14"/>
        <color rgb="FF1E2761"/>
        <rFont val="Arial"/>
        <family val="0"/>
        <charset val="1"/>
      </rPr>
      <t xml:space="preserve">5</t>
    </r>
    <r>
      <rPr>
        <b val="true"/>
        <sz val="14"/>
        <color rgb="FF1E2761"/>
        <rFont val="WenQuanYi Zen Hei"/>
        <family val="2"/>
      </rPr>
      <t xml:space="preserve">区分での要因分解</t>
    </r>
  </si>
  <si>
    <r>
      <rPr>
        <i val="true"/>
        <sz val="9"/>
        <color rgb="FF555555"/>
        <rFont val="WenQuanYi Zen Hei"/>
        <family val="2"/>
      </rPr>
      <t xml:space="preserve">簿価</t>
    </r>
    <r>
      <rPr>
        <i val="true"/>
        <sz val="9"/>
        <color rgb="FF555555"/>
        <rFont val="Arial"/>
        <family val="0"/>
        <charset val="1"/>
      </rPr>
      <t xml:space="preserve">PL△40,128</t>
    </r>
    <r>
      <rPr>
        <i val="true"/>
        <sz val="9"/>
        <color rgb="FF555555"/>
        <rFont val="WenQuanYi Zen Hei"/>
        <family val="2"/>
      </rPr>
      <t xml:space="preserve">千円 →（</t>
    </r>
    <r>
      <rPr>
        <i val="true"/>
        <sz val="9"/>
        <color rgb="FF555555"/>
        <rFont val="Arial"/>
        <family val="0"/>
        <charset val="1"/>
      </rPr>
      <t xml:space="preserve">5</t>
    </r>
    <r>
      <rPr>
        <i val="true"/>
        <sz val="9"/>
        <color rgb="FF555555"/>
        <rFont val="WenQuanYi Zen Hei"/>
        <family val="2"/>
      </rPr>
      <t xml:space="preserve">つの調整）→ スタンドアロン</t>
    </r>
    <r>
      <rPr>
        <i val="true"/>
        <sz val="9"/>
        <color rgb="FF555555"/>
        <rFont val="Arial"/>
        <family val="0"/>
        <charset val="1"/>
      </rPr>
      <t xml:space="preserve">+30,174</t>
    </r>
    <r>
      <rPr>
        <i val="true"/>
        <sz val="9"/>
        <color rgb="FF555555"/>
        <rFont val="WenQuanYi Zen Hei"/>
        <family val="2"/>
      </rPr>
      <t xml:space="preserve">千円</t>
    </r>
  </si>
  <si>
    <t xml:space="preserve">内容</t>
  </si>
  <si>
    <t xml:space="preserve">買手様への説明ポイント</t>
  </si>
  <si>
    <r>
      <rPr>
        <b val="true"/>
        <sz val="11"/>
        <color rgb="FF1E2761"/>
        <rFont val="WenQuanYi Zen Hei"/>
        <family val="2"/>
      </rPr>
      <t xml:space="preserve">決算書 営業利益（</t>
    </r>
    <r>
      <rPr>
        <b val="true"/>
        <sz val="11"/>
        <color rgb="FF1E2761"/>
        <rFont val="Arial"/>
        <family val="0"/>
        <charset val="1"/>
      </rPr>
      <t xml:space="preserve">2025</t>
    </r>
    <r>
      <rPr>
        <b val="true"/>
        <sz val="11"/>
        <color rgb="FF1E2761"/>
        <rFont val="WenQuanYi Zen Hei"/>
        <family val="2"/>
      </rPr>
      <t xml:space="preserve">年</t>
    </r>
    <r>
      <rPr>
        <b val="true"/>
        <sz val="11"/>
        <color rgb="FF1E2761"/>
        <rFont val="Arial"/>
        <family val="0"/>
        <charset val="1"/>
      </rPr>
      <t xml:space="preserve">7</t>
    </r>
    <r>
      <rPr>
        <b val="true"/>
        <sz val="11"/>
        <color rgb="FF1E2761"/>
        <rFont val="WenQuanYi Zen Hei"/>
        <family val="2"/>
      </rPr>
      <t xml:space="preserve">月期・全社）</t>
    </r>
  </si>
  <si>
    <r>
      <rPr>
        <b val="true"/>
        <sz val="11"/>
        <color rgb="FF1E2761"/>
        <rFont val="WenQuanYi Zen Hei"/>
        <family val="2"/>
      </rPr>
      <t xml:space="preserve">概要書</t>
    </r>
    <r>
      <rPr>
        <b val="true"/>
        <sz val="11"/>
        <color rgb="FF1E2761"/>
        <rFont val="Arial"/>
        <family val="0"/>
        <charset val="1"/>
      </rPr>
      <t xml:space="preserve">p.36 </t>
    </r>
    <r>
      <rPr>
        <b val="true"/>
        <sz val="11"/>
        <color rgb="FF1E2761"/>
        <rFont val="WenQuanYi Zen Hei"/>
        <family val="2"/>
      </rPr>
      <t xml:space="preserve">損益計算書</t>
    </r>
  </si>
  <si>
    <t xml:space="preserve">出発点</t>
  </si>
  <si>
    <t xml:space="preserve">①譲渡対象外事業（不動産賃貸業）の切分け</t>
  </si>
  <si>
    <r>
      <rPr>
        <sz val="10"/>
        <rFont val="WenQuanYi Zen Hei"/>
        <family val="2"/>
      </rPr>
      <t xml:space="preserve">賃料収入△</t>
    </r>
    <r>
      <rPr>
        <sz val="10"/>
        <rFont val="Arial"/>
        <family val="0"/>
        <charset val="1"/>
      </rPr>
      <t xml:space="preserve">13,200</t>
    </r>
    <r>
      <rPr>
        <sz val="10"/>
        <rFont val="WenQuanYi Zen Hei"/>
        <family val="2"/>
      </rPr>
      <t xml:space="preserve">千円 </t>
    </r>
    <r>
      <rPr>
        <sz val="10"/>
        <rFont val="Arial"/>
        <family val="0"/>
        <charset val="1"/>
      </rPr>
      <t xml:space="preserve">+ </t>
    </r>
    <r>
      <rPr>
        <sz val="10"/>
        <rFont val="WenQuanYi Zen Hei"/>
        <family val="2"/>
      </rPr>
      <t xml:space="preserve">売上値引除外</t>
    </r>
    <r>
      <rPr>
        <sz val="10"/>
        <rFont val="Arial"/>
        <family val="0"/>
        <charset val="1"/>
      </rPr>
      <t xml:space="preserve">+708 + </t>
    </r>
    <r>
      <rPr>
        <sz val="10"/>
        <rFont val="WenQuanYi Zen Hei"/>
        <family val="2"/>
      </rPr>
      <t xml:space="preserve">保有不動産費用</t>
    </r>
    <r>
      <rPr>
        <sz val="10"/>
        <rFont val="Arial"/>
        <family val="0"/>
        <charset val="1"/>
      </rPr>
      <t xml:space="preserve">+7,700</t>
    </r>
    <r>
      <rPr>
        <sz val="10"/>
        <rFont val="WenQuanYi Zen Hei"/>
        <family val="2"/>
      </rPr>
      <t xml:space="preserve">（減価償却</t>
    </r>
    <r>
      <rPr>
        <sz val="10"/>
        <rFont val="Arial"/>
        <family val="0"/>
        <charset val="1"/>
      </rPr>
      <t xml:space="preserve">5,736/</t>
    </r>
    <r>
      <rPr>
        <sz val="10"/>
        <rFont val="WenQuanYi Zen Hei"/>
        <family val="2"/>
      </rPr>
      <t xml:space="preserve">租税</t>
    </r>
    <r>
      <rPr>
        <sz val="10"/>
        <rFont val="Arial"/>
        <family val="0"/>
        <charset val="1"/>
      </rPr>
      <t xml:space="preserve">1,058/</t>
    </r>
    <r>
      <rPr>
        <sz val="10"/>
        <rFont val="WenQuanYi Zen Hei"/>
        <family val="2"/>
      </rPr>
      <t xml:space="preserve">水道光熱</t>
    </r>
    <r>
      <rPr>
        <sz val="10"/>
        <rFont val="Arial"/>
        <family val="0"/>
        <charset val="1"/>
      </rPr>
      <t xml:space="preserve">464/</t>
    </r>
    <r>
      <rPr>
        <sz val="10"/>
        <rFont val="WenQuanYi Zen Hei"/>
        <family val="2"/>
      </rPr>
      <t xml:space="preserve">修繕</t>
    </r>
    <r>
      <rPr>
        <sz val="10"/>
        <rFont val="Arial"/>
        <family val="0"/>
        <charset val="1"/>
      </rPr>
      <t xml:space="preserve">442</t>
    </r>
    <r>
      <rPr>
        <sz val="10"/>
        <rFont val="WenQuanYi Zen Hei"/>
        <family val="2"/>
      </rPr>
      <t xml:space="preserve">）</t>
    </r>
  </si>
  <si>
    <t xml:space="preserve">不動産賃貸事業は譲渡対象外＝対象会社に残置。関連する収益・費用を切り分け</t>
  </si>
  <si>
    <t xml:space="preserve">②オーナー・退任関連費用の除外</t>
  </si>
  <si>
    <r>
      <rPr>
        <sz val="10"/>
        <rFont val="Arial"/>
        <family val="0"/>
        <charset val="1"/>
      </rPr>
      <t xml:space="preserve">Kuberu</t>
    </r>
    <r>
      <rPr>
        <sz val="10"/>
        <rFont val="WenQuanYi Zen Hei"/>
        <family val="2"/>
      </rPr>
      <t xml:space="preserve">社等業務委託</t>
    </r>
    <r>
      <rPr>
        <sz val="10"/>
        <rFont val="Arial"/>
        <family val="0"/>
        <charset val="1"/>
      </rPr>
      <t xml:space="preserve">35,712 + </t>
    </r>
    <r>
      <rPr>
        <sz val="10"/>
        <rFont val="WenQuanYi Zen Hei"/>
        <family val="2"/>
      </rPr>
      <t xml:space="preserve">交際費</t>
    </r>
    <r>
      <rPr>
        <sz val="10"/>
        <rFont val="Arial"/>
        <family val="0"/>
        <charset val="1"/>
      </rPr>
      <t xml:space="preserve">6,777 + </t>
    </r>
    <r>
      <rPr>
        <sz val="10"/>
        <rFont val="WenQuanYi Zen Hei"/>
        <family val="2"/>
      </rPr>
      <t xml:space="preserve">旅費交通費</t>
    </r>
    <r>
      <rPr>
        <sz val="10"/>
        <rFont val="Arial"/>
        <family val="0"/>
        <charset val="1"/>
      </rPr>
      <t xml:space="preserve">5,409 + </t>
    </r>
    <r>
      <rPr>
        <sz val="10"/>
        <rFont val="WenQuanYi Zen Hei"/>
        <family val="2"/>
      </rPr>
      <t xml:space="preserve">支払報酬残置分</t>
    </r>
    <r>
      <rPr>
        <sz val="10"/>
        <rFont val="Arial"/>
        <family val="0"/>
        <charset val="1"/>
      </rPr>
      <t xml:space="preserve">4,648 + </t>
    </r>
    <r>
      <rPr>
        <sz val="10"/>
        <rFont val="WenQuanYi Zen Hei"/>
        <family val="2"/>
      </rPr>
      <t xml:space="preserve">研究開発費</t>
    </r>
    <r>
      <rPr>
        <sz val="10"/>
        <rFont val="Arial"/>
        <family val="0"/>
        <charset val="1"/>
      </rPr>
      <t xml:space="preserve">1,800 + </t>
    </r>
    <r>
      <rPr>
        <sz val="10"/>
        <rFont val="WenQuanYi Zen Hei"/>
        <family val="2"/>
      </rPr>
      <t xml:space="preserve">サイバー保険</t>
    </r>
    <r>
      <rPr>
        <sz val="10"/>
        <rFont val="Arial"/>
        <family val="0"/>
        <charset val="1"/>
      </rPr>
      <t xml:space="preserve">331</t>
    </r>
  </si>
  <si>
    <r>
      <rPr>
        <sz val="10"/>
        <rFont val="WenQuanYi Zen Hei"/>
        <family val="2"/>
      </rPr>
      <t xml:space="preserve">いずれも譲渡後は発生しない前提。前代表</t>
    </r>
    <r>
      <rPr>
        <sz val="10"/>
        <rFont val="Arial"/>
        <family val="0"/>
        <charset val="1"/>
      </rPr>
      <t xml:space="preserve">(</t>
    </r>
    <r>
      <rPr>
        <sz val="10"/>
        <rFont val="WenQuanYi Zen Hei"/>
        <family val="2"/>
      </rPr>
      <t xml:space="preserve">原田様</t>
    </r>
    <r>
      <rPr>
        <sz val="10"/>
        <rFont val="Arial"/>
        <family val="0"/>
        <charset val="1"/>
      </rPr>
      <t xml:space="preserve">)/</t>
    </r>
    <r>
      <rPr>
        <sz val="10"/>
        <rFont val="WenQuanYi Zen Hei"/>
        <family val="2"/>
      </rPr>
      <t xml:space="preserve">オーナー</t>
    </r>
    <r>
      <rPr>
        <sz val="10"/>
        <rFont val="Arial"/>
        <family val="0"/>
        <charset val="1"/>
      </rPr>
      <t xml:space="preserve">(</t>
    </r>
    <r>
      <rPr>
        <sz val="10"/>
        <rFont val="WenQuanYi Zen Hei"/>
        <family val="2"/>
      </rPr>
      <t xml:space="preserve">加藤様</t>
    </r>
    <r>
      <rPr>
        <sz val="10"/>
        <rFont val="Arial"/>
        <family val="0"/>
        <charset val="1"/>
      </rPr>
      <t xml:space="preserve">)</t>
    </r>
    <r>
      <rPr>
        <sz val="10"/>
        <rFont val="WenQuanYi Zen Hei"/>
        <family val="2"/>
      </rPr>
      <t xml:space="preserve">関連の私用経費・退任関連費用</t>
    </r>
  </si>
  <si>
    <t xml:space="preserve">③一過性費用の正常化</t>
  </si>
  <si>
    <r>
      <rPr>
        <sz val="10"/>
        <rFont val="Arial"/>
        <family val="0"/>
        <charset val="1"/>
      </rPr>
      <t xml:space="preserve">Salesforce</t>
    </r>
    <r>
      <rPr>
        <sz val="10"/>
        <rFont val="WenQuanYi Zen Hei"/>
        <family val="2"/>
      </rPr>
      <t xml:space="preserve">ライセンス</t>
    </r>
    <r>
      <rPr>
        <sz val="10"/>
        <rFont val="Arial"/>
        <family val="0"/>
        <charset val="1"/>
      </rPr>
      <t xml:space="preserve">2025</t>
    </r>
    <r>
      <rPr>
        <sz val="10"/>
        <rFont val="WenQuanYi Zen Hei"/>
        <family val="2"/>
      </rPr>
      <t xml:space="preserve">年</t>
    </r>
    <r>
      <rPr>
        <sz val="10"/>
        <rFont val="Arial"/>
        <family val="0"/>
        <charset val="1"/>
      </rPr>
      <t xml:space="preserve">7</t>
    </r>
    <r>
      <rPr>
        <sz val="10"/>
        <rFont val="WenQuanYi Zen Hei"/>
        <family val="2"/>
      </rPr>
      <t xml:space="preserve">月期一時増加分を通常運用水準へ調整</t>
    </r>
  </si>
  <si>
    <r>
      <rPr>
        <sz val="10"/>
        <rFont val="Arial"/>
        <family val="0"/>
        <charset val="1"/>
      </rPr>
      <t xml:space="preserve">Salesforce</t>
    </r>
    <r>
      <rPr>
        <sz val="10"/>
        <rFont val="WenQuanYi Zen Hei"/>
        <family val="2"/>
      </rPr>
      <t xml:space="preserve">社の新製品投入に伴う一過性の購入費用</t>
    </r>
  </si>
  <si>
    <t xml:space="preserve">④管理部門コスト（対象会社に残置）</t>
  </si>
  <si>
    <r>
      <rPr>
        <sz val="10"/>
        <rFont val="WenQuanYi Zen Hei"/>
        <family val="2"/>
      </rPr>
      <t xml:space="preserve">給料手当残存</t>
    </r>
    <r>
      <rPr>
        <sz val="10"/>
        <rFont val="Arial"/>
        <family val="0"/>
        <charset val="1"/>
      </rPr>
      <t xml:space="preserve">10,634 + </t>
    </r>
    <r>
      <rPr>
        <sz val="10"/>
        <rFont val="WenQuanYi Zen Hei"/>
        <family val="2"/>
      </rPr>
      <t xml:space="preserve">法定福利費</t>
    </r>
    <r>
      <rPr>
        <sz val="10"/>
        <rFont val="Arial"/>
        <family val="0"/>
        <charset val="1"/>
      </rPr>
      <t xml:space="preserve">2,525 + </t>
    </r>
    <r>
      <rPr>
        <sz val="10"/>
        <rFont val="WenQuanYi Zen Hei"/>
        <family val="2"/>
      </rPr>
      <t xml:space="preserve">退共</t>
    </r>
    <r>
      <rPr>
        <sz val="10"/>
        <rFont val="Arial"/>
        <family val="0"/>
        <charset val="1"/>
      </rPr>
      <t xml:space="preserve">84 + </t>
    </r>
    <r>
      <rPr>
        <sz val="10"/>
        <rFont val="WenQuanYi Zen Hei"/>
        <family val="2"/>
      </rPr>
      <t xml:space="preserve">福利厚生</t>
    </r>
    <r>
      <rPr>
        <sz val="10"/>
        <rFont val="Arial"/>
        <family val="0"/>
        <charset val="1"/>
      </rPr>
      <t xml:space="preserve">658 + </t>
    </r>
    <r>
      <rPr>
        <sz val="10"/>
        <rFont val="WenQuanYi Zen Hei"/>
        <family val="2"/>
      </rPr>
      <t xml:space="preserve">外注</t>
    </r>
    <r>
      <rPr>
        <sz val="10"/>
        <rFont val="Arial"/>
        <family val="0"/>
        <charset val="1"/>
      </rPr>
      <t xml:space="preserve">74 + </t>
    </r>
    <r>
      <rPr>
        <sz val="10"/>
        <rFont val="WenQuanYi Zen Hei"/>
        <family val="2"/>
      </rPr>
      <t xml:space="preserve">会議</t>
    </r>
    <r>
      <rPr>
        <sz val="10"/>
        <rFont val="Arial"/>
        <family val="0"/>
        <charset val="1"/>
      </rPr>
      <t xml:space="preserve">151 + </t>
    </r>
    <r>
      <rPr>
        <sz val="10"/>
        <rFont val="WenQuanYi Zen Hei"/>
        <family val="2"/>
      </rPr>
      <t xml:space="preserve">賃借</t>
    </r>
    <r>
      <rPr>
        <sz val="10"/>
        <rFont val="Arial"/>
        <family val="0"/>
        <charset val="1"/>
      </rPr>
      <t xml:space="preserve">726 + </t>
    </r>
    <r>
      <rPr>
        <sz val="10"/>
        <rFont val="WenQuanYi Zen Hei"/>
        <family val="2"/>
      </rPr>
      <t xml:space="preserve">研修</t>
    </r>
    <r>
      <rPr>
        <sz val="10"/>
        <rFont val="Arial"/>
        <family val="0"/>
        <charset val="1"/>
      </rPr>
      <t xml:space="preserve">85 + </t>
    </r>
    <r>
      <rPr>
        <sz val="10"/>
        <rFont val="WenQuanYi Zen Hei"/>
        <family val="2"/>
      </rPr>
      <t xml:space="preserve">雑費</t>
    </r>
    <r>
      <rPr>
        <sz val="10"/>
        <rFont val="Arial"/>
        <family val="0"/>
        <charset val="1"/>
      </rPr>
      <t xml:space="preserve">1,950</t>
    </r>
  </si>
  <si>
    <t xml:space="preserve">対象事業の運営に必須でない管理部門実費。共通部門に残置（＝対象会社の負担）</t>
  </si>
  <si>
    <r>
      <rPr>
        <sz val="10"/>
        <rFont val="WenQuanYi Zen Hei"/>
        <family val="2"/>
      </rPr>
      <t xml:space="preserve">⑤その他（</t>
    </r>
    <r>
      <rPr>
        <sz val="10"/>
        <rFont val="Arial"/>
        <family val="0"/>
        <charset val="1"/>
      </rPr>
      <t xml:space="preserve">DB</t>
    </r>
    <r>
      <rPr>
        <sz val="10"/>
        <rFont val="WenQuanYi Zen Hei"/>
        <family val="2"/>
      </rPr>
      <t xml:space="preserve">マーケ部門 減価償却費）</t>
    </r>
  </si>
  <si>
    <r>
      <rPr>
        <sz val="10"/>
        <rFont val="Arial"/>
        <family val="0"/>
        <charset val="1"/>
      </rPr>
      <t xml:space="preserve">K39</t>
    </r>
    <r>
      <rPr>
        <sz val="10"/>
        <rFont val="WenQuanYi Zen Hei"/>
        <family val="2"/>
      </rPr>
      <t xml:space="preserve">の</t>
    </r>
    <r>
      <rPr>
        <sz val="10"/>
        <rFont val="Arial"/>
        <family val="0"/>
        <charset val="1"/>
      </rPr>
      <t xml:space="preserve">410</t>
    </r>
    <r>
      <rPr>
        <sz val="10"/>
        <rFont val="WenQuanYi Zen Hei"/>
        <family val="2"/>
      </rPr>
      <t xml:space="preserve">千円。保有不動産関連との整理</t>
    </r>
  </si>
  <si>
    <r>
      <rPr>
        <b val="true"/>
        <sz val="10"/>
        <color rgb="FF555555"/>
        <rFont val="WenQuanYi Zen Hei"/>
        <family val="2"/>
      </rPr>
      <t xml:space="preserve">小計 </t>
    </r>
    <r>
      <rPr>
        <b val="true"/>
        <sz val="10"/>
        <color rgb="FF555555"/>
        <rFont val="Arial"/>
        <family val="0"/>
        <charset val="1"/>
      </rPr>
      <t xml:space="preserve">(①+②+③+④+⑤)</t>
    </r>
  </si>
  <si>
    <r>
      <rPr>
        <b val="true"/>
        <sz val="10"/>
        <color rgb="FF555555"/>
        <rFont val="WenQuanYi Zen Hei"/>
        <family val="2"/>
      </rPr>
      <t xml:space="preserve">＝乖離額（端数処理により実際は</t>
    </r>
    <r>
      <rPr>
        <b val="true"/>
        <sz val="10"/>
        <color rgb="FF555555"/>
        <rFont val="Arial"/>
        <family val="0"/>
        <charset val="1"/>
      </rPr>
      <t xml:space="preserve">70,302</t>
    </r>
    <r>
      <rPr>
        <b val="true"/>
        <sz val="10"/>
        <color rgb="FF555555"/>
        <rFont val="WenQuanYi Zen Hei"/>
        <family val="2"/>
      </rPr>
      <t xml:space="preserve">千円）</t>
    </r>
  </si>
  <si>
    <r>
      <rPr>
        <b val="true"/>
        <sz val="11"/>
        <color rgb="FF1E2761"/>
        <rFont val="WenQuanYi Zen Hei"/>
        <family val="2"/>
      </rPr>
      <t xml:space="preserve">＝ 対象</t>
    </r>
    <r>
      <rPr>
        <b val="true"/>
        <sz val="11"/>
        <color rgb="FF1E2761"/>
        <rFont val="Arial"/>
        <family val="0"/>
        <charset val="1"/>
      </rPr>
      <t xml:space="preserve">2</t>
    </r>
    <r>
      <rPr>
        <b val="true"/>
        <sz val="11"/>
        <color rgb="FF1E2761"/>
        <rFont val="WenQuanYi Zen Hei"/>
        <family val="2"/>
      </rPr>
      <t xml:space="preserve">事業 スタンドアロン営業利益</t>
    </r>
  </si>
  <si>
    <r>
      <rPr>
        <b val="true"/>
        <sz val="11"/>
        <color rgb="FF1E2761"/>
        <rFont val="Arial"/>
        <family val="0"/>
        <charset val="1"/>
      </rPr>
      <t xml:space="preserve">Y44</t>
    </r>
    <r>
      <rPr>
        <b val="true"/>
        <sz val="11"/>
        <color rgb="FF1E2761"/>
        <rFont val="WenQuanYi Zen Hei"/>
        <family val="2"/>
      </rPr>
      <t xml:space="preserve">（＝</t>
    </r>
    <r>
      <rPr>
        <b val="true"/>
        <sz val="11"/>
        <color rgb="FF1E2761"/>
        <rFont val="Arial"/>
        <family val="0"/>
        <charset val="1"/>
      </rPr>
      <t xml:space="preserve">Y8</t>
    </r>
    <r>
      <rPr>
        <b val="true"/>
        <sz val="11"/>
        <color rgb="FF1E2761"/>
        <rFont val="WenQuanYi Zen Hei"/>
        <family val="2"/>
      </rPr>
      <t xml:space="preserve">売上総利益 </t>
    </r>
    <r>
      <rPr>
        <b val="true"/>
        <sz val="11"/>
        <color rgb="FF1E2761"/>
        <rFont val="Arial"/>
        <family val="0"/>
        <charset val="1"/>
      </rPr>
      <t xml:space="preserve">- Y9</t>
    </r>
    <r>
      <rPr>
        <b val="true"/>
        <sz val="11"/>
        <color rgb="FF1E2761"/>
        <rFont val="WenQuanYi Zen Hei"/>
        <family val="2"/>
      </rPr>
      <t xml:space="preserve">販管費）</t>
    </r>
  </si>
  <si>
    <t xml:space="preserve">実態収益力（＝譲渡対象事業が独立して稼ぐ営業利益）</t>
  </si>
  <si>
    <t xml:space="preserve">【要点】</t>
  </si>
  <si>
    <r>
      <rPr>
        <sz val="10"/>
        <rFont val="WenQuanYi Zen Hei"/>
        <family val="2"/>
      </rPr>
      <t xml:space="preserve">・乖離の約</t>
    </r>
    <r>
      <rPr>
        <sz val="10"/>
        <rFont val="Arial"/>
        <family val="0"/>
        <charset val="1"/>
      </rPr>
      <t xml:space="preserve">77%</t>
    </r>
    <r>
      <rPr>
        <sz val="10"/>
        <rFont val="WenQuanYi Zen Hei"/>
        <family val="2"/>
      </rPr>
      <t xml:space="preserve">（</t>
    </r>
    <r>
      <rPr>
        <sz val="10"/>
        <rFont val="Arial"/>
        <family val="0"/>
        <charset val="1"/>
      </rPr>
      <t xml:space="preserve">54,677</t>
    </r>
    <r>
      <rPr>
        <sz val="10"/>
        <rFont val="WenQuanYi Zen Hei"/>
        <family val="2"/>
      </rPr>
      <t xml:space="preserve">千円）は「②オーナー・退任関連費用」＝譲渡後に確実に発生しなくなる項目</t>
    </r>
  </si>
  <si>
    <r>
      <rPr>
        <sz val="10"/>
        <rFont val="WenQuanYi Zen Hei"/>
        <family val="2"/>
      </rPr>
      <t xml:space="preserve">・「④管理部門コスト」</t>
    </r>
    <r>
      <rPr>
        <sz val="10"/>
        <rFont val="Arial"/>
        <family val="0"/>
        <charset val="1"/>
      </rPr>
      <t xml:space="preserve">+16,886</t>
    </r>
    <r>
      <rPr>
        <sz val="10"/>
        <rFont val="WenQuanYi Zen Hei"/>
        <family val="2"/>
      </rPr>
      <t xml:space="preserve">千円は対象会社に残置される（＝対象事業スタンドアロンには帰属させない）</t>
    </r>
  </si>
  <si>
    <r>
      <rPr>
        <sz val="10"/>
        <rFont val="WenQuanYi Zen Hei"/>
        <family val="2"/>
      </rPr>
      <t xml:space="preserve">・不動産賃貸業（△</t>
    </r>
    <r>
      <rPr>
        <sz val="10"/>
        <rFont val="Arial"/>
        <family val="0"/>
        <charset val="1"/>
      </rPr>
      <t xml:space="preserve">4,790</t>
    </r>
    <r>
      <rPr>
        <sz val="10"/>
        <rFont val="WenQuanYi Zen Hei"/>
        <family val="2"/>
      </rPr>
      <t xml:space="preserve">千円）は対象会社に残置される。買手様のご負担にはならない</t>
    </r>
  </si>
  <si>
    <r>
      <rPr>
        <sz val="10"/>
        <rFont val="WenQuanYi Zen Hei"/>
        <family val="2"/>
      </rPr>
      <t xml:space="preserve">・当該調整により算出される</t>
    </r>
    <r>
      <rPr>
        <sz val="10"/>
        <rFont val="Arial"/>
        <family val="0"/>
        <charset val="1"/>
      </rPr>
      <t xml:space="preserve">+30,174</t>
    </r>
    <r>
      <rPr>
        <sz val="10"/>
        <rFont val="WenQuanYi Zen Hei"/>
        <family val="2"/>
      </rPr>
      <t xml:space="preserve">千円が「譲渡対象事業のスタンドアロン営業利益（実態収益力）」</t>
    </r>
  </si>
  <si>
    <r>
      <rPr>
        <b val="true"/>
        <sz val="14"/>
        <color rgb="FF1E2761"/>
        <rFont val="WenQuanYi Zen Hei"/>
        <family val="2"/>
      </rPr>
      <t xml:space="preserve">共通部門コスト</t>
    </r>
    <r>
      <rPr>
        <b val="true"/>
        <sz val="14"/>
        <color rgb="FF1E2761"/>
        <rFont val="Arial"/>
        <family val="0"/>
        <charset val="1"/>
      </rPr>
      <t xml:space="preserve">94,573</t>
    </r>
    <r>
      <rPr>
        <b val="true"/>
        <sz val="14"/>
        <color rgb="FF1E2761"/>
        <rFont val="WenQuanYi Zen Hei"/>
        <family val="2"/>
      </rPr>
      <t xml:space="preserve">千円の</t>
    </r>
    <r>
      <rPr>
        <b val="true"/>
        <sz val="14"/>
        <color rgb="FF1E2761"/>
        <rFont val="Arial"/>
        <family val="0"/>
        <charset val="1"/>
      </rPr>
      <t xml:space="preserve">4</t>
    </r>
    <r>
      <rPr>
        <b val="true"/>
        <sz val="14"/>
        <color rgb="FF1E2761"/>
        <rFont val="WenQuanYi Zen Hei"/>
        <family val="2"/>
      </rPr>
      <t xml:space="preserve">区分処理明細</t>
    </r>
  </si>
  <si>
    <r>
      <rPr>
        <i val="true"/>
        <sz val="9"/>
        <color rgb="FF555555"/>
        <rFont val="Arial"/>
        <family val="0"/>
        <charset val="1"/>
      </rPr>
      <t xml:space="preserve">(a)</t>
    </r>
    <r>
      <rPr>
        <i val="true"/>
        <sz val="9"/>
        <color rgb="FF555555"/>
        <rFont val="WenQuanYi Zen Hei"/>
        <family val="2"/>
      </rPr>
      <t xml:space="preserve">対象事業へ配賦、</t>
    </r>
    <r>
      <rPr>
        <i val="true"/>
        <sz val="9"/>
        <color rgb="FF555555"/>
        <rFont val="Arial"/>
        <family val="0"/>
        <charset val="1"/>
      </rPr>
      <t xml:space="preserve">(b)</t>
    </r>
    <r>
      <rPr>
        <i val="true"/>
        <sz val="9"/>
        <color rgb="FF555555"/>
        <rFont val="WenQuanYi Zen Hei"/>
        <family val="2"/>
      </rPr>
      <t xml:space="preserve">不動産関連</t>
    </r>
    <r>
      <rPr>
        <i val="true"/>
        <sz val="9"/>
        <color rgb="FF555555"/>
        <rFont val="Arial"/>
        <family val="0"/>
        <charset val="1"/>
      </rPr>
      <t xml:space="preserve">(</t>
    </r>
    <r>
      <rPr>
        <i val="true"/>
        <sz val="9"/>
        <color rgb="FF555555"/>
        <rFont val="WenQuanYi Zen Hei"/>
        <family val="2"/>
      </rPr>
      <t xml:space="preserve">残置</t>
    </r>
    <r>
      <rPr>
        <i val="true"/>
        <sz val="9"/>
        <color rgb="FF555555"/>
        <rFont val="Arial"/>
        <family val="0"/>
        <charset val="1"/>
      </rPr>
      <t xml:space="preserve">)</t>
    </r>
    <r>
      <rPr>
        <i val="true"/>
        <sz val="9"/>
        <color rgb="FF555555"/>
        <rFont val="WenQuanYi Zen Hei"/>
        <family val="2"/>
      </rPr>
      <t xml:space="preserve">、</t>
    </r>
    <r>
      <rPr>
        <i val="true"/>
        <sz val="9"/>
        <color rgb="FF555555"/>
        <rFont val="Arial"/>
        <family val="0"/>
        <charset val="1"/>
      </rPr>
      <t xml:space="preserve">(c)</t>
    </r>
    <r>
      <rPr>
        <i val="true"/>
        <sz val="9"/>
        <color rgb="FF555555"/>
        <rFont val="WenQuanYi Zen Hei"/>
        <family val="2"/>
      </rPr>
      <t xml:space="preserve">オーナー・退任関連</t>
    </r>
    <r>
      <rPr>
        <i val="true"/>
        <sz val="9"/>
        <color rgb="FF555555"/>
        <rFont val="Arial"/>
        <family val="0"/>
        <charset val="1"/>
      </rPr>
      <t xml:space="preserve">(</t>
    </r>
    <r>
      <rPr>
        <i val="true"/>
        <sz val="9"/>
        <color rgb="FF555555"/>
        <rFont val="WenQuanYi Zen Hei"/>
        <family val="2"/>
      </rPr>
      <t xml:space="preserve">除外</t>
    </r>
    <r>
      <rPr>
        <i val="true"/>
        <sz val="9"/>
        <color rgb="FF555555"/>
        <rFont val="Arial"/>
        <family val="0"/>
        <charset val="1"/>
      </rPr>
      <t xml:space="preserve">)</t>
    </r>
    <r>
      <rPr>
        <i val="true"/>
        <sz val="9"/>
        <color rgb="FF555555"/>
        <rFont val="WenQuanYi Zen Hei"/>
        <family val="2"/>
      </rPr>
      <t xml:space="preserve">、</t>
    </r>
    <r>
      <rPr>
        <i val="true"/>
        <sz val="9"/>
        <color rgb="FF555555"/>
        <rFont val="Arial"/>
        <family val="0"/>
        <charset val="1"/>
      </rPr>
      <t xml:space="preserve">(d)</t>
    </r>
    <r>
      <rPr>
        <i val="true"/>
        <sz val="9"/>
        <color rgb="FF555555"/>
        <rFont val="WenQuanYi Zen Hei"/>
        <family val="2"/>
      </rPr>
      <t xml:space="preserve">管理部門</t>
    </r>
    <r>
      <rPr>
        <i val="true"/>
        <sz val="9"/>
        <color rgb="FF555555"/>
        <rFont val="Arial"/>
        <family val="0"/>
        <charset val="1"/>
      </rPr>
      <t xml:space="preserve">(</t>
    </r>
    <r>
      <rPr>
        <i val="true"/>
        <sz val="9"/>
        <color rgb="FF555555"/>
        <rFont val="WenQuanYi Zen Hei"/>
        <family val="2"/>
      </rPr>
      <t xml:space="preserve">残置</t>
    </r>
    <r>
      <rPr>
        <i val="true"/>
        <sz val="9"/>
        <color rgb="FF555555"/>
        <rFont val="Arial"/>
        <family val="0"/>
        <charset val="1"/>
      </rPr>
      <t xml:space="preserve">)</t>
    </r>
  </si>
  <si>
    <r>
      <rPr>
        <b val="true"/>
        <sz val="10"/>
        <color rgb="FFFFFFFF"/>
        <rFont val="WenQuanYi Zen Hei"/>
        <family val="2"/>
      </rPr>
      <t xml:space="preserve">共通部門
計上額</t>
    </r>
    <r>
      <rPr>
        <b val="true"/>
        <sz val="10"/>
        <color rgb="FFFFFFFF"/>
        <rFont val="Arial"/>
        <family val="0"/>
        <charset val="1"/>
      </rPr>
      <t xml:space="preserve">(</t>
    </r>
    <r>
      <rPr>
        <b val="true"/>
        <sz val="10"/>
        <color rgb="FFFFFFFF"/>
        <rFont val="WenQuanYi Zen Hei"/>
        <family val="2"/>
      </rPr>
      <t xml:space="preserve">円</t>
    </r>
    <r>
      <rPr>
        <b val="true"/>
        <sz val="10"/>
        <color rgb="FFFFFFFF"/>
        <rFont val="Arial"/>
        <family val="0"/>
        <charset val="1"/>
      </rPr>
      <t xml:space="preserve">)</t>
    </r>
  </si>
  <si>
    <r>
      <rPr>
        <b val="true"/>
        <sz val="10"/>
        <color rgb="FFFFFFFF"/>
        <rFont val="Arial"/>
        <family val="0"/>
        <charset val="1"/>
      </rPr>
      <t xml:space="preserve">(a)</t>
    </r>
    <r>
      <rPr>
        <b val="true"/>
        <sz val="10"/>
        <color rgb="FFFFFFFF"/>
        <rFont val="WenQuanYi Zen Hei"/>
        <family val="2"/>
      </rPr>
      <t xml:space="preserve">対象事業へ
配賦</t>
    </r>
  </si>
  <si>
    <r>
      <rPr>
        <b val="true"/>
        <sz val="10"/>
        <color rgb="FFFFFFFF"/>
        <rFont val="Arial"/>
        <family val="0"/>
        <charset val="1"/>
      </rPr>
      <t xml:space="preserve">(b)</t>
    </r>
    <r>
      <rPr>
        <b val="true"/>
        <sz val="10"/>
        <color rgb="FFFFFFFF"/>
        <rFont val="WenQuanYi Zen Hei"/>
        <family val="2"/>
      </rPr>
      <t xml:space="preserve">不動産
関連</t>
    </r>
    <r>
      <rPr>
        <b val="true"/>
        <sz val="10"/>
        <color rgb="FFFFFFFF"/>
        <rFont val="Arial"/>
        <family val="0"/>
        <charset val="1"/>
      </rPr>
      <t xml:space="preserve">(</t>
    </r>
    <r>
      <rPr>
        <b val="true"/>
        <sz val="10"/>
        <color rgb="FFFFFFFF"/>
        <rFont val="WenQuanYi Zen Hei"/>
        <family val="2"/>
      </rPr>
      <t xml:space="preserve">残置</t>
    </r>
    <r>
      <rPr>
        <b val="true"/>
        <sz val="10"/>
        <color rgb="FFFFFFFF"/>
        <rFont val="Arial"/>
        <family val="0"/>
        <charset val="1"/>
      </rPr>
      <t xml:space="preserve">)</t>
    </r>
  </si>
  <si>
    <r>
      <rPr>
        <b val="true"/>
        <sz val="10"/>
        <color rgb="FFFFFFFF"/>
        <rFont val="Arial"/>
        <family val="0"/>
        <charset val="1"/>
      </rPr>
      <t xml:space="preserve">(c)</t>
    </r>
    <r>
      <rPr>
        <b val="true"/>
        <sz val="10"/>
        <color rgb="FFFFFFFF"/>
        <rFont val="WenQuanYi Zen Hei"/>
        <family val="2"/>
      </rPr>
      <t xml:space="preserve">オーナー・退任
関連</t>
    </r>
    <r>
      <rPr>
        <b val="true"/>
        <sz val="10"/>
        <color rgb="FFFFFFFF"/>
        <rFont val="Arial"/>
        <family val="0"/>
        <charset val="1"/>
      </rPr>
      <t xml:space="preserve">(</t>
    </r>
    <r>
      <rPr>
        <b val="true"/>
        <sz val="10"/>
        <color rgb="FFFFFFFF"/>
        <rFont val="WenQuanYi Zen Hei"/>
        <family val="2"/>
      </rPr>
      <t xml:space="preserve">除外</t>
    </r>
    <r>
      <rPr>
        <b val="true"/>
        <sz val="10"/>
        <color rgb="FFFFFFFF"/>
        <rFont val="Arial"/>
        <family val="0"/>
        <charset val="1"/>
      </rPr>
      <t xml:space="preserve">)</t>
    </r>
  </si>
  <si>
    <r>
      <rPr>
        <b val="true"/>
        <sz val="10"/>
        <color rgb="FFFFFFFF"/>
        <rFont val="Arial"/>
        <family val="0"/>
        <charset val="1"/>
      </rPr>
      <t xml:space="preserve">(d)</t>
    </r>
    <r>
      <rPr>
        <b val="true"/>
        <sz val="10"/>
        <color rgb="FFFFFFFF"/>
        <rFont val="WenQuanYi Zen Hei"/>
        <family val="2"/>
      </rPr>
      <t xml:space="preserve">管理部門
</t>
    </r>
    <r>
      <rPr>
        <b val="true"/>
        <sz val="10"/>
        <color rgb="FFFFFFFF"/>
        <rFont val="Arial"/>
        <family val="0"/>
        <charset val="1"/>
      </rPr>
      <t xml:space="preserve">(</t>
    </r>
    <r>
      <rPr>
        <b val="true"/>
        <sz val="10"/>
        <color rgb="FFFFFFFF"/>
        <rFont val="WenQuanYi Zen Hei"/>
        <family val="2"/>
      </rPr>
      <t xml:space="preserve">残置</t>
    </r>
    <r>
      <rPr>
        <b val="true"/>
        <sz val="10"/>
        <color rgb="FFFFFFFF"/>
        <rFont val="Arial"/>
        <family val="0"/>
        <charset val="1"/>
      </rPr>
      <t xml:space="preserve">)</t>
    </r>
  </si>
  <si>
    <t xml:space="preserve">根拠</t>
  </si>
  <si>
    <t xml:space="preserve">売上高（値引・返品）</t>
  </si>
  <si>
    <t xml:space="preserve">不動産賃貸業関連の売上調整</t>
  </si>
  <si>
    <t xml:space="preserve">賃料収入</t>
  </si>
  <si>
    <t xml:space="preserve">不動産賃貸事業の売上高（対象会社に残置）</t>
  </si>
  <si>
    <t xml:space="preserve">ー役員報酬</t>
  </si>
  <si>
    <r>
      <rPr>
        <sz val="10"/>
        <rFont val="WenQuanYi Zen Hei"/>
        <family val="2"/>
      </rPr>
      <t xml:space="preserve">加藤様分を</t>
    </r>
    <r>
      <rPr>
        <sz val="10"/>
        <rFont val="Arial"/>
        <family val="0"/>
        <charset val="1"/>
      </rPr>
      <t xml:space="preserve">DDG</t>
    </r>
    <r>
      <rPr>
        <sz val="10"/>
        <rFont val="WenQuanYi Zen Hei"/>
        <family val="2"/>
      </rPr>
      <t xml:space="preserve">へ配賦</t>
    </r>
    <r>
      <rPr>
        <sz val="10"/>
        <rFont val="Arial"/>
        <family val="0"/>
        <charset val="1"/>
      </rPr>
      <t xml:space="preserve">(</t>
    </r>
    <r>
      <rPr>
        <sz val="10"/>
        <rFont val="WenQuanYi Zen Hei"/>
        <family val="2"/>
      </rPr>
      <t xml:space="preserve">既修正①</t>
    </r>
    <r>
      <rPr>
        <sz val="10"/>
        <rFont val="Arial"/>
        <family val="0"/>
        <charset val="1"/>
      </rPr>
      <t xml:space="preserve">)</t>
    </r>
  </si>
  <si>
    <t xml:space="preserve">ー給料手当</t>
  </si>
  <si>
    <r>
      <rPr>
        <sz val="10"/>
        <rFont val="WenQuanYi Zen Hei"/>
        <family val="2"/>
      </rPr>
      <t xml:space="preserve">対象従業員</t>
    </r>
    <r>
      <rPr>
        <sz val="10"/>
        <rFont val="Arial"/>
        <family val="0"/>
        <charset val="1"/>
      </rPr>
      <t xml:space="preserve">2</t>
    </r>
    <r>
      <rPr>
        <sz val="10"/>
        <rFont val="WenQuanYi Zen Hei"/>
        <family val="2"/>
      </rPr>
      <t xml:space="preserve">名</t>
    </r>
    <r>
      <rPr>
        <sz val="10"/>
        <rFont val="Arial"/>
        <family val="0"/>
        <charset val="1"/>
      </rPr>
      <t xml:space="preserve">(</t>
    </r>
    <r>
      <rPr>
        <sz val="10"/>
        <rFont val="WenQuanYi Zen Hei"/>
        <family val="2"/>
      </rPr>
      <t xml:space="preserve">水元・小濱</t>
    </r>
    <r>
      <rPr>
        <sz val="10"/>
        <rFont val="Arial"/>
        <family val="0"/>
        <charset val="1"/>
      </rPr>
      <t xml:space="preserve">)</t>
    </r>
    <r>
      <rPr>
        <sz val="10"/>
        <rFont val="WenQuanYi Zen Hei"/>
        <family val="2"/>
      </rPr>
      <t xml:space="preserve">分を配賦。残存は管理部門</t>
    </r>
    <r>
      <rPr>
        <sz val="10"/>
        <rFont val="Arial"/>
        <family val="0"/>
        <charset val="1"/>
      </rPr>
      <t xml:space="preserve">(</t>
    </r>
    <r>
      <rPr>
        <sz val="10"/>
        <rFont val="WenQuanYi Zen Hei"/>
        <family val="2"/>
      </rPr>
      <t xml:space="preserve">経理・総務等</t>
    </r>
    <r>
      <rPr>
        <sz val="10"/>
        <rFont val="Arial"/>
        <family val="0"/>
        <charset val="1"/>
      </rPr>
      <t xml:space="preserve">)</t>
    </r>
  </si>
  <si>
    <t xml:space="preserve">ー法定福利費</t>
  </si>
  <si>
    <r>
      <rPr>
        <sz val="10"/>
        <rFont val="Arial"/>
        <family val="0"/>
        <charset val="1"/>
      </rPr>
      <t xml:space="preserve">2</t>
    </r>
    <r>
      <rPr>
        <sz val="10"/>
        <rFont val="WenQuanYi Zen Hei"/>
        <family val="2"/>
      </rPr>
      <t xml:space="preserve">名分を配賦、残存は管理部門</t>
    </r>
  </si>
  <si>
    <t xml:space="preserve">ー退職共済金</t>
  </si>
  <si>
    <t xml:space="preserve">福利厚生費</t>
  </si>
  <si>
    <t xml:space="preserve">通勤費</t>
  </si>
  <si>
    <r>
      <rPr>
        <sz val="10"/>
        <rFont val="Arial"/>
        <family val="0"/>
        <charset val="1"/>
      </rPr>
      <t xml:space="preserve">2</t>
    </r>
    <r>
      <rPr>
        <sz val="10"/>
        <rFont val="WenQuanYi Zen Hei"/>
        <family val="2"/>
      </rPr>
      <t xml:space="preserve">名分</t>
    </r>
  </si>
  <si>
    <t xml:space="preserve">外注費</t>
  </si>
  <si>
    <t xml:space="preserve">交際費</t>
  </si>
  <si>
    <t xml:space="preserve">前代表・オーナー関連の私用経費（譲渡後発生しない）</t>
  </si>
  <si>
    <t xml:space="preserve">会議費</t>
  </si>
  <si>
    <t xml:space="preserve">旅費交通費</t>
  </si>
  <si>
    <t xml:space="preserve">通信費</t>
  </si>
  <si>
    <t xml:space="preserve">スタンドアロン運営に必要な通信基盤として全額配賦</t>
  </si>
  <si>
    <t xml:space="preserve">水道光熱費</t>
  </si>
  <si>
    <t xml:space="preserve">保有不動産関連</t>
  </si>
  <si>
    <t xml:space="preserve">修繕費</t>
  </si>
  <si>
    <t xml:space="preserve">新聞図書費</t>
  </si>
  <si>
    <t xml:space="preserve">情報購読費として全額配賦</t>
  </si>
  <si>
    <t xml:space="preserve">諸会費</t>
  </si>
  <si>
    <t xml:space="preserve">業界団体等会費として全額配賦</t>
  </si>
  <si>
    <r>
      <rPr>
        <sz val="10"/>
        <rFont val="WenQuanYi Zen Hei"/>
        <family val="2"/>
      </rPr>
      <t xml:space="preserve">支払手数料</t>
    </r>
    <r>
      <rPr>
        <sz val="10"/>
        <rFont val="Arial"/>
        <family val="0"/>
        <charset val="1"/>
      </rPr>
      <t xml:space="preserve">/</t>
    </r>
    <r>
      <rPr>
        <sz val="10"/>
        <rFont val="WenQuanYi Zen Hei"/>
        <family val="2"/>
      </rPr>
      <t xml:space="preserve">システム利用料</t>
    </r>
  </si>
  <si>
    <r>
      <rPr>
        <sz val="10"/>
        <rFont val="WenQuanYi Zen Hei"/>
        <family val="2"/>
      </rPr>
      <t xml:space="preserve">全額を売上割合で配賦</t>
    </r>
    <r>
      <rPr>
        <sz val="10"/>
        <rFont val="Arial"/>
        <family val="0"/>
        <charset val="1"/>
      </rPr>
      <t xml:space="preserve">(</t>
    </r>
    <r>
      <rPr>
        <sz val="10"/>
        <rFont val="WenQuanYi Zen Hei"/>
        <family val="2"/>
      </rPr>
      <t xml:space="preserve">既修正④</t>
    </r>
    <r>
      <rPr>
        <sz val="10"/>
        <rFont val="Arial"/>
        <family val="0"/>
        <charset val="1"/>
      </rPr>
      <t xml:space="preserve">)</t>
    </r>
  </si>
  <si>
    <t xml:space="preserve">地代家賃</t>
  </si>
  <si>
    <t xml:space="preserve">全額を売上割合で配賦</t>
  </si>
  <si>
    <t xml:space="preserve">共益費</t>
  </si>
  <si>
    <t xml:space="preserve">賃借料</t>
  </si>
  <si>
    <r>
      <rPr>
        <sz val="10"/>
        <rFont val="WenQuanYi Zen Hei"/>
        <family val="2"/>
      </rPr>
      <t xml:space="preserve">管理部門</t>
    </r>
    <r>
      <rPr>
        <sz val="10"/>
        <rFont val="Arial"/>
        <family val="0"/>
        <charset val="1"/>
      </rPr>
      <t xml:space="preserve">(</t>
    </r>
    <r>
      <rPr>
        <sz val="10"/>
        <rFont val="WenQuanYi Zen Hei"/>
        <family val="2"/>
      </rPr>
      <t xml:space="preserve">コピー機等</t>
    </r>
    <r>
      <rPr>
        <sz val="10"/>
        <rFont val="Arial"/>
        <family val="0"/>
        <charset val="1"/>
      </rPr>
      <t xml:space="preserve">)</t>
    </r>
  </si>
  <si>
    <t xml:space="preserve">保険料</t>
  </si>
  <si>
    <r>
      <rPr>
        <sz val="10"/>
        <rFont val="WenQuanYi Zen Hei"/>
        <family val="2"/>
      </rPr>
      <t xml:space="preserve">火災保険</t>
    </r>
    <r>
      <rPr>
        <sz val="10"/>
        <rFont val="Arial"/>
        <family val="0"/>
        <charset val="1"/>
      </rPr>
      <t xml:space="preserve">111</t>
    </r>
    <r>
      <rPr>
        <sz val="10"/>
        <rFont val="WenQuanYi Zen Hei"/>
        <family val="2"/>
      </rPr>
      <t xml:space="preserve">千円を配賦、サイバー保険</t>
    </r>
    <r>
      <rPr>
        <sz val="10"/>
        <rFont val="Arial"/>
        <family val="0"/>
        <charset val="1"/>
      </rPr>
      <t xml:space="preserve">330</t>
    </r>
    <r>
      <rPr>
        <sz val="10"/>
        <rFont val="WenQuanYi Zen Hei"/>
        <family val="2"/>
      </rPr>
      <t xml:space="preserve">千円は譲渡後不要のため除外</t>
    </r>
  </si>
  <si>
    <t xml:space="preserve">租税公課</t>
  </si>
  <si>
    <r>
      <rPr>
        <sz val="10"/>
        <rFont val="WenQuanYi Zen Hei"/>
        <family val="2"/>
      </rPr>
      <t xml:space="preserve">固定資産税</t>
    </r>
    <r>
      <rPr>
        <sz val="10"/>
        <rFont val="Arial"/>
        <family val="0"/>
        <charset val="1"/>
      </rPr>
      <t xml:space="preserve">(</t>
    </r>
    <r>
      <rPr>
        <sz val="10"/>
        <rFont val="WenQuanYi Zen Hei"/>
        <family val="2"/>
      </rPr>
      <t xml:space="preserve">保有不動産</t>
    </r>
    <r>
      <rPr>
        <sz val="10"/>
        <rFont val="Arial"/>
        <family val="0"/>
        <charset val="1"/>
      </rPr>
      <t xml:space="preserve">)</t>
    </r>
  </si>
  <si>
    <t xml:space="preserve">支払報酬料</t>
  </si>
  <si>
    <r>
      <rPr>
        <sz val="10"/>
        <rFont val="WenQuanYi Zen Hei"/>
        <family val="2"/>
      </rPr>
      <t xml:space="preserve">会計・税務・法務等 継続分</t>
    </r>
    <r>
      <rPr>
        <sz val="10"/>
        <rFont val="Arial"/>
        <family val="0"/>
        <charset val="1"/>
      </rPr>
      <t xml:space="preserve">2,000</t>
    </r>
    <r>
      <rPr>
        <sz val="10"/>
        <rFont val="WenQuanYi Zen Hei"/>
        <family val="2"/>
      </rPr>
      <t xml:space="preserve">千円のみ配賦。残置</t>
    </r>
    <r>
      <rPr>
        <sz val="10"/>
        <rFont val="Arial"/>
        <family val="0"/>
        <charset val="1"/>
      </rPr>
      <t xml:space="preserve">4,648</t>
    </r>
    <r>
      <rPr>
        <sz val="10"/>
        <rFont val="WenQuanYi Zen Hei"/>
        <family val="2"/>
      </rPr>
      <t xml:space="preserve">千円は退任関連</t>
    </r>
    <r>
      <rPr>
        <sz val="10"/>
        <rFont val="Arial"/>
        <family val="0"/>
        <charset val="1"/>
      </rPr>
      <t xml:space="preserve">(</t>
    </r>
    <r>
      <rPr>
        <sz val="10"/>
        <rFont val="WenQuanYi Zen Hei"/>
        <family val="2"/>
      </rPr>
      <t xml:space="preserve">除外</t>
    </r>
    <r>
      <rPr>
        <sz val="10"/>
        <rFont val="Arial"/>
        <family val="0"/>
        <charset val="1"/>
      </rPr>
      <t xml:space="preserve">)</t>
    </r>
  </si>
  <si>
    <t xml:space="preserve">減価償却費</t>
  </si>
  <si>
    <r>
      <rPr>
        <sz val="10"/>
        <rFont val="WenQuanYi Zen Hei"/>
        <family val="2"/>
      </rPr>
      <t xml:space="preserve">保有不動産</t>
    </r>
    <r>
      <rPr>
        <sz val="10"/>
        <rFont val="Arial"/>
        <family val="0"/>
        <charset val="1"/>
      </rPr>
      <t xml:space="preserve">(</t>
    </r>
    <r>
      <rPr>
        <sz val="10"/>
        <rFont val="WenQuanYi Zen Hei"/>
        <family val="2"/>
      </rPr>
      <t xml:space="preserve">本社建物・設備</t>
    </r>
    <r>
      <rPr>
        <sz val="10"/>
        <rFont val="Arial"/>
        <family val="0"/>
        <charset val="1"/>
      </rPr>
      <t xml:space="preserve">)</t>
    </r>
  </si>
  <si>
    <t xml:space="preserve">研修費</t>
  </si>
  <si>
    <t xml:space="preserve">対象事業の継続運営に必須ではない一過性費用（譲渡後発生しない）</t>
  </si>
  <si>
    <t xml:space="preserve">リース料</t>
  </si>
  <si>
    <r>
      <rPr>
        <sz val="10"/>
        <rFont val="WenQuanYi Zen Hei"/>
        <family val="2"/>
      </rPr>
      <t xml:space="preserve">広告制作部門の</t>
    </r>
    <r>
      <rPr>
        <sz val="10"/>
        <rFont val="Arial"/>
        <family val="0"/>
        <charset val="1"/>
      </rPr>
      <t xml:space="preserve">Mac</t>
    </r>
    <r>
      <rPr>
        <sz val="10"/>
        <rFont val="WenQuanYi Zen Hei"/>
        <family val="2"/>
      </rPr>
      <t xml:space="preserve">環境として全額配賦</t>
    </r>
    <r>
      <rPr>
        <sz val="10"/>
        <rFont val="Arial"/>
        <family val="0"/>
        <charset val="1"/>
      </rPr>
      <t xml:space="preserve">(</t>
    </r>
    <r>
      <rPr>
        <sz val="10"/>
        <rFont val="WenQuanYi Zen Hei"/>
        <family val="2"/>
      </rPr>
      <t xml:space="preserve">既修正⑤</t>
    </r>
    <r>
      <rPr>
        <sz val="10"/>
        <rFont val="Arial"/>
        <family val="0"/>
        <charset val="1"/>
      </rPr>
      <t xml:space="preserve">)</t>
    </r>
  </si>
  <si>
    <t xml:space="preserve">雑費</t>
  </si>
  <si>
    <t xml:space="preserve">収益 計</t>
  </si>
  <si>
    <t xml:space="preserve">費用 計</t>
  </si>
  <si>
    <t xml:space="preserve">共通部門 純利益（収益 － 費用）</t>
  </si>
  <si>
    <r>
      <rPr>
        <b val="true"/>
        <sz val="10"/>
        <rFont val="WenQuanYi Zen Hei"/>
        <family val="2"/>
      </rPr>
      <t xml:space="preserve">【検証】共通部門 実績営業利益（部門別損益 </t>
    </r>
    <r>
      <rPr>
        <b val="true"/>
        <sz val="10"/>
        <rFont val="Arial"/>
        <family val="0"/>
        <charset val="1"/>
      </rPr>
      <t xml:space="preserve">N44</t>
    </r>
    <r>
      <rPr>
        <b val="true"/>
        <sz val="10"/>
        <rFont val="WenQuanYi Zen Hei"/>
        <family val="2"/>
      </rPr>
      <t xml:space="preserve">）</t>
    </r>
  </si>
  <si>
    <r>
      <rPr>
        <sz val="10"/>
        <rFont val="Arial"/>
        <family val="0"/>
        <charset val="1"/>
      </rPr>
      <t xml:space="preserve">C</t>
    </r>
    <r>
      <rPr>
        <sz val="10"/>
        <rFont val="WenQuanYi Zen Hei"/>
        <family val="2"/>
      </rPr>
      <t xml:space="preserve">列が</t>
    </r>
    <r>
      <rPr>
        <sz val="10"/>
        <rFont val="Arial"/>
        <family val="0"/>
        <charset val="1"/>
      </rPr>
      <t xml:space="preserve">0</t>
    </r>
    <r>
      <rPr>
        <sz val="10"/>
        <rFont val="WenQuanYi Zen Hei"/>
        <family val="2"/>
      </rPr>
      <t xml:space="preserve">であれば一致</t>
    </r>
  </si>
  <si>
    <t xml:space="preserve">【本表と②ブリッジの対応】</t>
  </si>
  <si>
    <r>
      <rPr>
        <b val="true"/>
        <sz val="10"/>
        <rFont val="Arial"/>
        <family val="0"/>
        <charset val="1"/>
      </rPr>
      <t xml:space="preserve">(a)</t>
    </r>
    <r>
      <rPr>
        <b val="true"/>
        <sz val="10"/>
        <rFont val="WenQuanYi Zen Hei"/>
        <family val="2"/>
      </rPr>
      <t xml:space="preserve">対象事業へ配賦</t>
    </r>
  </si>
  <si>
    <r>
      <rPr>
        <sz val="10"/>
        <rFont val="WenQuanYi Zen Hei"/>
        <family val="2"/>
      </rPr>
      <t xml:space="preserve">共通部門損失除外</t>
    </r>
    <r>
      <rPr>
        <sz val="10"/>
        <rFont val="Arial"/>
        <family val="0"/>
        <charset val="1"/>
      </rPr>
      <t xml:space="preserve">(+82,081)</t>
    </r>
    <r>
      <rPr>
        <sz val="10"/>
        <rFont val="WenQuanYi Zen Hei"/>
        <family val="2"/>
      </rPr>
      <t xml:space="preserve">と対象事業費用増</t>
    </r>
    <r>
      <rPr>
        <sz val="10"/>
        <rFont val="Arial"/>
        <family val="0"/>
        <charset val="1"/>
      </rPr>
      <t xml:space="preserve">(-51,018)</t>
    </r>
    <r>
      <rPr>
        <sz val="10"/>
        <rFont val="WenQuanYi Zen Hei"/>
        <family val="2"/>
      </rPr>
      <t xml:space="preserve">で相殺 → ブリッジ上は表示していないが、スタンドアロン営業利益</t>
    </r>
    <r>
      <rPr>
        <sz val="10"/>
        <rFont val="Arial"/>
        <family val="0"/>
        <charset val="1"/>
      </rPr>
      <t xml:space="preserve">+30,174</t>
    </r>
    <r>
      <rPr>
        <sz val="10"/>
        <rFont val="WenQuanYi Zen Hei"/>
        <family val="2"/>
      </rPr>
      <t xml:space="preserve">千円には既に含まれている</t>
    </r>
  </si>
  <si>
    <r>
      <rPr>
        <b val="true"/>
        <sz val="10"/>
        <rFont val="Arial"/>
        <family val="0"/>
        <charset val="1"/>
      </rPr>
      <t xml:space="preserve">(b)</t>
    </r>
    <r>
      <rPr>
        <b val="true"/>
        <sz val="10"/>
        <rFont val="WenQuanYi Zen Hei"/>
        <family val="2"/>
      </rPr>
      <t xml:space="preserve">不動産関連</t>
    </r>
    <r>
      <rPr>
        <b val="true"/>
        <sz val="10"/>
        <rFont val="Arial"/>
        <family val="0"/>
        <charset val="1"/>
      </rPr>
      <t xml:space="preserve">(</t>
    </r>
    <r>
      <rPr>
        <b val="true"/>
        <sz val="10"/>
        <rFont val="WenQuanYi Zen Hei"/>
        <family val="2"/>
      </rPr>
      <t xml:space="preserve">残置</t>
    </r>
    <r>
      <rPr>
        <b val="true"/>
        <sz val="10"/>
        <rFont val="Arial"/>
        <family val="0"/>
        <charset val="1"/>
      </rPr>
      <t xml:space="preserve">)</t>
    </r>
  </si>
  <si>
    <r>
      <rPr>
        <sz val="10"/>
        <rFont val="WenQuanYi Zen Hei"/>
        <family val="2"/>
      </rPr>
      <t xml:space="preserve">ブリッジ①「譲渡対象外事業の切分け」（</t>
    </r>
    <r>
      <rPr>
        <sz val="10"/>
        <rFont val="Arial"/>
        <family val="0"/>
        <charset val="1"/>
      </rPr>
      <t xml:space="preserve">-4,790</t>
    </r>
    <r>
      <rPr>
        <sz val="10"/>
        <rFont val="WenQuanYi Zen Hei"/>
        <family val="2"/>
      </rPr>
      <t xml:space="preserve">千円）</t>
    </r>
  </si>
  <si>
    <r>
      <rPr>
        <b val="true"/>
        <sz val="10"/>
        <rFont val="Arial"/>
        <family val="0"/>
        <charset val="1"/>
      </rPr>
      <t xml:space="preserve">(c)</t>
    </r>
    <r>
      <rPr>
        <b val="true"/>
        <sz val="10"/>
        <rFont val="WenQuanYi Zen Hei"/>
        <family val="2"/>
      </rPr>
      <t xml:space="preserve">オーナー・退任関連</t>
    </r>
    <r>
      <rPr>
        <b val="true"/>
        <sz val="10"/>
        <rFont val="Arial"/>
        <family val="0"/>
        <charset val="1"/>
      </rPr>
      <t xml:space="preserve">(</t>
    </r>
    <r>
      <rPr>
        <b val="true"/>
        <sz val="10"/>
        <rFont val="WenQuanYi Zen Hei"/>
        <family val="2"/>
      </rPr>
      <t xml:space="preserve">除外</t>
    </r>
    <r>
      <rPr>
        <b val="true"/>
        <sz val="10"/>
        <rFont val="Arial"/>
        <family val="0"/>
        <charset val="1"/>
      </rPr>
      <t xml:space="preserve">)</t>
    </r>
  </si>
  <si>
    <r>
      <rPr>
        <sz val="10"/>
        <rFont val="WenQuanYi Zen Hei"/>
        <family val="2"/>
      </rPr>
      <t xml:space="preserve">ブリッジ②「オーナー・退任関連費用の除外」の一部（共通部門計上分</t>
    </r>
    <r>
      <rPr>
        <sz val="10"/>
        <rFont val="Arial"/>
        <family val="0"/>
        <charset val="1"/>
      </rPr>
      <t xml:space="preserve">18,965</t>
    </r>
    <r>
      <rPr>
        <sz val="10"/>
        <rFont val="WenQuanYi Zen Hei"/>
        <family val="2"/>
      </rPr>
      <t xml:space="preserve">千円分）</t>
    </r>
  </si>
  <si>
    <r>
      <rPr>
        <b val="true"/>
        <sz val="10"/>
        <rFont val="Arial"/>
        <family val="0"/>
        <charset val="1"/>
      </rPr>
      <t xml:space="preserve">(d)</t>
    </r>
    <r>
      <rPr>
        <b val="true"/>
        <sz val="10"/>
        <rFont val="WenQuanYi Zen Hei"/>
        <family val="2"/>
      </rPr>
      <t xml:space="preserve">管理部門</t>
    </r>
    <r>
      <rPr>
        <b val="true"/>
        <sz val="10"/>
        <rFont val="Arial"/>
        <family val="0"/>
        <charset val="1"/>
      </rPr>
      <t xml:space="preserve">(</t>
    </r>
    <r>
      <rPr>
        <b val="true"/>
        <sz val="10"/>
        <rFont val="WenQuanYi Zen Hei"/>
        <family val="2"/>
      </rPr>
      <t xml:space="preserve">残置</t>
    </r>
    <r>
      <rPr>
        <b val="true"/>
        <sz val="10"/>
        <rFont val="Arial"/>
        <family val="0"/>
        <charset val="1"/>
      </rPr>
      <t xml:space="preserve">)</t>
    </r>
  </si>
  <si>
    <r>
      <rPr>
        <sz val="10"/>
        <rFont val="WenQuanYi Zen Hei"/>
        <family val="2"/>
      </rPr>
      <t xml:space="preserve">ブリッジ④「管理部門コスト（対象会社に残置）」（</t>
    </r>
    <r>
      <rPr>
        <sz val="10"/>
        <rFont val="Arial"/>
        <family val="0"/>
        <charset val="1"/>
      </rPr>
      <t xml:space="preserve">+16,886</t>
    </r>
    <r>
      <rPr>
        <sz val="10"/>
        <rFont val="WenQuanYi Zen Hei"/>
        <family val="2"/>
      </rPr>
      <t xml:space="preserve">千円）</t>
    </r>
  </si>
  <si>
    <t xml:space="preserve">前提条件・注記</t>
  </si>
  <si>
    <r>
      <rPr>
        <b val="true"/>
        <sz val="10"/>
        <rFont val="Arial"/>
        <family val="0"/>
        <charset val="1"/>
      </rPr>
      <t xml:space="preserve">1. </t>
    </r>
    <r>
      <rPr>
        <b val="true"/>
        <sz val="10"/>
        <rFont val="WenQuanYi Zen Hei"/>
        <family val="2"/>
      </rPr>
      <t xml:space="preserve">本資料の目的</t>
    </r>
  </si>
  <si>
    <r>
      <rPr>
        <sz val="9"/>
        <rFont val="WenQuanYi Zen Hei"/>
        <family val="2"/>
      </rPr>
      <t xml:space="preserve">買手企業様からのご質問「決算書上の営業利益△</t>
    </r>
    <r>
      <rPr>
        <sz val="9"/>
        <rFont val="Arial"/>
        <family val="0"/>
        <charset val="1"/>
      </rPr>
      <t xml:space="preserve">40,128</t>
    </r>
    <r>
      <rPr>
        <sz val="9"/>
        <rFont val="WenQuanYi Zen Hei"/>
        <family val="2"/>
      </rPr>
      <t xml:space="preserve">千円と、対象事業の実態収益</t>
    </r>
    <r>
      <rPr>
        <sz val="9"/>
        <rFont val="Arial"/>
        <family val="0"/>
        <charset val="1"/>
      </rPr>
      <t xml:space="preserve">(</t>
    </r>
    <r>
      <rPr>
        <sz val="9"/>
        <rFont val="WenQuanYi Zen Hei"/>
        <family val="2"/>
      </rPr>
      <t xml:space="preserve">＋</t>
    </r>
    <r>
      <rPr>
        <sz val="9"/>
        <rFont val="Arial"/>
        <family val="0"/>
        <charset val="1"/>
      </rPr>
      <t xml:space="preserve">30,174</t>
    </r>
    <r>
      <rPr>
        <sz val="9"/>
        <rFont val="WenQuanYi Zen Hei"/>
        <family val="2"/>
      </rPr>
      <t xml:space="preserve">千円</t>
    </r>
    <r>
      <rPr>
        <sz val="9"/>
        <rFont val="Arial"/>
        <family val="0"/>
        <charset val="1"/>
      </rPr>
      <t xml:space="preserve">)</t>
    </r>
    <r>
      <rPr>
        <sz val="9"/>
        <rFont val="WenQuanYi Zen Hei"/>
        <family val="2"/>
      </rPr>
      <t xml:space="preserve">との乖離約</t>
    </r>
    <r>
      <rPr>
        <sz val="9"/>
        <rFont val="Arial"/>
        <family val="0"/>
        <charset val="1"/>
      </rPr>
      <t xml:space="preserve">7,000</t>
    </r>
    <r>
      <rPr>
        <sz val="9"/>
        <rFont val="WenQuanYi Zen Hei"/>
        <family val="2"/>
      </rPr>
      <t xml:space="preserve">万円の内訳」に対する</t>
    </r>
  </si>
  <si>
    <r>
      <rPr>
        <sz val="9"/>
        <rFont val="WenQuanYi Zen Hei"/>
        <family val="2"/>
      </rPr>
      <t xml:space="preserve">説明資料。「部門別損益</t>
    </r>
    <r>
      <rPr>
        <sz val="9"/>
        <rFont val="Arial"/>
        <family val="0"/>
        <charset val="1"/>
      </rPr>
      <t xml:space="preserve">_FY202507_55</t>
    </r>
    <r>
      <rPr>
        <sz val="9"/>
        <rFont val="WenQuanYi Zen Hei"/>
        <family val="2"/>
      </rPr>
      <t xml:space="preserve">期</t>
    </r>
    <r>
      <rPr>
        <sz val="9"/>
        <rFont val="Arial"/>
        <family val="0"/>
        <charset val="1"/>
      </rPr>
      <t xml:space="preserve">_260831_</t>
    </r>
    <r>
      <rPr>
        <sz val="9"/>
        <rFont val="WenQuanYi Zen Hei"/>
        <family val="2"/>
      </rPr>
      <t xml:space="preserve">スタンドアローンで回るように調整」ファイルの数値の整合性チェック、</t>
    </r>
  </si>
  <si>
    <r>
      <rPr>
        <sz val="9"/>
        <rFont val="WenQuanYi Zen Hei"/>
        <family val="2"/>
      </rPr>
      <t xml:space="preserve">および決算書</t>
    </r>
    <r>
      <rPr>
        <sz val="9"/>
        <rFont val="Arial"/>
        <family val="0"/>
        <charset val="1"/>
      </rPr>
      <t xml:space="preserve">PL</t>
    </r>
    <r>
      <rPr>
        <sz val="9"/>
        <rFont val="WenQuanYi Zen Hei"/>
        <family val="2"/>
      </rPr>
      <t xml:space="preserve">からスタンドアロン営業利益への段階的な調整プロセスを整理。</t>
    </r>
  </si>
  <si>
    <r>
      <rPr>
        <b val="true"/>
        <sz val="10"/>
        <rFont val="Arial"/>
        <family val="0"/>
        <charset val="1"/>
      </rPr>
      <t xml:space="preserve">2. </t>
    </r>
    <r>
      <rPr>
        <b val="true"/>
        <sz val="10"/>
        <rFont val="WenQuanYi Zen Hei"/>
        <family val="2"/>
      </rPr>
      <t xml:space="preserve">出発点となる数値の出所</t>
    </r>
  </si>
  <si>
    <r>
      <rPr>
        <sz val="9"/>
        <rFont val="WenQuanYi Zen Hei"/>
        <family val="2"/>
      </rPr>
      <t xml:space="preserve">・決算書 営業利益△</t>
    </r>
    <r>
      <rPr>
        <sz val="9"/>
        <rFont val="Arial"/>
        <family val="0"/>
        <charset val="1"/>
      </rPr>
      <t xml:space="preserve">40,128</t>
    </r>
    <r>
      <rPr>
        <sz val="9"/>
        <rFont val="WenQuanYi Zen Hei"/>
        <family val="2"/>
      </rPr>
      <t xml:space="preserve">千円：概要書</t>
    </r>
    <r>
      <rPr>
        <sz val="9"/>
        <rFont val="Arial"/>
        <family val="0"/>
        <charset val="1"/>
      </rPr>
      <t xml:space="preserve">p.36 </t>
    </r>
    <r>
      <rPr>
        <sz val="9"/>
        <rFont val="WenQuanYi Zen Hei"/>
        <family val="2"/>
      </rPr>
      <t xml:space="preserve">損益計算書／</t>
    </r>
    <r>
      <rPr>
        <sz val="9"/>
        <rFont val="Arial"/>
        <family val="0"/>
        <charset val="1"/>
      </rPr>
      <t xml:space="preserve">2025</t>
    </r>
    <r>
      <rPr>
        <sz val="9"/>
        <rFont val="WenQuanYi Zen Hei"/>
        <family val="2"/>
      </rPr>
      <t xml:space="preserve">年</t>
    </r>
    <r>
      <rPr>
        <sz val="9"/>
        <rFont val="Arial"/>
        <family val="0"/>
        <charset val="1"/>
      </rPr>
      <t xml:space="preserve">7</t>
    </r>
    <r>
      <rPr>
        <sz val="9"/>
        <rFont val="WenQuanYi Zen Hei"/>
        <family val="2"/>
      </rPr>
      <t xml:space="preserve">月期 帳簿価額</t>
    </r>
  </si>
  <si>
    <r>
      <rPr>
        <sz val="9"/>
        <rFont val="WenQuanYi Zen Hei"/>
        <family val="2"/>
      </rPr>
      <t xml:space="preserve">・スタンドアロン営業利益</t>
    </r>
    <r>
      <rPr>
        <sz val="9"/>
        <rFont val="Arial"/>
        <family val="0"/>
        <charset val="1"/>
      </rPr>
      <t xml:space="preserve">+30,174</t>
    </r>
    <r>
      <rPr>
        <sz val="9"/>
        <rFont val="WenQuanYi Zen Hei"/>
        <family val="2"/>
      </rPr>
      <t xml:space="preserve">千円：部門別損益</t>
    </r>
    <r>
      <rPr>
        <sz val="9"/>
        <rFont val="Arial"/>
        <family val="0"/>
        <charset val="1"/>
      </rPr>
      <t xml:space="preserve">(260831</t>
    </r>
    <r>
      <rPr>
        <sz val="9"/>
        <rFont val="WenQuanYi Zen Hei"/>
        <family val="2"/>
      </rPr>
      <t xml:space="preserve">版</t>
    </r>
    <r>
      <rPr>
        <sz val="9"/>
        <rFont val="Arial"/>
        <family val="0"/>
        <charset val="1"/>
      </rPr>
      <t xml:space="preserve">) Y44</t>
    </r>
  </si>
  <si>
    <r>
      <rPr>
        <sz val="9"/>
        <rFont val="WenQuanYi Zen Hei"/>
        <family val="2"/>
      </rPr>
      <t xml:space="preserve">・部門別損益ファイルの全社合計は決算書と完全一致</t>
    </r>
    <r>
      <rPr>
        <sz val="9"/>
        <rFont val="Arial"/>
        <family val="0"/>
        <charset val="1"/>
      </rPr>
      <t xml:space="preserve">(</t>
    </r>
    <r>
      <rPr>
        <sz val="9"/>
        <rFont val="WenQuanYi Zen Hei"/>
        <family val="2"/>
      </rPr>
      <t xml:space="preserve">売上高</t>
    </r>
    <r>
      <rPr>
        <sz val="9"/>
        <rFont val="Arial"/>
        <family val="0"/>
        <charset val="1"/>
      </rPr>
      <t xml:space="preserve">302,058</t>
    </r>
    <r>
      <rPr>
        <sz val="9"/>
        <rFont val="WenQuanYi Zen Hei"/>
        <family val="2"/>
      </rPr>
      <t xml:space="preserve">千円</t>
    </r>
    <r>
      <rPr>
        <sz val="9"/>
        <rFont val="Arial"/>
        <family val="0"/>
        <charset val="1"/>
      </rPr>
      <t xml:space="preserve">/</t>
    </r>
    <r>
      <rPr>
        <sz val="9"/>
        <rFont val="WenQuanYi Zen Hei"/>
        <family val="2"/>
      </rPr>
      <t xml:space="preserve">販管費</t>
    </r>
    <r>
      <rPr>
        <sz val="9"/>
        <rFont val="Arial"/>
        <family val="0"/>
        <charset val="1"/>
      </rPr>
      <t xml:space="preserve">342,186</t>
    </r>
    <r>
      <rPr>
        <sz val="9"/>
        <rFont val="WenQuanYi Zen Hei"/>
        <family val="2"/>
      </rPr>
      <t xml:space="preserve">千円</t>
    </r>
    <r>
      <rPr>
        <sz val="9"/>
        <rFont val="Arial"/>
        <family val="0"/>
        <charset val="1"/>
      </rPr>
      <t xml:space="preserve">/</t>
    </r>
    <r>
      <rPr>
        <sz val="9"/>
        <rFont val="WenQuanYi Zen Hei"/>
        <family val="2"/>
      </rPr>
      <t xml:space="preserve">営業利益△</t>
    </r>
    <r>
      <rPr>
        <sz val="9"/>
        <rFont val="Arial"/>
        <family val="0"/>
        <charset val="1"/>
      </rPr>
      <t xml:space="preserve">40,128</t>
    </r>
    <r>
      <rPr>
        <sz val="9"/>
        <rFont val="WenQuanYi Zen Hei"/>
        <family val="2"/>
      </rPr>
      <t xml:space="preserve">千円</t>
    </r>
    <r>
      <rPr>
        <sz val="9"/>
        <rFont val="Arial"/>
        <family val="0"/>
        <charset val="1"/>
      </rPr>
      <t xml:space="preserve">)</t>
    </r>
  </si>
  <si>
    <r>
      <rPr>
        <b val="true"/>
        <sz val="10"/>
        <rFont val="Arial"/>
        <family val="0"/>
        <charset val="1"/>
      </rPr>
      <t xml:space="preserve">3. 5</t>
    </r>
    <r>
      <rPr>
        <b val="true"/>
        <sz val="10"/>
        <rFont val="WenQuanYi Zen Hei"/>
        <family val="2"/>
      </rPr>
      <t xml:space="preserve">区分の考え方</t>
    </r>
  </si>
  <si>
    <r>
      <rPr>
        <sz val="9"/>
        <rFont val="WenQuanYi Zen Hei"/>
        <family val="2"/>
      </rPr>
      <t xml:space="preserve">①譲渡対象外事業（不動産賃貸業）の切分け（△</t>
    </r>
    <r>
      <rPr>
        <sz val="9"/>
        <rFont val="Arial"/>
        <family val="0"/>
        <charset val="1"/>
      </rPr>
      <t xml:space="preserve">4,790</t>
    </r>
    <r>
      <rPr>
        <sz val="9"/>
        <rFont val="WenQuanYi Zen Hei"/>
        <family val="2"/>
      </rPr>
      <t xml:space="preserve">千円）：</t>
    </r>
  </si>
  <si>
    <r>
      <rPr>
        <sz val="9"/>
        <rFont val="WenQuanYi Zen Hei"/>
        <family val="2"/>
      </rPr>
      <t xml:space="preserve">　　譲渡対象は</t>
    </r>
    <r>
      <rPr>
        <sz val="9"/>
        <rFont val="Arial"/>
        <family val="0"/>
        <charset val="1"/>
      </rPr>
      <t xml:space="preserve">2</t>
    </r>
    <r>
      <rPr>
        <sz val="9"/>
        <rFont val="WenQuanYi Zen Hei"/>
        <family val="2"/>
      </rPr>
      <t xml:space="preserve">事業のみ。不動産賃貸事業は対象会社に残置される（</t>
    </r>
    <r>
      <rPr>
        <sz val="9"/>
        <rFont val="Arial"/>
        <family val="0"/>
        <charset val="1"/>
      </rPr>
      <t xml:space="preserve">=</t>
    </r>
    <r>
      <rPr>
        <sz val="9"/>
        <rFont val="WenQuanYi Zen Hei"/>
        <family val="2"/>
      </rPr>
      <t xml:space="preserve">買手様は取得しない）。</t>
    </r>
  </si>
  <si>
    <r>
      <rPr>
        <sz val="9"/>
        <rFont val="WenQuanYi Zen Hei"/>
        <family val="2"/>
      </rPr>
      <t xml:space="preserve">　　賃料収入△</t>
    </r>
    <r>
      <rPr>
        <sz val="9"/>
        <rFont val="Arial"/>
        <family val="0"/>
        <charset val="1"/>
      </rPr>
      <t xml:space="preserve">13,200</t>
    </r>
    <r>
      <rPr>
        <sz val="9"/>
        <rFont val="WenQuanYi Zen Hei"/>
        <family val="2"/>
      </rPr>
      <t xml:space="preserve">千円 </t>
    </r>
    <r>
      <rPr>
        <sz val="9"/>
        <rFont val="Arial"/>
        <family val="0"/>
        <charset val="1"/>
      </rPr>
      <t xml:space="preserve">+ </t>
    </r>
    <r>
      <rPr>
        <sz val="9"/>
        <rFont val="WenQuanYi Zen Hei"/>
        <family val="2"/>
      </rPr>
      <t xml:space="preserve">売上値引除外</t>
    </r>
    <r>
      <rPr>
        <sz val="9"/>
        <rFont val="Arial"/>
        <family val="0"/>
        <charset val="1"/>
      </rPr>
      <t xml:space="preserve">+708 + </t>
    </r>
    <r>
      <rPr>
        <sz val="9"/>
        <rFont val="WenQuanYi Zen Hei"/>
        <family val="2"/>
      </rPr>
      <t xml:space="preserve">保有不動産費用</t>
    </r>
    <r>
      <rPr>
        <sz val="9"/>
        <rFont val="Arial"/>
        <family val="0"/>
        <charset val="1"/>
      </rPr>
      <t xml:space="preserve">(</t>
    </r>
    <r>
      <rPr>
        <sz val="9"/>
        <rFont val="WenQuanYi Zen Hei"/>
        <family val="2"/>
      </rPr>
      <t xml:space="preserve">減価償却</t>
    </r>
    <r>
      <rPr>
        <sz val="9"/>
        <rFont val="Arial"/>
        <family val="0"/>
        <charset val="1"/>
      </rPr>
      <t xml:space="preserve">5,736/</t>
    </r>
    <r>
      <rPr>
        <sz val="9"/>
        <rFont val="WenQuanYi Zen Hei"/>
        <family val="2"/>
      </rPr>
      <t xml:space="preserve">租税</t>
    </r>
    <r>
      <rPr>
        <sz val="9"/>
        <rFont val="Arial"/>
        <family val="0"/>
        <charset val="1"/>
      </rPr>
      <t xml:space="preserve">1,058/</t>
    </r>
    <r>
      <rPr>
        <sz val="9"/>
        <rFont val="WenQuanYi Zen Hei"/>
        <family val="2"/>
      </rPr>
      <t xml:space="preserve">水道光熱</t>
    </r>
    <r>
      <rPr>
        <sz val="9"/>
        <rFont val="Arial"/>
        <family val="0"/>
        <charset val="1"/>
      </rPr>
      <t xml:space="preserve">464/</t>
    </r>
    <r>
      <rPr>
        <sz val="9"/>
        <rFont val="WenQuanYi Zen Hei"/>
        <family val="2"/>
      </rPr>
      <t xml:space="preserve">修繕</t>
    </r>
    <r>
      <rPr>
        <sz val="9"/>
        <rFont val="Arial"/>
        <family val="0"/>
        <charset val="1"/>
      </rPr>
      <t xml:space="preserve">442) = </t>
    </r>
    <r>
      <rPr>
        <sz val="9"/>
        <rFont val="WenQuanYi Zen Hei"/>
        <family val="2"/>
      </rPr>
      <t xml:space="preserve">純△</t>
    </r>
    <r>
      <rPr>
        <sz val="9"/>
        <rFont val="Arial"/>
        <family val="0"/>
        <charset val="1"/>
      </rPr>
      <t xml:space="preserve">4,790</t>
    </r>
    <r>
      <rPr>
        <sz val="9"/>
        <rFont val="WenQuanYi Zen Hei"/>
        <family val="2"/>
      </rPr>
      <t xml:space="preserve">千円</t>
    </r>
  </si>
  <si>
    <r>
      <rPr>
        <sz val="9"/>
        <rFont val="WenQuanYi Zen Hei"/>
        <family val="2"/>
      </rPr>
      <t xml:space="preserve">②オーナー・退任関連費用の除外（</t>
    </r>
    <r>
      <rPr>
        <sz val="9"/>
        <rFont val="Arial"/>
        <family val="0"/>
        <charset val="1"/>
      </rPr>
      <t xml:space="preserve">+54,677</t>
    </r>
    <r>
      <rPr>
        <sz val="9"/>
        <rFont val="WenQuanYi Zen Hei"/>
        <family val="2"/>
      </rPr>
      <t xml:space="preserve">千円）：</t>
    </r>
  </si>
  <si>
    <r>
      <rPr>
        <sz val="9"/>
        <rFont val="WenQuanYi Zen Hei"/>
        <family val="2"/>
      </rPr>
      <t xml:space="preserve">　　業務委託費</t>
    </r>
    <r>
      <rPr>
        <sz val="9"/>
        <rFont val="Arial"/>
        <family val="0"/>
        <charset val="1"/>
      </rPr>
      <t xml:space="preserve">35,712</t>
    </r>
    <r>
      <rPr>
        <sz val="9"/>
        <rFont val="WenQuanYi Zen Hei"/>
        <family val="2"/>
      </rPr>
      <t xml:space="preserve">千円：</t>
    </r>
    <r>
      <rPr>
        <sz val="9"/>
        <rFont val="Arial"/>
        <family val="0"/>
        <charset val="1"/>
      </rPr>
      <t xml:space="preserve">(</t>
    </r>
    <r>
      <rPr>
        <sz val="9"/>
        <rFont val="WenQuanYi Zen Hei"/>
        <family val="2"/>
      </rPr>
      <t xml:space="preserve">株</t>
    </r>
    <r>
      <rPr>
        <sz val="9"/>
        <rFont val="Arial"/>
        <family val="0"/>
        <charset val="1"/>
      </rPr>
      <t xml:space="preserve">)Kuberu</t>
    </r>
    <r>
      <rPr>
        <sz val="9"/>
        <rFont val="WenQuanYi Zen Hei"/>
        <family val="2"/>
      </rPr>
      <t xml:space="preserve">社</t>
    </r>
    <r>
      <rPr>
        <sz val="9"/>
        <rFont val="Arial"/>
        <family val="0"/>
        <charset val="1"/>
      </rPr>
      <t xml:space="preserve">(</t>
    </r>
    <r>
      <rPr>
        <sz val="9"/>
        <rFont val="WenQuanYi Zen Hei"/>
        <family val="2"/>
      </rPr>
      <t xml:space="preserve">前代表・原田様の資産管理会社</t>
    </r>
    <r>
      <rPr>
        <sz val="9"/>
        <rFont val="Arial"/>
        <family val="0"/>
        <charset val="1"/>
      </rPr>
      <t xml:space="preserve">)</t>
    </r>
    <r>
      <rPr>
        <sz val="9"/>
        <rFont val="WenQuanYi Zen Hei"/>
        <family val="2"/>
      </rPr>
      <t xml:space="preserve">、退職者への業務継続費用、突発的な業務委託</t>
    </r>
  </si>
  <si>
    <r>
      <rPr>
        <sz val="9"/>
        <rFont val="WenQuanYi Zen Hei"/>
        <family val="2"/>
      </rPr>
      <t xml:space="preserve">　　交際費</t>
    </r>
    <r>
      <rPr>
        <sz val="9"/>
        <rFont val="Arial"/>
        <family val="0"/>
        <charset val="1"/>
      </rPr>
      <t xml:space="preserve">6,777</t>
    </r>
    <r>
      <rPr>
        <sz val="9"/>
        <rFont val="WenQuanYi Zen Hei"/>
        <family val="2"/>
      </rPr>
      <t xml:space="preserve">千円・旅費交通費</t>
    </r>
    <r>
      <rPr>
        <sz val="9"/>
        <rFont val="Arial"/>
        <family val="0"/>
        <charset val="1"/>
      </rPr>
      <t xml:space="preserve">5,409</t>
    </r>
    <r>
      <rPr>
        <sz val="9"/>
        <rFont val="WenQuanYi Zen Hei"/>
        <family val="2"/>
      </rPr>
      <t xml:space="preserve">千円：前代表・オーナー関連の私用経費（共通部門計上分）</t>
    </r>
  </si>
  <si>
    <r>
      <rPr>
        <sz val="9"/>
        <rFont val="WenQuanYi Zen Hei"/>
        <family val="2"/>
      </rPr>
      <t xml:space="preserve">　　支払報酬料残置分</t>
    </r>
    <r>
      <rPr>
        <sz val="9"/>
        <rFont val="Arial"/>
        <family val="0"/>
        <charset val="1"/>
      </rPr>
      <t xml:space="preserve">4,648</t>
    </r>
    <r>
      <rPr>
        <sz val="9"/>
        <rFont val="WenQuanYi Zen Hei"/>
        <family val="2"/>
      </rPr>
      <t xml:space="preserve">千円：前代表退任に伴う顧問報酬等（会計・税務・法務等</t>
    </r>
    <r>
      <rPr>
        <sz val="9"/>
        <rFont val="Arial"/>
        <family val="0"/>
        <charset val="1"/>
      </rPr>
      <t xml:space="preserve">2,000</t>
    </r>
    <r>
      <rPr>
        <sz val="9"/>
        <rFont val="WenQuanYi Zen Hei"/>
        <family val="2"/>
      </rPr>
      <t xml:space="preserve">千円は対象事業へ配賦済み）</t>
    </r>
  </si>
  <si>
    <r>
      <rPr>
        <sz val="9"/>
        <rFont val="WenQuanYi Zen Hei"/>
        <family val="2"/>
      </rPr>
      <t xml:space="preserve">　　研究開発費</t>
    </r>
    <r>
      <rPr>
        <sz val="9"/>
        <rFont val="Arial"/>
        <family val="0"/>
        <charset val="1"/>
      </rPr>
      <t xml:space="preserve">1,800</t>
    </r>
    <r>
      <rPr>
        <sz val="9"/>
        <rFont val="WenQuanYi Zen Hei"/>
        <family val="2"/>
      </rPr>
      <t xml:space="preserve">千円：対象事業の継続運営に必須ではない一過性費用</t>
    </r>
  </si>
  <si>
    <r>
      <rPr>
        <sz val="9"/>
        <rFont val="WenQuanYi Zen Hei"/>
        <family val="2"/>
      </rPr>
      <t xml:space="preserve">　　サイバー保険料</t>
    </r>
    <r>
      <rPr>
        <sz val="9"/>
        <rFont val="Arial"/>
        <family val="0"/>
        <charset val="1"/>
      </rPr>
      <t xml:space="preserve">331</t>
    </r>
    <r>
      <rPr>
        <sz val="9"/>
        <rFont val="WenQuanYi Zen Hei"/>
        <family val="2"/>
      </rPr>
      <t xml:space="preserve">千円：譲渡後に発生しない保険（火災保険</t>
    </r>
    <r>
      <rPr>
        <sz val="9"/>
        <rFont val="Arial"/>
        <family val="0"/>
        <charset val="1"/>
      </rPr>
      <t xml:space="preserve">112</t>
    </r>
    <r>
      <rPr>
        <sz val="9"/>
        <rFont val="WenQuanYi Zen Hei"/>
        <family val="2"/>
      </rPr>
      <t xml:space="preserve">千円のみ対象事業へ配賦済み）</t>
    </r>
  </si>
  <si>
    <r>
      <rPr>
        <sz val="9"/>
        <rFont val="WenQuanYi Zen Hei"/>
        <family val="2"/>
      </rPr>
      <t xml:space="preserve">③一過性費用の正常化（</t>
    </r>
    <r>
      <rPr>
        <sz val="9"/>
        <rFont val="Arial"/>
        <family val="0"/>
        <charset val="1"/>
      </rPr>
      <t xml:space="preserve">+3,118</t>
    </r>
    <r>
      <rPr>
        <sz val="9"/>
        <rFont val="WenQuanYi Zen Hei"/>
        <family val="2"/>
      </rPr>
      <t xml:space="preserve">千円）：</t>
    </r>
  </si>
  <si>
    <r>
      <rPr>
        <sz val="9"/>
        <rFont val="WenQuanYi Zen Hei"/>
        <family val="2"/>
      </rPr>
      <t xml:space="preserve">　　</t>
    </r>
    <r>
      <rPr>
        <sz val="9"/>
        <rFont val="Arial"/>
        <family val="0"/>
        <charset val="1"/>
      </rPr>
      <t xml:space="preserve">Salesforce</t>
    </r>
    <r>
      <rPr>
        <sz val="9"/>
        <rFont val="WenQuanYi Zen Hei"/>
        <family val="2"/>
      </rPr>
      <t xml:space="preserve">ライセンス費用の</t>
    </r>
    <r>
      <rPr>
        <sz val="9"/>
        <rFont val="Arial"/>
        <family val="0"/>
        <charset val="1"/>
      </rPr>
      <t xml:space="preserve">2025</t>
    </r>
    <r>
      <rPr>
        <sz val="9"/>
        <rFont val="WenQuanYi Zen Hei"/>
        <family val="2"/>
      </rPr>
      <t xml:space="preserve">年</t>
    </r>
    <r>
      <rPr>
        <sz val="9"/>
        <rFont val="Arial"/>
        <family val="0"/>
        <charset val="1"/>
      </rPr>
      <t xml:space="preserve">7</t>
    </r>
    <r>
      <rPr>
        <sz val="9"/>
        <rFont val="WenQuanYi Zen Hei"/>
        <family val="2"/>
      </rPr>
      <t xml:space="preserve">月期一時的増加分を通常運用水準</t>
    </r>
    <r>
      <rPr>
        <sz val="9"/>
        <rFont val="Arial"/>
        <family val="0"/>
        <charset val="1"/>
      </rPr>
      <t xml:space="preserve">(3,420</t>
    </r>
    <r>
      <rPr>
        <sz val="9"/>
        <rFont val="WenQuanYi Zen Hei"/>
        <family val="2"/>
      </rPr>
      <t xml:space="preserve">千円</t>
    </r>
    <r>
      <rPr>
        <sz val="9"/>
        <rFont val="Arial"/>
        <family val="0"/>
        <charset val="1"/>
      </rPr>
      <t xml:space="preserve">)</t>
    </r>
    <r>
      <rPr>
        <sz val="9"/>
        <rFont val="WenQuanYi Zen Hei"/>
        <family val="2"/>
      </rPr>
      <t xml:space="preserve">へ調整</t>
    </r>
  </si>
  <si>
    <r>
      <rPr>
        <sz val="9"/>
        <rFont val="WenQuanYi Zen Hei"/>
        <family val="2"/>
      </rPr>
      <t xml:space="preserve">④管理部門コスト（対象会社に残置）（</t>
    </r>
    <r>
      <rPr>
        <sz val="9"/>
        <rFont val="Arial"/>
        <family val="0"/>
        <charset val="1"/>
      </rPr>
      <t xml:space="preserve">+16,886</t>
    </r>
    <r>
      <rPr>
        <sz val="9"/>
        <rFont val="WenQuanYi Zen Hei"/>
        <family val="2"/>
      </rPr>
      <t xml:space="preserve">千円）：</t>
    </r>
  </si>
  <si>
    <t xml:space="preserve">　　共通部門に残置される管理部門実費。対象事業スタンドアロンには帰属させない。</t>
  </si>
  <si>
    <r>
      <rPr>
        <sz val="9"/>
        <rFont val="WenQuanYi Zen Hei"/>
        <family val="2"/>
      </rPr>
      <t xml:space="preserve">　　主な項目：給料手当残存</t>
    </r>
    <r>
      <rPr>
        <sz val="9"/>
        <rFont val="Arial"/>
        <family val="0"/>
        <charset val="1"/>
      </rPr>
      <t xml:space="preserve">10,634 + </t>
    </r>
    <r>
      <rPr>
        <sz val="9"/>
        <rFont val="WenQuanYi Zen Hei"/>
        <family val="2"/>
      </rPr>
      <t xml:space="preserve">法福</t>
    </r>
    <r>
      <rPr>
        <sz val="9"/>
        <rFont val="Arial"/>
        <family val="0"/>
        <charset val="1"/>
      </rPr>
      <t xml:space="preserve">2,525 + </t>
    </r>
    <r>
      <rPr>
        <sz val="9"/>
        <rFont val="WenQuanYi Zen Hei"/>
        <family val="2"/>
      </rPr>
      <t xml:space="preserve">退共</t>
    </r>
    <r>
      <rPr>
        <sz val="9"/>
        <rFont val="Arial"/>
        <family val="0"/>
        <charset val="1"/>
      </rPr>
      <t xml:space="preserve">84 + </t>
    </r>
    <r>
      <rPr>
        <sz val="9"/>
        <rFont val="WenQuanYi Zen Hei"/>
        <family val="2"/>
      </rPr>
      <t xml:space="preserve">福利厚生</t>
    </r>
    <r>
      <rPr>
        <sz val="9"/>
        <rFont val="Arial"/>
        <family val="0"/>
        <charset val="1"/>
      </rPr>
      <t xml:space="preserve">658 + </t>
    </r>
    <r>
      <rPr>
        <sz val="9"/>
        <rFont val="WenQuanYi Zen Hei"/>
        <family val="2"/>
      </rPr>
      <t xml:space="preserve">賃借料</t>
    </r>
    <r>
      <rPr>
        <sz val="9"/>
        <rFont val="Arial"/>
        <family val="0"/>
        <charset val="1"/>
      </rPr>
      <t xml:space="preserve">726 + </t>
    </r>
    <r>
      <rPr>
        <sz val="9"/>
        <rFont val="WenQuanYi Zen Hei"/>
        <family val="2"/>
      </rPr>
      <t xml:space="preserve">雑費</t>
    </r>
    <r>
      <rPr>
        <sz val="9"/>
        <rFont val="Arial"/>
        <family val="0"/>
        <charset val="1"/>
      </rPr>
      <t xml:space="preserve">1,950 + </t>
    </r>
    <r>
      <rPr>
        <sz val="9"/>
        <rFont val="WenQuanYi Zen Hei"/>
        <family val="2"/>
      </rPr>
      <t xml:space="preserve">その他</t>
    </r>
    <r>
      <rPr>
        <sz val="9"/>
        <rFont val="Arial"/>
        <family val="0"/>
        <charset val="1"/>
      </rPr>
      <t xml:space="preserve">535 </t>
    </r>
    <r>
      <rPr>
        <sz val="9"/>
        <rFont val="WenQuanYi Zen Hei"/>
        <family val="2"/>
      </rPr>
      <t xml:space="preserve">千円</t>
    </r>
  </si>
  <si>
    <r>
      <rPr>
        <sz val="9"/>
        <rFont val="WenQuanYi Zen Hei"/>
        <family val="2"/>
      </rPr>
      <t xml:space="preserve">⑤その他（</t>
    </r>
    <r>
      <rPr>
        <sz val="9"/>
        <rFont val="Arial"/>
        <family val="0"/>
        <charset val="1"/>
      </rPr>
      <t xml:space="preserve">+410</t>
    </r>
    <r>
      <rPr>
        <sz val="9"/>
        <rFont val="WenQuanYi Zen Hei"/>
        <family val="2"/>
      </rPr>
      <t xml:space="preserve">千円）：</t>
    </r>
    <r>
      <rPr>
        <sz val="9"/>
        <rFont val="Arial"/>
        <family val="0"/>
        <charset val="1"/>
      </rPr>
      <t xml:space="preserve">DB</t>
    </r>
    <r>
      <rPr>
        <sz val="9"/>
        <rFont val="WenQuanYi Zen Hei"/>
        <family val="2"/>
      </rPr>
      <t xml:space="preserve">マーケ部門計上の減価償却費</t>
    </r>
    <r>
      <rPr>
        <sz val="9"/>
        <rFont val="Arial"/>
        <family val="0"/>
        <charset val="1"/>
      </rPr>
      <t xml:space="preserve">410</t>
    </r>
    <r>
      <rPr>
        <sz val="9"/>
        <rFont val="WenQuanYi Zen Hei"/>
        <family val="2"/>
      </rPr>
      <t xml:space="preserve">千円を除外（保有不動産関連との整理）</t>
    </r>
  </si>
  <si>
    <r>
      <rPr>
        <b val="true"/>
        <sz val="10"/>
        <rFont val="Arial"/>
        <family val="0"/>
        <charset val="1"/>
      </rPr>
      <t xml:space="preserve">4. </t>
    </r>
    <r>
      <rPr>
        <b val="true"/>
        <sz val="10"/>
        <rFont val="WenQuanYi Zen Hei"/>
        <family val="2"/>
      </rPr>
      <t xml:space="preserve">数値の整合性</t>
    </r>
  </si>
  <si>
    <r>
      <rPr>
        <sz val="9"/>
        <rFont val="WenQuanYi Zen Hei"/>
        <family val="2"/>
      </rPr>
      <t xml:space="preserve">・部門別損益ファイルの内部整合：数式エラー</t>
    </r>
    <r>
      <rPr>
        <sz val="9"/>
        <rFont val="Arial"/>
        <family val="0"/>
        <charset val="1"/>
      </rPr>
      <t xml:space="preserve">0</t>
    </r>
    <r>
      <rPr>
        <sz val="9"/>
        <rFont val="WenQuanYi Zen Hei"/>
        <family val="2"/>
      </rPr>
      <t xml:space="preserve">件、部門別「実績</t>
    </r>
    <r>
      <rPr>
        <sz val="9"/>
        <rFont val="Arial"/>
        <family val="0"/>
        <charset val="1"/>
      </rPr>
      <t xml:space="preserve">+</t>
    </r>
    <r>
      <rPr>
        <sz val="9"/>
        <rFont val="WenQuanYi Zen Hei"/>
        <family val="2"/>
      </rPr>
      <t xml:space="preserve">修正額</t>
    </r>
    <r>
      <rPr>
        <sz val="9"/>
        <rFont val="Arial"/>
        <family val="0"/>
        <charset val="1"/>
      </rPr>
      <t xml:space="preserve">=</t>
    </r>
    <r>
      <rPr>
        <sz val="9"/>
        <rFont val="WenQuanYi Zen Hei"/>
        <family val="2"/>
      </rPr>
      <t xml:space="preserve">修正後」の整合</t>
    </r>
    <r>
      <rPr>
        <sz val="9"/>
        <rFont val="Arial"/>
        <family val="0"/>
        <charset val="1"/>
      </rPr>
      <t xml:space="preserve">15</t>
    </r>
    <r>
      <rPr>
        <sz val="9"/>
        <rFont val="WenQuanYi Zen Hei"/>
        <family val="2"/>
      </rPr>
      <t xml:space="preserve">セルすべて</t>
    </r>
    <r>
      <rPr>
        <sz val="9"/>
        <rFont val="Arial"/>
        <family val="0"/>
        <charset val="1"/>
      </rPr>
      <t xml:space="preserve">OK</t>
    </r>
  </si>
  <si>
    <r>
      <rPr>
        <sz val="9"/>
        <rFont val="WenQuanYi Zen Hei"/>
        <family val="2"/>
      </rPr>
      <t xml:space="preserve">・決算書との突合：売上高・販管費・営業利益ともに</t>
    </r>
    <r>
      <rPr>
        <sz val="9"/>
        <rFont val="Arial"/>
        <family val="0"/>
        <charset val="1"/>
      </rPr>
      <t xml:space="preserve">0</t>
    </r>
    <r>
      <rPr>
        <sz val="9"/>
        <rFont val="WenQuanYi Zen Hei"/>
        <family val="2"/>
      </rPr>
      <t xml:space="preserve">円差異</t>
    </r>
  </si>
  <si>
    <r>
      <rPr>
        <sz val="9"/>
        <rFont val="WenQuanYi Zen Hei"/>
        <family val="2"/>
      </rPr>
      <t xml:space="preserve">・修正後全社合計</t>
    </r>
    <r>
      <rPr>
        <sz val="9"/>
        <rFont val="Arial"/>
        <family val="0"/>
        <charset val="1"/>
      </rPr>
      <t xml:space="preserve">(11,299</t>
    </r>
    <r>
      <rPr>
        <sz val="9"/>
        <rFont val="WenQuanYi Zen Hei"/>
        <family val="2"/>
      </rPr>
      <t xml:space="preserve">千円</t>
    </r>
    <r>
      <rPr>
        <sz val="9"/>
        <rFont val="Arial"/>
        <family val="0"/>
        <charset val="1"/>
      </rPr>
      <t xml:space="preserve">) = </t>
    </r>
    <r>
      <rPr>
        <sz val="9"/>
        <rFont val="WenQuanYi Zen Hei"/>
        <family val="2"/>
      </rPr>
      <t xml:space="preserve">決算書△</t>
    </r>
    <r>
      <rPr>
        <sz val="9"/>
        <rFont val="Arial"/>
        <family val="0"/>
        <charset val="1"/>
      </rPr>
      <t xml:space="preserve">40,128 + </t>
    </r>
    <r>
      <rPr>
        <sz val="9"/>
        <rFont val="WenQuanYi Zen Hei"/>
        <family val="2"/>
      </rPr>
      <t xml:space="preserve">修正額計</t>
    </r>
    <r>
      <rPr>
        <sz val="9"/>
        <rFont val="Arial"/>
        <family val="0"/>
        <charset val="1"/>
      </rPr>
      <t xml:space="preserve">51,427 ← </t>
    </r>
    <r>
      <rPr>
        <sz val="9"/>
        <rFont val="WenQuanYi Zen Hei"/>
        <family val="2"/>
      </rPr>
      <t xml:space="preserve">完全一致</t>
    </r>
  </si>
  <si>
    <r>
      <rPr>
        <sz val="9"/>
        <rFont val="WenQuanYi Zen Hei"/>
        <family val="2"/>
      </rPr>
      <t xml:space="preserve">・</t>
    </r>
    <r>
      <rPr>
        <sz val="9"/>
        <rFont val="Arial"/>
        <family val="0"/>
        <charset val="1"/>
      </rPr>
      <t xml:space="preserve">Y44+P44 = 30,174 + (-18,874) = 11,300</t>
    </r>
    <r>
      <rPr>
        <sz val="9"/>
        <rFont val="WenQuanYi Zen Hei"/>
        <family val="2"/>
      </rPr>
      <t xml:space="preserve">千円（修正後全社と一致）</t>
    </r>
  </si>
  <si>
    <r>
      <rPr>
        <b val="true"/>
        <sz val="10"/>
        <rFont val="Arial"/>
        <family val="0"/>
        <charset val="1"/>
      </rPr>
      <t xml:space="preserve">5. </t>
    </r>
    <r>
      <rPr>
        <b val="true"/>
        <sz val="10"/>
        <rFont val="WenQuanYi Zen Hei"/>
        <family val="2"/>
      </rPr>
      <t xml:space="preserve">「配賦」の取扱いについて</t>
    </r>
  </si>
  <si>
    <r>
      <rPr>
        <sz val="9"/>
        <rFont val="WenQuanYi Zen Hei"/>
        <family val="2"/>
      </rPr>
      <t xml:space="preserve">・共通部門から対象事業への配賦（地代家賃・共益費・システム利用料・リース料・人件費 等 合計</t>
    </r>
    <r>
      <rPr>
        <sz val="9"/>
        <rFont val="Arial"/>
        <family val="0"/>
        <charset val="1"/>
      </rPr>
      <t xml:space="preserve">51,018</t>
    </r>
    <r>
      <rPr>
        <sz val="9"/>
        <rFont val="WenQuanYi Zen Hei"/>
        <family val="2"/>
      </rPr>
      <t xml:space="preserve">千円）は、</t>
    </r>
  </si>
  <si>
    <r>
      <rPr>
        <sz val="9"/>
        <rFont val="WenQuanYi Zen Hei"/>
        <family val="2"/>
      </rPr>
      <t xml:space="preserve">　共通部門損失除外</t>
    </r>
    <r>
      <rPr>
        <sz val="9"/>
        <rFont val="Arial"/>
        <family val="0"/>
        <charset val="1"/>
      </rPr>
      <t xml:space="preserve">(+82,081)</t>
    </r>
    <r>
      <rPr>
        <sz val="9"/>
        <rFont val="WenQuanYi Zen Hei"/>
        <family val="2"/>
      </rPr>
      <t xml:space="preserve">と対象事業費用増</t>
    </r>
    <r>
      <rPr>
        <sz val="9"/>
        <rFont val="Arial"/>
        <family val="0"/>
        <charset val="1"/>
      </rPr>
      <t xml:space="preserve">(-51,018)</t>
    </r>
    <r>
      <rPr>
        <sz val="9"/>
        <rFont val="WenQuanYi Zen Hei"/>
        <family val="2"/>
      </rPr>
      <t xml:space="preserve">で相殺されるため、ブリッジ上では明示していない。</t>
    </r>
  </si>
  <si>
    <r>
      <rPr>
        <sz val="9"/>
        <rFont val="WenQuanYi Zen Hei"/>
        <family val="2"/>
      </rPr>
      <t xml:space="preserve">・対象事業スタンドアロン営業利益</t>
    </r>
    <r>
      <rPr>
        <sz val="9"/>
        <rFont val="Arial"/>
        <family val="0"/>
        <charset val="1"/>
      </rPr>
      <t xml:space="preserve">+30,174</t>
    </r>
    <r>
      <rPr>
        <sz val="9"/>
        <rFont val="WenQuanYi Zen Hei"/>
        <family val="2"/>
      </rPr>
      <t xml:space="preserve">千円には、この配賦後費用（</t>
    </r>
    <r>
      <rPr>
        <sz val="9"/>
        <rFont val="Arial"/>
        <family val="0"/>
        <charset val="1"/>
      </rPr>
      <t xml:space="preserve">51,018</t>
    </r>
    <r>
      <rPr>
        <sz val="9"/>
        <rFont val="WenQuanYi Zen Hei"/>
        <family val="2"/>
      </rPr>
      <t xml:space="preserve">千円）が既に含まれている。</t>
    </r>
  </si>
  <si>
    <r>
      <rPr>
        <b val="true"/>
        <sz val="10"/>
        <rFont val="Arial"/>
        <family val="0"/>
        <charset val="1"/>
      </rPr>
      <t xml:space="preserve">6. </t>
    </r>
    <r>
      <rPr>
        <b val="true"/>
        <sz val="10"/>
        <rFont val="WenQuanYi Zen Hei"/>
        <family val="2"/>
      </rPr>
      <t xml:space="preserve">留意事項</t>
    </r>
  </si>
  <si>
    <t xml:space="preserve">・本試算は買手様のご検討用の試算資料であり、譲渡後の実績を保証するものではございません。</t>
  </si>
  <si>
    <t xml:space="preserve">・「②オーナー・退任関連」の交際費・旅費交通費・支払報酬料の内訳については、加藤様への確認を経ておらず、</t>
  </si>
  <si>
    <t xml:space="preserve">　共通部門計上額の全額を関連費用と仮定した保守的な取扱いです。</t>
  </si>
  <si>
    <t xml:space="preserve">・「④管理部門コスト」は共通部門に残置される（対象会社の負担）ため、対象事業スタンドアロンには影響しません。</t>
  </si>
  <si>
    <t xml:space="preserve">　ただし、譲受後に貴社が同等機能を提供する必要があるかは別途ご検討事項です（買手様のスタンドアロンコスト想定）。</t>
  </si>
</sst>
</file>

<file path=xl/styles.xml><?xml version="1.0" encoding="utf-8"?>
<styleSheet xmlns="http://schemas.openxmlformats.org/spreadsheetml/2006/main">
  <numFmts count="3">
    <numFmt numFmtId="164" formatCode="General"/>
    <numFmt numFmtId="165" formatCode="#,##0;\△#,##0;\-"/>
    <numFmt numFmtId="166" formatCode="General"/>
  </numFmts>
  <fonts count="30">
    <font>
      <sz val="11"/>
      <color theme="1"/>
      <name val="Calibri"/>
      <family val="2"/>
      <charset val="1"/>
    </font>
    <font>
      <sz val="10"/>
      <name val="Arial"/>
      <family val="0"/>
    </font>
    <font>
      <sz val="10"/>
      <name val="Arial"/>
      <family val="0"/>
    </font>
    <font>
      <sz val="10"/>
      <name val="Arial"/>
      <family val="0"/>
    </font>
    <font>
      <b val="true"/>
      <sz val="14"/>
      <color rgb="FF1E2761"/>
      <name val="WenQuanYi Zen Hei"/>
      <family val="2"/>
    </font>
    <font>
      <b val="true"/>
      <sz val="14"/>
      <color rgb="FF1E2761"/>
      <name val="Arial"/>
      <family val="0"/>
      <charset val="1"/>
    </font>
    <font>
      <i val="true"/>
      <sz val="9"/>
      <color rgb="FF555555"/>
      <name val="WenQuanYi Zen Hei"/>
      <family val="2"/>
    </font>
    <font>
      <i val="true"/>
      <sz val="9"/>
      <color rgb="FF555555"/>
      <name val="Arial"/>
      <family val="0"/>
      <charset val="1"/>
    </font>
    <font>
      <b val="true"/>
      <sz val="11"/>
      <name val="WenQuanYi Zen Hei"/>
      <family val="2"/>
    </font>
    <font>
      <b val="true"/>
      <sz val="11"/>
      <name val="Arial"/>
      <family val="0"/>
      <charset val="1"/>
    </font>
    <font>
      <sz val="10"/>
      <name val="Arial"/>
      <family val="0"/>
      <charset val="1"/>
    </font>
    <font>
      <b val="true"/>
      <sz val="10"/>
      <color rgb="FFFFFFFF"/>
      <name val="WenQuanYi Zen Hei"/>
      <family val="2"/>
    </font>
    <font>
      <b val="true"/>
      <sz val="10"/>
      <color rgb="FFFFFFFF"/>
      <name val="Arial"/>
      <family val="0"/>
      <charset val="1"/>
    </font>
    <font>
      <sz val="10"/>
      <name val="WenQuanYi Zen Hei"/>
      <family val="2"/>
    </font>
    <font>
      <b val="true"/>
      <sz val="10"/>
      <color rgb="FF1E2761"/>
      <name val="WenQuanYi Zen Hei"/>
      <family val="2"/>
    </font>
    <font>
      <b val="true"/>
      <sz val="10"/>
      <color rgb="FF1E2761"/>
      <name val="Arial"/>
      <family val="0"/>
      <charset val="1"/>
    </font>
    <font>
      <b val="true"/>
      <sz val="11"/>
      <color rgb="FF1E2761"/>
      <name val="WenQuanYi Zen Hei"/>
      <family val="2"/>
    </font>
    <font>
      <b val="true"/>
      <i val="true"/>
      <sz val="10"/>
      <color rgb="FF555555"/>
      <name val="Arial"/>
      <family val="0"/>
      <charset val="1"/>
    </font>
    <font>
      <b val="true"/>
      <i val="true"/>
      <sz val="10"/>
      <color rgb="FF555555"/>
      <name val="WenQuanYi Zen Hei"/>
      <family val="2"/>
    </font>
    <font>
      <b val="true"/>
      <sz val="12"/>
      <color rgb="FF1E2761"/>
      <name val="Arial"/>
      <family val="0"/>
      <charset val="1"/>
    </font>
    <font>
      <b val="true"/>
      <sz val="12"/>
      <color rgb="FF1E2761"/>
      <name val="WenQuanYi Zen Hei"/>
      <family val="2"/>
    </font>
    <font>
      <b val="true"/>
      <sz val="10"/>
      <name val="WenQuanYi Zen Hei"/>
      <family val="2"/>
    </font>
    <font>
      <b val="true"/>
      <sz val="10"/>
      <name val="Arial"/>
      <family val="0"/>
      <charset val="1"/>
    </font>
    <font>
      <b val="true"/>
      <sz val="10"/>
      <color rgb="FFC00000"/>
      <name val="WenQuanYi Zen Hei"/>
      <family val="2"/>
    </font>
    <font>
      <b val="true"/>
      <sz val="10"/>
      <color rgb="FFC00000"/>
      <name val="Arial"/>
      <family val="0"/>
      <charset val="1"/>
    </font>
    <font>
      <b val="true"/>
      <sz val="11"/>
      <color rgb="FF1E2761"/>
      <name val="Arial"/>
      <family val="0"/>
      <charset val="1"/>
    </font>
    <font>
      <b val="true"/>
      <sz val="10"/>
      <color rgb="FF555555"/>
      <name val="WenQuanYi Zen Hei"/>
      <family val="2"/>
    </font>
    <font>
      <b val="true"/>
      <sz val="10"/>
      <color rgb="FF555555"/>
      <name val="Arial"/>
      <family val="0"/>
      <charset val="1"/>
    </font>
    <font>
      <sz val="9"/>
      <name val="Arial"/>
      <family val="0"/>
      <charset val="1"/>
    </font>
    <font>
      <sz val="9"/>
      <name val="WenQuanYi Zen Hei"/>
      <family val="2"/>
    </font>
  </fonts>
  <fills count="6">
    <fill>
      <patternFill patternType="none"/>
    </fill>
    <fill>
      <patternFill patternType="gray125"/>
    </fill>
    <fill>
      <patternFill patternType="solid">
        <fgColor rgb="FF1E2761"/>
        <bgColor rgb="FF333333"/>
      </patternFill>
    </fill>
    <fill>
      <patternFill patternType="solid">
        <fgColor rgb="FFC6E0B4"/>
        <bgColor rgb="FFD9E1F2"/>
      </patternFill>
    </fill>
    <fill>
      <patternFill patternType="solid">
        <fgColor rgb="FFFFF2CC"/>
        <bgColor rgb="FFFFFFFF"/>
      </patternFill>
    </fill>
    <fill>
      <patternFill patternType="solid">
        <fgColor rgb="FFD9E1F2"/>
        <bgColor rgb="FFC6E0B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0" fillId="4" borderId="1" xfId="0" applyFont="true" applyBorder="true" applyAlignment="false" applyProtection="false">
      <alignment horizontal="general" vertical="bottom" textRotation="0" wrapText="false" indent="0" shrinkToFit="false"/>
      <protection locked="true" hidden="false"/>
    </xf>
    <xf numFmtId="164" fontId="14" fillId="3" borderId="1" xfId="0" applyFont="true" applyBorder="true" applyAlignment="false" applyProtection="false">
      <alignment horizontal="general" vertical="bottom" textRotation="0" wrapText="false" indent="0" shrinkToFit="false"/>
      <protection locked="true" hidden="false"/>
    </xf>
    <xf numFmtId="165" fontId="15" fillId="3" borderId="1" xfId="0" applyFont="tru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4" fontId="15" fillId="5" borderId="1" xfId="0" applyFont="true" applyBorder="true" applyAlignment="false" applyProtection="false">
      <alignment horizontal="general" vertical="bottom" textRotation="0" wrapText="false" indent="0" shrinkToFit="false"/>
      <protection locked="true" hidden="false"/>
    </xf>
    <xf numFmtId="164" fontId="14" fillId="5" borderId="1" xfId="0" applyFont="true" applyBorder="true" applyAlignment="false" applyProtection="false">
      <alignment horizontal="general" vertical="bottom" textRotation="0" wrapText="false" indent="0" shrinkToFit="false"/>
      <protection locked="true" hidden="false"/>
    </xf>
    <xf numFmtId="165" fontId="15" fillId="5"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xf numFmtId="164" fontId="19" fillId="3" borderId="1" xfId="0" applyFont="true" applyBorder="true" applyAlignment="false" applyProtection="false">
      <alignment horizontal="general" vertical="bottom" textRotation="0" wrapText="false" indent="0" shrinkToFit="false"/>
      <protection locked="true" hidden="false"/>
    </xf>
    <xf numFmtId="164" fontId="20" fillId="3" borderId="1" xfId="0" applyFont="true" applyBorder="true" applyAlignment="false" applyProtection="false">
      <alignment horizontal="general" vertical="bottom"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6" fontId="10" fillId="4" borderId="1" xfId="0" applyFont="true" applyBorder="true" applyAlignment="false" applyProtection="false">
      <alignment horizontal="general" vertical="bottom" textRotation="0" wrapText="false" indent="0" shrinkToFit="false"/>
      <protection locked="true" hidden="false"/>
    </xf>
    <xf numFmtId="164" fontId="23" fillId="0" borderId="1" xfId="0" applyFont="true" applyBorder="tru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general" vertical="center" textRotation="0" wrapText="true" indent="0" shrinkToFit="false"/>
      <protection locked="true" hidden="false"/>
    </xf>
    <xf numFmtId="164" fontId="16" fillId="5" borderId="1" xfId="0" applyFont="true" applyBorder="true" applyAlignment="true" applyProtection="false">
      <alignment horizontal="general" vertical="center" textRotation="0" wrapText="true" indent="0" shrinkToFit="false"/>
      <protection locked="true" hidden="false"/>
    </xf>
    <xf numFmtId="165" fontId="25" fillId="5" borderId="1" xfId="0"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5" fontId="10" fillId="0"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26" fillId="5" borderId="1" xfId="0" applyFont="true" applyBorder="true" applyAlignment="true" applyProtection="false">
      <alignment horizontal="general" vertical="center" textRotation="0" wrapText="true" indent="0" shrinkToFit="false"/>
      <protection locked="true" hidden="false"/>
    </xf>
    <xf numFmtId="165" fontId="27" fillId="5" borderId="1" xfId="0" applyFont="true" applyBorder="true" applyAlignment="true" applyProtection="false">
      <alignment horizontal="general" vertical="center" textRotation="0" wrapText="true" indent="0" shrinkToFit="false"/>
      <protection locked="true" hidden="false"/>
    </xf>
    <xf numFmtId="164" fontId="16" fillId="3" borderId="1" xfId="0" applyFont="true" applyBorder="true" applyAlignment="true" applyProtection="false">
      <alignment horizontal="general" vertical="center" textRotation="0" wrapText="true" indent="0" shrinkToFit="false"/>
      <protection locked="true" hidden="false"/>
    </xf>
    <xf numFmtId="165" fontId="25" fillId="3" borderId="1" xfId="0" applyFont="true" applyBorder="true" applyAlignment="true" applyProtection="false">
      <alignment horizontal="general" vertical="center" textRotation="0" wrapText="true" indent="0" shrinkToFit="false"/>
      <protection locked="true" hidden="false"/>
    </xf>
    <xf numFmtId="164" fontId="25" fillId="3" borderId="1"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general" vertical="center" textRotation="0" wrapText="true" indent="0" shrinkToFit="false"/>
      <protection locked="true" hidden="false"/>
    </xf>
    <xf numFmtId="164" fontId="21" fillId="5" borderId="1" xfId="0" applyFont="true" applyBorder="true" applyAlignment="true" applyProtection="false">
      <alignment horizontal="general" vertical="center" textRotation="0" wrapText="true" indent="0" shrinkToFit="false"/>
      <protection locked="true" hidden="false"/>
    </xf>
    <xf numFmtId="164" fontId="22" fillId="5" borderId="0" xfId="0" applyFont="true" applyBorder="false" applyAlignment="true" applyProtection="false">
      <alignment horizontal="general" vertical="center" textRotation="0" wrapText="true" indent="0" shrinkToFit="false"/>
      <protection locked="true" hidden="false"/>
    </xf>
    <xf numFmtId="164" fontId="25" fillId="5" borderId="0" xfId="0" applyFont="true" applyBorder="false" applyAlignment="true" applyProtection="false">
      <alignment horizontal="general" vertical="center" textRotation="0" wrapText="true" indent="0" shrinkToFit="false"/>
      <protection locked="true" hidden="false"/>
    </xf>
    <xf numFmtId="164" fontId="21" fillId="0" borderId="1" xfId="0" applyFont="true" applyBorder="true" applyAlignment="true" applyProtection="false">
      <alignment horizontal="general" vertical="center" textRotation="0" wrapText="true" indent="0" shrinkToFit="false"/>
      <protection locked="true" hidden="false"/>
    </xf>
    <xf numFmtId="166" fontId="10" fillId="4" borderId="1" xfId="0" applyFont="true" applyBorder="true" applyAlignment="true" applyProtection="false">
      <alignment horizontal="general" vertical="center" textRotation="0" wrapText="true" indent="0" shrinkToFit="false"/>
      <protection locked="true" hidden="false"/>
    </xf>
    <xf numFmtId="164" fontId="22" fillId="0" borderId="1" xfId="0" applyFont="true" applyBorder="true" applyAlignment="true" applyProtection="false">
      <alignment horizontal="general" vertical="center" textRotation="0" wrapText="tru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E2761"/>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2" min="2" style="0" width="18"/>
    <col collapsed="false" customWidth="true" hidden="false" outlineLevel="0" max="3" min="3" style="0" width="16"/>
    <col collapsed="false" customWidth="true" hidden="false" outlineLevel="0" max="4" min="4" style="0" width="48"/>
    <col collapsed="false" customWidth="true" hidden="false" outlineLevel="0" max="5" min="5" style="0" width="14"/>
  </cols>
  <sheetData>
    <row r="1" customFormat="false" ht="19.4"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c r="C4" s="4"/>
      <c r="D4" s="4"/>
      <c r="E4" s="4"/>
    </row>
    <row r="5" customFormat="false" ht="30" hidden="false" customHeight="true" outlineLevel="0" collapsed="false">
      <c r="A5" s="5" t="s">
        <v>3</v>
      </c>
      <c r="B5" s="5" t="s">
        <v>4</v>
      </c>
      <c r="C5" s="5" t="s">
        <v>5</v>
      </c>
      <c r="D5" s="5" t="s">
        <v>6</v>
      </c>
      <c r="E5" s="5" t="s">
        <v>7</v>
      </c>
    </row>
    <row r="6" customFormat="false" ht="15" hidden="false" customHeight="false" outlineLevel="0" collapsed="false">
      <c r="A6" s="6" t="s">
        <v>8</v>
      </c>
      <c r="B6" s="7" t="n">
        <v>302058</v>
      </c>
      <c r="C6" s="7" t="n">
        <v>302058</v>
      </c>
      <c r="D6" s="6" t="n">
        <f aca="false">C6-B6</f>
        <v>0</v>
      </c>
      <c r="E6" s="8" t="s">
        <v>9</v>
      </c>
    </row>
    <row r="7" customFormat="false" ht="15" hidden="false" customHeight="false" outlineLevel="0" collapsed="false">
      <c r="A7" s="6" t="s">
        <v>10</v>
      </c>
      <c r="B7" s="7" t="n">
        <v>342186</v>
      </c>
      <c r="C7" s="7" t="n">
        <v>342186</v>
      </c>
      <c r="D7" s="6" t="n">
        <f aca="false">C7-B7</f>
        <v>0</v>
      </c>
      <c r="E7" s="8" t="s">
        <v>9</v>
      </c>
    </row>
    <row r="8" customFormat="false" ht="15" hidden="false" customHeight="false" outlineLevel="0" collapsed="false">
      <c r="A8" s="6" t="s">
        <v>11</v>
      </c>
      <c r="B8" s="7" t="n">
        <v>-40128</v>
      </c>
      <c r="C8" s="7" t="n">
        <v>-40128</v>
      </c>
      <c r="D8" s="6" t="n">
        <f aca="false">C8-B8</f>
        <v>0</v>
      </c>
      <c r="E8" s="8" t="s">
        <v>9</v>
      </c>
    </row>
    <row r="9" customFormat="false" ht="15" hidden="false" customHeight="false" outlineLevel="0" collapsed="false">
      <c r="A9" s="4"/>
      <c r="B9" s="4"/>
      <c r="C9" s="4"/>
      <c r="D9" s="4"/>
      <c r="E9" s="4"/>
    </row>
    <row r="10" customFormat="false" ht="15" hidden="false" customHeight="false" outlineLevel="0" collapsed="false">
      <c r="A10" s="3" t="s">
        <v>12</v>
      </c>
      <c r="B10" s="4"/>
      <c r="C10" s="4"/>
      <c r="D10" s="4"/>
      <c r="E10" s="4"/>
    </row>
    <row r="11" customFormat="false" ht="24.75" hidden="false" customHeight="true" outlineLevel="0" collapsed="false">
      <c r="A11" s="5" t="s">
        <v>13</v>
      </c>
      <c r="B11" s="5" t="s">
        <v>14</v>
      </c>
      <c r="C11" s="4"/>
      <c r="D11" s="4"/>
      <c r="E11" s="4"/>
    </row>
    <row r="12" customFormat="false" ht="15" hidden="false" customHeight="false" outlineLevel="0" collapsed="false">
      <c r="A12" s="6" t="s">
        <v>15</v>
      </c>
      <c r="B12" s="8" t="s">
        <v>16</v>
      </c>
      <c r="C12" s="4"/>
      <c r="D12" s="4"/>
      <c r="E12" s="4"/>
    </row>
    <row r="13" customFormat="false" ht="15" hidden="false" customHeight="false" outlineLevel="0" collapsed="false">
      <c r="A13" s="6" t="s">
        <v>17</v>
      </c>
      <c r="B13" s="8" t="s">
        <v>16</v>
      </c>
      <c r="C13" s="4"/>
      <c r="D13" s="4"/>
      <c r="E13" s="4"/>
    </row>
    <row r="14" customFormat="false" ht="15" hidden="false" customHeight="false" outlineLevel="0" collapsed="false">
      <c r="A14" s="6" t="s">
        <v>18</v>
      </c>
      <c r="B14" s="8" t="s">
        <v>16</v>
      </c>
      <c r="C14" s="4"/>
      <c r="D14" s="4"/>
      <c r="E14" s="4"/>
    </row>
    <row r="15" customFormat="false" ht="15" hidden="false" customHeight="false" outlineLevel="0" collapsed="false">
      <c r="A15" s="6" t="s">
        <v>19</v>
      </c>
      <c r="B15" s="8" t="s">
        <v>16</v>
      </c>
      <c r="C15" s="4"/>
      <c r="D15" s="4"/>
      <c r="E15" s="4"/>
    </row>
    <row r="16" customFormat="false" ht="15" hidden="false" customHeight="false" outlineLevel="0" collapsed="false">
      <c r="A16" s="6" t="s">
        <v>20</v>
      </c>
      <c r="B16" s="8" t="s">
        <v>16</v>
      </c>
      <c r="C16" s="4"/>
      <c r="D16" s="4"/>
      <c r="E16" s="4"/>
    </row>
    <row r="17" customFormat="false" ht="15" hidden="false" customHeight="false" outlineLevel="0" collapsed="false">
      <c r="A17" s="6" t="s">
        <v>21</v>
      </c>
      <c r="B17" s="8" t="s">
        <v>16</v>
      </c>
      <c r="C17" s="4"/>
      <c r="D17" s="4"/>
      <c r="E17" s="4"/>
    </row>
    <row r="18" customFormat="false" ht="15" hidden="false" customHeight="false" outlineLevel="0" collapsed="false">
      <c r="A18" s="6" t="s">
        <v>22</v>
      </c>
      <c r="B18" s="8" t="s">
        <v>16</v>
      </c>
      <c r="C18" s="4"/>
      <c r="D18" s="4"/>
      <c r="E18" s="4"/>
    </row>
    <row r="19" customFormat="false" ht="15" hidden="false" customHeight="false" outlineLevel="0" collapsed="false">
      <c r="A19" s="4"/>
      <c r="B19" s="4"/>
      <c r="C19" s="4"/>
      <c r="D19" s="4"/>
      <c r="E19" s="4"/>
    </row>
    <row r="20" customFormat="false" ht="15" hidden="false" customHeight="false" outlineLevel="0" collapsed="false">
      <c r="A20" s="3" t="s">
        <v>23</v>
      </c>
      <c r="B20" s="4"/>
      <c r="C20" s="4"/>
      <c r="D20" s="4"/>
      <c r="E20" s="4"/>
    </row>
    <row r="21" customFormat="false" ht="24.75" hidden="false" customHeight="true" outlineLevel="0" collapsed="false">
      <c r="A21" s="5" t="s">
        <v>24</v>
      </c>
      <c r="B21" s="5" t="s">
        <v>25</v>
      </c>
      <c r="C21" s="5" t="s">
        <v>26</v>
      </c>
      <c r="D21" s="5" t="s">
        <v>27</v>
      </c>
      <c r="E21" s="4"/>
    </row>
    <row r="22" customFormat="false" ht="15" hidden="false" customHeight="false" outlineLevel="0" collapsed="false">
      <c r="A22" s="6" t="s">
        <v>28</v>
      </c>
      <c r="B22" s="7" t="n">
        <v>-40127821</v>
      </c>
      <c r="C22" s="6" t="n">
        <f aca="false">B22/1000</f>
        <v>-40127.821</v>
      </c>
      <c r="D22" s="9" t="s">
        <v>29</v>
      </c>
      <c r="E22" s="4"/>
    </row>
    <row r="23" customFormat="false" ht="15" hidden="false" customHeight="false" outlineLevel="0" collapsed="false">
      <c r="A23" s="6" t="s">
        <v>30</v>
      </c>
      <c r="B23" s="7" t="n">
        <v>51427220</v>
      </c>
      <c r="C23" s="9" t="n">
        <f aca="false">B23/1000</f>
        <v>51427.22</v>
      </c>
      <c r="D23" s="6" t="s">
        <v>31</v>
      </c>
      <c r="E23" s="4"/>
    </row>
    <row r="24" customFormat="false" ht="15" hidden="false" customHeight="false" outlineLevel="0" collapsed="false">
      <c r="A24" s="6" t="s">
        <v>32</v>
      </c>
      <c r="B24" s="7" t="n">
        <v>11299399</v>
      </c>
      <c r="C24" s="9" t="n">
        <f aca="false">B24/1000</f>
        <v>11299.399</v>
      </c>
      <c r="D24" s="6" t="s">
        <v>33</v>
      </c>
      <c r="E24" s="4"/>
    </row>
    <row r="25" customFormat="false" ht="15" hidden="false" customHeight="false" outlineLevel="0" collapsed="false">
      <c r="A25" s="6" t="s">
        <v>34</v>
      </c>
      <c r="B25" s="10" t="n">
        <v>0</v>
      </c>
      <c r="C25" s="9" t="n">
        <f aca="false">B25/1000</f>
        <v>0</v>
      </c>
      <c r="D25" s="9" t="s">
        <v>35</v>
      </c>
      <c r="E25" s="4"/>
    </row>
    <row r="26" customFormat="false" ht="15" hidden="false" customHeight="false" outlineLevel="0" collapsed="false">
      <c r="A26" s="4"/>
      <c r="B26" s="4"/>
      <c r="C26" s="4"/>
      <c r="D26" s="4"/>
      <c r="E26" s="4"/>
    </row>
    <row r="27" customFormat="false" ht="15" hidden="false" customHeight="false" outlineLevel="0" collapsed="false">
      <c r="A27" s="11" t="s">
        <v>36</v>
      </c>
      <c r="B27" s="12" t="n">
        <v>30173826</v>
      </c>
      <c r="C27" s="11" t="n">
        <f aca="false">B27/1000</f>
        <v>30173.826</v>
      </c>
      <c r="D27" s="11" t="s">
        <v>37</v>
      </c>
      <c r="E27" s="4"/>
    </row>
    <row r="28" customFormat="false" ht="15" hidden="false" customHeight="false" outlineLevel="0" collapsed="false">
      <c r="A28" s="6" t="s">
        <v>38</v>
      </c>
      <c r="B28" s="7" t="n">
        <v>-18874427</v>
      </c>
      <c r="C28" s="9" t="n">
        <f aca="false">B28/1000</f>
        <v>-18874.427</v>
      </c>
      <c r="D28" s="6" t="s">
        <v>39</v>
      </c>
      <c r="E28" s="4"/>
    </row>
    <row r="29" customFormat="false" ht="15" hidden="false" customHeight="false" outlineLevel="0" collapsed="false">
      <c r="A29" s="4"/>
      <c r="B29" s="4"/>
      <c r="C29" s="4"/>
      <c r="D29" s="4"/>
      <c r="E29" s="4"/>
    </row>
    <row r="30" customFormat="false" ht="15" hidden="false" customHeight="false" outlineLevel="0" collapsed="false">
      <c r="A30" s="13" t="s">
        <v>40</v>
      </c>
      <c r="B30" s="4"/>
      <c r="C30" s="4"/>
      <c r="D30" s="4"/>
      <c r="E30" s="4"/>
    </row>
    <row r="31" customFormat="false" ht="15" hidden="false" customHeight="false" outlineLevel="0" collapsed="false">
      <c r="A31" s="6" t="s">
        <v>41</v>
      </c>
      <c r="B31" s="4"/>
      <c r="C31" s="4"/>
      <c r="D31" s="4"/>
      <c r="E31" s="4"/>
    </row>
    <row r="32" customFormat="false" ht="15" hidden="false" customHeight="false" outlineLevel="0" collapsed="false">
      <c r="A32" s="6" t="s">
        <v>42</v>
      </c>
      <c r="B32" s="4"/>
      <c r="C32" s="4"/>
      <c r="D32" s="4"/>
      <c r="E32" s="4"/>
    </row>
    <row r="33" customFormat="false" ht="15" hidden="false" customHeight="false" outlineLevel="0" collapsed="false">
      <c r="A33" s="6" t="s">
        <v>43</v>
      </c>
      <c r="B33" s="4"/>
      <c r="C33" s="4"/>
      <c r="D33" s="4"/>
      <c r="E33" s="4"/>
    </row>
    <row r="34" customFormat="false" ht="15" hidden="false" customHeight="false" outlineLevel="0" collapsed="false">
      <c r="A34" s="6" t="s">
        <v>44</v>
      </c>
      <c r="B34" s="4"/>
      <c r="C34" s="4"/>
      <c r="D34" s="4"/>
      <c r="E34" s="4"/>
    </row>
    <row r="35" customFormat="false" ht="15" hidden="false" customHeight="false" outlineLevel="0" collapsed="false">
      <c r="A35" s="4"/>
      <c r="B35" s="4"/>
      <c r="C35" s="4"/>
      <c r="D35" s="4"/>
      <c r="E35"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50"/>
    <col collapsed="false" customWidth="true" hidden="false" outlineLevel="0" max="4" min="3" style="0" width="15"/>
    <col collapsed="false" customWidth="true" hidden="false" outlineLevel="0" max="5" min="5" style="0" width="65"/>
  </cols>
  <sheetData>
    <row r="1" customFormat="false" ht="19.4" hidden="false" customHeight="false" outlineLevel="0" collapsed="false">
      <c r="A1" s="1" t="s">
        <v>45</v>
      </c>
    </row>
    <row r="2" customFormat="false" ht="15" hidden="false" customHeight="false" outlineLevel="0" collapsed="false">
      <c r="A2" s="2" t="s">
        <v>46</v>
      </c>
    </row>
    <row r="4" customFormat="false" ht="31.5" hidden="false" customHeight="true" outlineLevel="0" collapsed="false">
      <c r="A4" s="5"/>
      <c r="B4" s="5" t="s">
        <v>47</v>
      </c>
      <c r="C4" s="5" t="s">
        <v>26</v>
      </c>
      <c r="D4" s="5" t="s">
        <v>48</v>
      </c>
      <c r="E4" s="5" t="s">
        <v>49</v>
      </c>
    </row>
    <row r="5" customFormat="false" ht="15" hidden="false" customHeight="false" outlineLevel="0" collapsed="false">
      <c r="A5" s="14"/>
      <c r="B5" s="15" t="s">
        <v>50</v>
      </c>
      <c r="C5" s="16" t="n">
        <v>-40128</v>
      </c>
      <c r="D5" s="16" t="n">
        <v>-40128</v>
      </c>
      <c r="E5" s="15" t="s">
        <v>51</v>
      </c>
    </row>
    <row r="6" customFormat="false" ht="15" hidden="false" customHeight="false" outlineLevel="0" collapsed="false">
      <c r="A6" s="9"/>
      <c r="B6" s="9"/>
      <c r="C6" s="9"/>
      <c r="D6" s="9"/>
      <c r="E6" s="9"/>
    </row>
    <row r="7" customFormat="false" ht="15" hidden="false" customHeight="false" outlineLevel="0" collapsed="false">
      <c r="A7" s="17"/>
      <c r="B7" s="18" t="s">
        <v>52</v>
      </c>
      <c r="C7" s="18"/>
      <c r="D7" s="18"/>
      <c r="E7" s="18" t="s">
        <v>53</v>
      </c>
    </row>
    <row r="8" customFormat="false" ht="15" hidden="false" customHeight="false" outlineLevel="0" collapsed="false">
      <c r="A8" s="9" t="s">
        <v>54</v>
      </c>
      <c r="B8" s="6" t="s">
        <v>55</v>
      </c>
      <c r="C8" s="7" t="n">
        <v>-13200</v>
      </c>
      <c r="D8" s="9"/>
      <c r="E8" s="6" t="s">
        <v>56</v>
      </c>
    </row>
    <row r="9" customFormat="false" ht="15" hidden="false" customHeight="false" outlineLevel="0" collapsed="false">
      <c r="A9" s="6" t="s">
        <v>57</v>
      </c>
      <c r="B9" s="6" t="s">
        <v>58</v>
      </c>
      <c r="C9" s="7" t="n">
        <v>708</v>
      </c>
      <c r="D9" s="9"/>
      <c r="E9" s="6" t="s">
        <v>59</v>
      </c>
    </row>
    <row r="10" customFormat="false" ht="15" hidden="false" customHeight="false" outlineLevel="0" collapsed="false">
      <c r="A10" s="6" t="s">
        <v>57</v>
      </c>
      <c r="B10" s="6" t="s">
        <v>60</v>
      </c>
      <c r="C10" s="7" t="n">
        <v>7700</v>
      </c>
      <c r="D10" s="9"/>
      <c r="E10" s="6" t="s">
        <v>61</v>
      </c>
    </row>
    <row r="11" customFormat="false" ht="15" hidden="false" customHeight="false" outlineLevel="0" collapsed="false">
      <c r="A11" s="19"/>
      <c r="B11" s="20" t="s">
        <v>62</v>
      </c>
      <c r="C11" s="19"/>
      <c r="D11" s="19" t="n">
        <f aca="false">SUM(C5:C10)</f>
        <v>-44920</v>
      </c>
      <c r="E11" s="20" t="s">
        <v>63</v>
      </c>
    </row>
    <row r="12" customFormat="false" ht="15" hidden="false" customHeight="false" outlineLevel="0" collapsed="false">
      <c r="A12" s="9"/>
      <c r="B12" s="9"/>
      <c r="C12" s="9"/>
      <c r="D12" s="9"/>
      <c r="E12" s="9"/>
    </row>
    <row r="13" customFormat="false" ht="15" hidden="false" customHeight="false" outlineLevel="0" collapsed="false">
      <c r="A13" s="18"/>
      <c r="B13" s="18" t="s">
        <v>64</v>
      </c>
      <c r="C13" s="18"/>
      <c r="D13" s="18"/>
      <c r="E13" s="18" t="s">
        <v>65</v>
      </c>
    </row>
    <row r="14" customFormat="false" ht="15" hidden="false" customHeight="false" outlineLevel="0" collapsed="false">
      <c r="A14" s="6" t="s">
        <v>57</v>
      </c>
      <c r="B14" s="6" t="s">
        <v>66</v>
      </c>
      <c r="C14" s="7" t="n">
        <v>35712</v>
      </c>
      <c r="D14" s="9"/>
      <c r="E14" s="9" t="s">
        <v>67</v>
      </c>
    </row>
    <row r="15" customFormat="false" ht="15" hidden="false" customHeight="false" outlineLevel="0" collapsed="false">
      <c r="A15" s="6" t="s">
        <v>57</v>
      </c>
      <c r="B15" s="6" t="s">
        <v>68</v>
      </c>
      <c r="C15" s="7" t="n">
        <v>6777</v>
      </c>
      <c r="D15" s="9"/>
      <c r="E15" s="6" t="s">
        <v>69</v>
      </c>
    </row>
    <row r="16" customFormat="false" ht="15" hidden="false" customHeight="false" outlineLevel="0" collapsed="false">
      <c r="A16" s="6" t="s">
        <v>57</v>
      </c>
      <c r="B16" s="6" t="s">
        <v>70</v>
      </c>
      <c r="C16" s="7" t="n">
        <v>5409</v>
      </c>
      <c r="D16" s="9"/>
      <c r="E16" s="6" t="s">
        <v>71</v>
      </c>
    </row>
    <row r="17" customFormat="false" ht="15" hidden="false" customHeight="false" outlineLevel="0" collapsed="false">
      <c r="A17" s="6" t="s">
        <v>57</v>
      </c>
      <c r="B17" s="6" t="s">
        <v>72</v>
      </c>
      <c r="C17" s="7" t="n">
        <v>4648</v>
      </c>
      <c r="D17" s="9"/>
      <c r="E17" s="6" t="s">
        <v>73</v>
      </c>
    </row>
    <row r="18" customFormat="false" ht="15" hidden="false" customHeight="false" outlineLevel="0" collapsed="false">
      <c r="A18" s="6" t="s">
        <v>57</v>
      </c>
      <c r="B18" s="6" t="s">
        <v>74</v>
      </c>
      <c r="C18" s="7" t="n">
        <v>1800</v>
      </c>
      <c r="D18" s="9"/>
      <c r="E18" s="6" t="s">
        <v>75</v>
      </c>
    </row>
    <row r="19" customFormat="false" ht="15" hidden="false" customHeight="false" outlineLevel="0" collapsed="false">
      <c r="A19" s="6" t="s">
        <v>57</v>
      </c>
      <c r="B19" s="6" t="s">
        <v>76</v>
      </c>
      <c r="C19" s="7" t="n">
        <v>331</v>
      </c>
      <c r="D19" s="9"/>
      <c r="E19" s="6" t="s">
        <v>77</v>
      </c>
    </row>
    <row r="20" customFormat="false" ht="15" hidden="false" customHeight="false" outlineLevel="0" collapsed="false">
      <c r="A20" s="19"/>
      <c r="B20" s="20" t="s">
        <v>78</v>
      </c>
      <c r="C20" s="19"/>
      <c r="D20" s="19" t="n">
        <f aca="false">SUM(C5:C19)</f>
        <v>9757</v>
      </c>
      <c r="E20" s="19"/>
    </row>
    <row r="21" customFormat="false" ht="15" hidden="false" customHeight="false" outlineLevel="0" collapsed="false">
      <c r="A21" s="9"/>
      <c r="B21" s="9"/>
      <c r="C21" s="9"/>
      <c r="D21" s="9"/>
      <c r="E21" s="9"/>
    </row>
    <row r="22" customFormat="false" ht="15" hidden="false" customHeight="false" outlineLevel="0" collapsed="false">
      <c r="A22" s="18"/>
      <c r="B22" s="18" t="s">
        <v>79</v>
      </c>
      <c r="C22" s="18"/>
      <c r="D22" s="18"/>
      <c r="E22" s="18"/>
    </row>
    <row r="23" customFormat="false" ht="15" hidden="false" customHeight="false" outlineLevel="0" collapsed="false">
      <c r="A23" s="6" t="s">
        <v>57</v>
      </c>
      <c r="B23" s="9" t="s">
        <v>80</v>
      </c>
      <c r="C23" s="7" t="n">
        <v>3118</v>
      </c>
      <c r="D23" s="9"/>
      <c r="E23" s="9" t="s">
        <v>81</v>
      </c>
    </row>
    <row r="24" customFormat="false" ht="15" hidden="false" customHeight="false" outlineLevel="0" collapsed="false">
      <c r="A24" s="19"/>
      <c r="B24" s="20" t="s">
        <v>82</v>
      </c>
      <c r="C24" s="19"/>
      <c r="D24" s="19" t="n">
        <f aca="false">SUM(C5:C23)</f>
        <v>12875</v>
      </c>
      <c r="E24" s="19"/>
    </row>
    <row r="25" customFormat="false" ht="15" hidden="false" customHeight="false" outlineLevel="0" collapsed="false">
      <c r="A25" s="9"/>
      <c r="B25" s="9"/>
      <c r="C25" s="9"/>
      <c r="D25" s="9"/>
      <c r="E25" s="9"/>
    </row>
    <row r="26" customFormat="false" ht="15" hidden="false" customHeight="false" outlineLevel="0" collapsed="false">
      <c r="A26" s="18"/>
      <c r="B26" s="18" t="s">
        <v>83</v>
      </c>
      <c r="C26" s="18"/>
      <c r="D26" s="18"/>
      <c r="E26" s="18" t="s">
        <v>84</v>
      </c>
    </row>
    <row r="27" customFormat="false" ht="15" hidden="false" customHeight="false" outlineLevel="0" collapsed="false">
      <c r="A27" s="6" t="s">
        <v>57</v>
      </c>
      <c r="B27" s="6" t="s">
        <v>85</v>
      </c>
      <c r="C27" s="7" t="n">
        <v>10634</v>
      </c>
      <c r="D27" s="9"/>
      <c r="E27" s="6" t="s">
        <v>86</v>
      </c>
    </row>
    <row r="28" customFormat="false" ht="15" hidden="false" customHeight="false" outlineLevel="0" collapsed="false">
      <c r="A28" s="6" t="s">
        <v>57</v>
      </c>
      <c r="B28" s="6" t="s">
        <v>87</v>
      </c>
      <c r="C28" s="7" t="n">
        <v>2525</v>
      </c>
      <c r="D28" s="9"/>
      <c r="E28" s="6" t="s">
        <v>88</v>
      </c>
    </row>
    <row r="29" customFormat="false" ht="15" hidden="false" customHeight="false" outlineLevel="0" collapsed="false">
      <c r="A29" s="6" t="s">
        <v>57</v>
      </c>
      <c r="B29" s="6" t="s">
        <v>89</v>
      </c>
      <c r="C29" s="7" t="n">
        <v>84</v>
      </c>
      <c r="D29" s="9"/>
      <c r="E29" s="6" t="s">
        <v>71</v>
      </c>
    </row>
    <row r="30" customFormat="false" ht="15" hidden="false" customHeight="false" outlineLevel="0" collapsed="false">
      <c r="A30" s="6" t="s">
        <v>57</v>
      </c>
      <c r="B30" s="6" t="s">
        <v>90</v>
      </c>
      <c r="C30" s="7" t="n">
        <v>658</v>
      </c>
      <c r="D30" s="9"/>
      <c r="E30" s="6" t="s">
        <v>71</v>
      </c>
    </row>
    <row r="31" customFormat="false" ht="15" hidden="false" customHeight="false" outlineLevel="0" collapsed="false">
      <c r="A31" s="6" t="s">
        <v>57</v>
      </c>
      <c r="B31" s="6" t="s">
        <v>91</v>
      </c>
      <c r="C31" s="7" t="n">
        <v>74</v>
      </c>
      <c r="D31" s="9"/>
      <c r="E31" s="6" t="s">
        <v>92</v>
      </c>
    </row>
    <row r="32" customFormat="false" ht="15" hidden="false" customHeight="false" outlineLevel="0" collapsed="false">
      <c r="A32" s="6" t="s">
        <v>57</v>
      </c>
      <c r="B32" s="6" t="s">
        <v>93</v>
      </c>
      <c r="C32" s="7" t="n">
        <v>151</v>
      </c>
      <c r="D32" s="9"/>
      <c r="E32" s="6" t="s">
        <v>92</v>
      </c>
    </row>
    <row r="33" customFormat="false" ht="15" hidden="false" customHeight="false" outlineLevel="0" collapsed="false">
      <c r="A33" s="6" t="s">
        <v>57</v>
      </c>
      <c r="B33" s="6" t="s">
        <v>94</v>
      </c>
      <c r="C33" s="7" t="n">
        <v>726</v>
      </c>
      <c r="D33" s="9"/>
      <c r="E33" s="6" t="s">
        <v>95</v>
      </c>
    </row>
    <row r="34" customFormat="false" ht="15" hidden="false" customHeight="false" outlineLevel="0" collapsed="false">
      <c r="A34" s="6" t="s">
        <v>57</v>
      </c>
      <c r="B34" s="6" t="s">
        <v>96</v>
      </c>
      <c r="C34" s="7" t="n">
        <v>85</v>
      </c>
      <c r="D34" s="9"/>
      <c r="E34" s="6" t="s">
        <v>92</v>
      </c>
    </row>
    <row r="35" customFormat="false" ht="15" hidden="false" customHeight="false" outlineLevel="0" collapsed="false">
      <c r="A35" s="6" t="s">
        <v>57</v>
      </c>
      <c r="B35" s="6" t="s">
        <v>97</v>
      </c>
      <c r="C35" s="7" t="n">
        <v>1950</v>
      </c>
      <c r="D35" s="9"/>
      <c r="E35" s="6" t="s">
        <v>92</v>
      </c>
    </row>
    <row r="36" customFormat="false" ht="15" hidden="false" customHeight="false" outlineLevel="0" collapsed="false">
      <c r="A36" s="19"/>
      <c r="B36" s="20" t="s">
        <v>98</v>
      </c>
      <c r="C36" s="19"/>
      <c r="D36" s="19" t="n">
        <f aca="false">SUM(C5:C35)</f>
        <v>29762</v>
      </c>
      <c r="E36" s="19"/>
    </row>
    <row r="37" customFormat="false" ht="15" hidden="false" customHeight="false" outlineLevel="0" collapsed="false">
      <c r="A37" s="9"/>
      <c r="B37" s="9"/>
      <c r="C37" s="9"/>
      <c r="D37" s="9"/>
      <c r="E37" s="9"/>
    </row>
    <row r="38" customFormat="false" ht="15" hidden="false" customHeight="false" outlineLevel="0" collapsed="false">
      <c r="A38" s="18"/>
      <c r="B38" s="18" t="s">
        <v>99</v>
      </c>
      <c r="C38" s="18"/>
      <c r="D38" s="18"/>
      <c r="E38" s="18"/>
    </row>
    <row r="39" customFormat="false" ht="15" hidden="false" customHeight="false" outlineLevel="0" collapsed="false">
      <c r="A39" s="6" t="s">
        <v>57</v>
      </c>
      <c r="B39" s="9" t="s">
        <v>100</v>
      </c>
      <c r="C39" s="7" t="n">
        <v>410</v>
      </c>
      <c r="D39" s="9"/>
      <c r="E39" s="6" t="s">
        <v>101</v>
      </c>
    </row>
    <row r="40" customFormat="false" ht="15" hidden="false" customHeight="false" outlineLevel="0" collapsed="false">
      <c r="A40" s="19"/>
      <c r="B40" s="20" t="s">
        <v>102</v>
      </c>
      <c r="C40" s="19"/>
      <c r="D40" s="19" t="n">
        <f aca="false">SUM(C5:C39)</f>
        <v>30172</v>
      </c>
      <c r="E40" s="19"/>
    </row>
    <row r="41" customFormat="false" ht="15" hidden="false" customHeight="false" outlineLevel="0" collapsed="false">
      <c r="A41" s="9"/>
      <c r="B41" s="9"/>
      <c r="C41" s="9"/>
      <c r="D41" s="9"/>
      <c r="E41" s="9"/>
    </row>
    <row r="42" customFormat="false" ht="16.4" hidden="false" customHeight="false" outlineLevel="0" collapsed="false">
      <c r="A42" s="21"/>
      <c r="B42" s="22" t="s">
        <v>103</v>
      </c>
      <c r="C42" s="21" t="n">
        <f aca="false">SUM(C5:C41)</f>
        <v>30172</v>
      </c>
      <c r="D42" s="21" t="n">
        <f aca="false">SUM(C5:C41)</f>
        <v>30172</v>
      </c>
      <c r="E42" s="21" t="s">
        <v>104</v>
      </c>
    </row>
    <row r="43" customFormat="false" ht="15" hidden="false" customHeight="false" outlineLevel="0" collapsed="false">
      <c r="A43" s="9"/>
      <c r="B43" s="9"/>
      <c r="C43" s="9"/>
      <c r="D43" s="9"/>
      <c r="E43" s="9"/>
    </row>
    <row r="44" customFormat="false" ht="15" hidden="false" customHeight="false" outlineLevel="0" collapsed="false">
      <c r="A44" s="9" t="s">
        <v>105</v>
      </c>
      <c r="B44" s="23" t="s">
        <v>106</v>
      </c>
      <c r="C44" s="24" t="n">
        <f aca="false">C42-30174</f>
        <v>-2</v>
      </c>
      <c r="D44" s="9"/>
      <c r="E44" s="9" t="s">
        <v>107</v>
      </c>
    </row>
    <row r="45" customFormat="false" ht="15" hidden="false" customHeight="false" outlineLevel="0" collapsed="false">
      <c r="A45" s="9" t="s">
        <v>105</v>
      </c>
      <c r="B45" s="25" t="s">
        <v>108</v>
      </c>
      <c r="C45" s="24" t="n">
        <f aca="false">C42-C5</f>
        <v>70300</v>
      </c>
      <c r="D45" s="9"/>
      <c r="E45" s="6" t="s">
        <v>109</v>
      </c>
    </row>
    <row r="46" customFormat="false" ht="15" hidden="false" customHeight="false" outlineLevel="0" collapsed="false">
      <c r="A46" s="9"/>
      <c r="B46" s="9"/>
      <c r="C46" s="9"/>
      <c r="D46" s="9"/>
      <c r="E46" s="9"/>
    </row>
    <row r="47" customFormat="false" ht="15" hidden="false" customHeight="false" outlineLevel="0" collapsed="false">
      <c r="A47" s="18" t="s">
        <v>110</v>
      </c>
      <c r="B47" s="9"/>
      <c r="C47" s="9"/>
      <c r="D47" s="9"/>
      <c r="E47" s="9"/>
    </row>
    <row r="48" customFormat="false" ht="15" hidden="false" customHeight="false" outlineLevel="0" collapsed="false">
      <c r="A48" s="6" t="s">
        <v>111</v>
      </c>
      <c r="B48" s="9"/>
      <c r="C48" s="9"/>
      <c r="D48" s="9"/>
      <c r="E48" s="9"/>
    </row>
    <row r="49" customFormat="false" ht="15" hidden="false" customHeight="false" outlineLevel="0" collapsed="false">
      <c r="A49" s="6" t="s">
        <v>112</v>
      </c>
      <c r="B49" s="9"/>
      <c r="C49" s="9"/>
      <c r="D49" s="9"/>
      <c r="E49" s="9"/>
    </row>
    <row r="50" customFormat="false" ht="15" hidden="false" customHeight="false" outlineLevel="0" collapsed="false">
      <c r="A50" s="6" t="s">
        <v>113</v>
      </c>
      <c r="B50" s="9"/>
      <c r="C50" s="9"/>
      <c r="D50" s="9"/>
      <c r="E50" s="9"/>
    </row>
    <row r="51" customFormat="false" ht="15" hidden="false" customHeight="false" outlineLevel="0" collapsed="false">
      <c r="A51" s="6" t="s">
        <v>114</v>
      </c>
      <c r="B51" s="9"/>
      <c r="C51" s="9"/>
      <c r="D51" s="9"/>
      <c r="E51" s="9"/>
    </row>
    <row r="52" customFormat="false" ht="15" hidden="false" customHeight="false" outlineLevel="0" collapsed="false">
      <c r="A52" s="9"/>
      <c r="B52" s="9"/>
      <c r="C52" s="9"/>
      <c r="D52" s="9"/>
      <c r="E52"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5"/>
    <col collapsed="false" customWidth="true" hidden="false" outlineLevel="0" max="3" min="3" style="0" width="48"/>
    <col collapsed="false" customWidth="true" hidden="false" outlineLevel="0" max="4" min="4" style="0" width="52"/>
  </cols>
  <sheetData>
    <row r="1" customFormat="false" ht="19.4" hidden="false" customHeight="false" outlineLevel="0" collapsed="false">
      <c r="A1" s="1" t="s">
        <v>115</v>
      </c>
    </row>
    <row r="2" customFormat="false" ht="15" hidden="false" customHeight="false" outlineLevel="0" collapsed="false">
      <c r="A2" s="2" t="s">
        <v>116</v>
      </c>
    </row>
    <row r="4" customFormat="false" ht="30" hidden="false" customHeight="true" outlineLevel="0" collapsed="false">
      <c r="A4" s="26" t="s">
        <v>47</v>
      </c>
      <c r="B4" s="26" t="s">
        <v>26</v>
      </c>
      <c r="C4" s="26" t="s">
        <v>117</v>
      </c>
      <c r="D4" s="26" t="s">
        <v>118</v>
      </c>
    </row>
    <row r="5" customFormat="false" ht="15" hidden="false" customHeight="false" outlineLevel="0" collapsed="false">
      <c r="A5" s="27" t="s">
        <v>119</v>
      </c>
      <c r="B5" s="28" t="n">
        <v>-40128</v>
      </c>
      <c r="C5" s="27" t="s">
        <v>120</v>
      </c>
      <c r="D5" s="27" t="s">
        <v>121</v>
      </c>
    </row>
    <row r="6" customFormat="false" ht="26.85" hidden="false" customHeight="false" outlineLevel="0" collapsed="false">
      <c r="A6" s="29" t="s">
        <v>122</v>
      </c>
      <c r="B6" s="30" t="n">
        <v>-4790</v>
      </c>
      <c r="C6" s="29" t="s">
        <v>123</v>
      </c>
      <c r="D6" s="29" t="s">
        <v>124</v>
      </c>
    </row>
    <row r="7" customFormat="false" ht="26.85" hidden="false" customHeight="false" outlineLevel="0" collapsed="false">
      <c r="A7" s="29" t="s">
        <v>125</v>
      </c>
      <c r="B7" s="30" t="n">
        <v>54677</v>
      </c>
      <c r="C7" s="31" t="s">
        <v>126</v>
      </c>
      <c r="D7" s="29" t="s">
        <v>127</v>
      </c>
    </row>
    <row r="8" customFormat="false" ht="15" hidden="false" customHeight="false" outlineLevel="0" collapsed="false">
      <c r="A8" s="29" t="s">
        <v>128</v>
      </c>
      <c r="B8" s="30" t="n">
        <v>3118</v>
      </c>
      <c r="C8" s="31" t="s">
        <v>129</v>
      </c>
      <c r="D8" s="31" t="s">
        <v>130</v>
      </c>
    </row>
    <row r="9" customFormat="false" ht="26.85" hidden="false" customHeight="false" outlineLevel="0" collapsed="false">
      <c r="A9" s="29" t="s">
        <v>131</v>
      </c>
      <c r="B9" s="30" t="n">
        <v>16886</v>
      </c>
      <c r="C9" s="29" t="s">
        <v>132</v>
      </c>
      <c r="D9" s="29" t="s">
        <v>133</v>
      </c>
    </row>
    <row r="10" customFormat="false" ht="15" hidden="false" customHeight="false" outlineLevel="0" collapsed="false">
      <c r="A10" s="29" t="s">
        <v>134</v>
      </c>
      <c r="B10" s="30" t="n">
        <v>410</v>
      </c>
      <c r="C10" s="31" t="s">
        <v>135</v>
      </c>
      <c r="D10" s="31"/>
    </row>
    <row r="11" customFormat="false" ht="15" hidden="false" customHeight="false" outlineLevel="0" collapsed="false">
      <c r="A11" s="32" t="s">
        <v>136</v>
      </c>
      <c r="B11" s="33" t="n">
        <v>70301</v>
      </c>
      <c r="C11" s="32"/>
      <c r="D11" s="32" t="s">
        <v>137</v>
      </c>
    </row>
    <row r="12" customFormat="false" ht="15" hidden="false" customHeight="false" outlineLevel="0" collapsed="false">
      <c r="A12" s="34" t="s">
        <v>138</v>
      </c>
      <c r="B12" s="35" t="n">
        <v>30174</v>
      </c>
      <c r="C12" s="36" t="s">
        <v>139</v>
      </c>
      <c r="D12" s="34" t="s">
        <v>140</v>
      </c>
    </row>
    <row r="13" customFormat="false" ht="15" hidden="false" customHeight="false" outlineLevel="0" collapsed="false">
      <c r="A13" s="37"/>
      <c r="B13" s="37"/>
      <c r="C13" s="37"/>
      <c r="D13" s="37"/>
    </row>
    <row r="14" customFormat="false" ht="15" hidden="false" customHeight="false" outlineLevel="0" collapsed="false">
      <c r="A14" s="37"/>
      <c r="B14" s="37"/>
      <c r="C14" s="37"/>
      <c r="D14" s="37"/>
    </row>
    <row r="15" customFormat="false" ht="15" hidden="false" customHeight="false" outlineLevel="0" collapsed="false">
      <c r="A15" s="38" t="s">
        <v>141</v>
      </c>
      <c r="B15" s="37"/>
      <c r="C15" s="37"/>
      <c r="D15" s="37"/>
    </row>
    <row r="16" customFormat="false" ht="26.85" hidden="false" customHeight="false" outlineLevel="0" collapsed="false">
      <c r="A16" s="29" t="s">
        <v>142</v>
      </c>
      <c r="B16" s="37"/>
      <c r="C16" s="37"/>
      <c r="D16" s="37"/>
    </row>
    <row r="17" customFormat="false" ht="39.55" hidden="false" customHeight="false" outlineLevel="0" collapsed="false">
      <c r="A17" s="29" t="s">
        <v>143</v>
      </c>
      <c r="B17" s="37"/>
      <c r="C17" s="37"/>
      <c r="D17" s="37"/>
    </row>
    <row r="18" customFormat="false" ht="26.85" hidden="false" customHeight="false" outlineLevel="0" collapsed="false">
      <c r="A18" s="29" t="s">
        <v>144</v>
      </c>
      <c r="B18" s="37"/>
      <c r="C18" s="37"/>
      <c r="D18" s="37"/>
    </row>
    <row r="19" customFormat="false" ht="39.55" hidden="false" customHeight="false" outlineLevel="0" collapsed="false">
      <c r="A19" s="29" t="s">
        <v>145</v>
      </c>
      <c r="B19" s="37"/>
      <c r="C19" s="37"/>
      <c r="D19" s="37"/>
    </row>
    <row r="20" customFormat="false" ht="15" hidden="false" customHeight="false" outlineLevel="0" collapsed="false">
      <c r="A20" s="37"/>
      <c r="B20" s="37"/>
      <c r="C20" s="37"/>
      <c r="D20" s="3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6" min="2" style="0" width="15"/>
    <col collapsed="false" customWidth="true" hidden="false" outlineLevel="0" max="7" min="7" style="0" width="58"/>
  </cols>
  <sheetData>
    <row r="1" customFormat="false" ht="19.4" hidden="false" customHeight="false" outlineLevel="0" collapsed="false">
      <c r="A1" s="1" t="s">
        <v>146</v>
      </c>
    </row>
    <row r="2" customFormat="false" ht="15" hidden="false" customHeight="false" outlineLevel="0" collapsed="false">
      <c r="A2" s="39" t="s">
        <v>147</v>
      </c>
    </row>
    <row r="4" customFormat="false" ht="42" hidden="false" customHeight="true" outlineLevel="0" collapsed="false">
      <c r="A4" s="26" t="s">
        <v>3</v>
      </c>
      <c r="B4" s="26" t="s">
        <v>148</v>
      </c>
      <c r="C4" s="40" t="s">
        <v>149</v>
      </c>
      <c r="D4" s="40" t="s">
        <v>150</v>
      </c>
      <c r="E4" s="40" t="s">
        <v>151</v>
      </c>
      <c r="F4" s="40" t="s">
        <v>152</v>
      </c>
      <c r="G4" s="26" t="s">
        <v>153</v>
      </c>
    </row>
    <row r="5" customFormat="false" ht="15" hidden="false" customHeight="false" outlineLevel="0" collapsed="false">
      <c r="A5" s="29" t="s">
        <v>154</v>
      </c>
      <c r="B5" s="30" t="n">
        <v>-708100</v>
      </c>
      <c r="C5" s="30" t="n">
        <v>0</v>
      </c>
      <c r="D5" s="30" t="n">
        <v>-708100</v>
      </c>
      <c r="E5" s="30" t="n">
        <v>0</v>
      </c>
      <c r="F5" s="30" t="n">
        <v>0</v>
      </c>
      <c r="G5" s="29" t="s">
        <v>155</v>
      </c>
    </row>
    <row r="6" customFormat="false" ht="15" hidden="false" customHeight="false" outlineLevel="0" collapsed="false">
      <c r="A6" s="29" t="s">
        <v>156</v>
      </c>
      <c r="B6" s="30" t="n">
        <v>13200000</v>
      </c>
      <c r="C6" s="30" t="n">
        <v>0</v>
      </c>
      <c r="D6" s="30" t="n">
        <v>13200000</v>
      </c>
      <c r="E6" s="30" t="n">
        <v>0</v>
      </c>
      <c r="F6" s="30" t="n">
        <v>0</v>
      </c>
      <c r="G6" s="29" t="s">
        <v>157</v>
      </c>
    </row>
    <row r="7" customFormat="false" ht="15" hidden="false" customHeight="false" outlineLevel="0" collapsed="false">
      <c r="A7" s="29" t="s">
        <v>158</v>
      </c>
      <c r="B7" s="30" t="n">
        <v>12000000</v>
      </c>
      <c r="C7" s="30" t="n">
        <v>12000000</v>
      </c>
      <c r="D7" s="30" t="n">
        <v>0</v>
      </c>
      <c r="E7" s="30" t="n">
        <v>0</v>
      </c>
      <c r="F7" s="30" t="n">
        <v>0</v>
      </c>
      <c r="G7" s="29" t="s">
        <v>159</v>
      </c>
    </row>
    <row r="8" customFormat="false" ht="15" hidden="false" customHeight="false" outlineLevel="0" collapsed="false">
      <c r="A8" s="29" t="s">
        <v>160</v>
      </c>
      <c r="B8" s="30" t="n">
        <v>27553741</v>
      </c>
      <c r="C8" s="30" t="n">
        <v>16920000</v>
      </c>
      <c r="D8" s="30" t="n">
        <v>0</v>
      </c>
      <c r="E8" s="30" t="n">
        <v>0</v>
      </c>
      <c r="F8" s="30" t="n">
        <v>10633741</v>
      </c>
      <c r="G8" s="29" t="s">
        <v>161</v>
      </c>
    </row>
    <row r="9" customFormat="false" ht="15" hidden="false" customHeight="false" outlineLevel="0" collapsed="false">
      <c r="A9" s="29" t="s">
        <v>162</v>
      </c>
      <c r="B9" s="30" t="n">
        <v>5310548</v>
      </c>
      <c r="C9" s="30" t="n">
        <v>2785878</v>
      </c>
      <c r="D9" s="30" t="n">
        <v>0</v>
      </c>
      <c r="E9" s="30" t="n">
        <v>0</v>
      </c>
      <c r="F9" s="30" t="n">
        <v>2524670</v>
      </c>
      <c r="G9" s="31" t="s">
        <v>163</v>
      </c>
    </row>
    <row r="10" customFormat="false" ht="15" hidden="false" customHeight="false" outlineLevel="0" collapsed="false">
      <c r="A10" s="29" t="s">
        <v>164</v>
      </c>
      <c r="B10" s="30" t="n">
        <v>228000</v>
      </c>
      <c r="C10" s="30" t="n">
        <v>144000</v>
      </c>
      <c r="D10" s="30" t="n">
        <v>0</v>
      </c>
      <c r="E10" s="30" t="n">
        <v>0</v>
      </c>
      <c r="F10" s="30" t="n">
        <v>84000</v>
      </c>
      <c r="G10" s="29" t="s">
        <v>71</v>
      </c>
    </row>
    <row r="11" customFormat="false" ht="15" hidden="false" customHeight="false" outlineLevel="0" collapsed="false">
      <c r="A11" s="29" t="s">
        <v>165</v>
      </c>
      <c r="B11" s="30" t="n">
        <v>716977</v>
      </c>
      <c r="C11" s="30" t="n">
        <v>59178</v>
      </c>
      <c r="D11" s="30" t="n">
        <v>0</v>
      </c>
      <c r="E11" s="30" t="n">
        <v>0</v>
      </c>
      <c r="F11" s="30" t="n">
        <v>657799</v>
      </c>
      <c r="G11" s="29" t="s">
        <v>71</v>
      </c>
    </row>
    <row r="12" customFormat="false" ht="15" hidden="false" customHeight="false" outlineLevel="0" collapsed="false">
      <c r="A12" s="29" t="s">
        <v>166</v>
      </c>
      <c r="B12" s="30" t="n">
        <v>137405</v>
      </c>
      <c r="C12" s="30" t="n">
        <v>137405</v>
      </c>
      <c r="D12" s="30" t="n">
        <v>0</v>
      </c>
      <c r="E12" s="30" t="n">
        <v>0</v>
      </c>
      <c r="F12" s="30" t="n">
        <v>0</v>
      </c>
      <c r="G12" s="31" t="s">
        <v>167</v>
      </c>
    </row>
    <row r="13" customFormat="false" ht="15" hidden="false" customHeight="false" outlineLevel="0" collapsed="false">
      <c r="A13" s="29" t="s">
        <v>168</v>
      </c>
      <c r="B13" s="30" t="n">
        <v>74032</v>
      </c>
      <c r="C13" s="30" t="n">
        <v>0</v>
      </c>
      <c r="D13" s="30" t="n">
        <v>0</v>
      </c>
      <c r="E13" s="30" t="n">
        <v>0</v>
      </c>
      <c r="F13" s="30" t="n">
        <v>74032</v>
      </c>
      <c r="G13" s="29" t="s">
        <v>92</v>
      </c>
    </row>
    <row r="14" customFormat="false" ht="15" hidden="false" customHeight="false" outlineLevel="0" collapsed="false">
      <c r="A14" s="29" t="s">
        <v>169</v>
      </c>
      <c r="B14" s="30" t="n">
        <v>6777295</v>
      </c>
      <c r="C14" s="30" t="n">
        <v>0</v>
      </c>
      <c r="D14" s="30" t="n">
        <v>0</v>
      </c>
      <c r="E14" s="30" t="n">
        <v>6777295</v>
      </c>
      <c r="F14" s="30" t="n">
        <v>0</v>
      </c>
      <c r="G14" s="29" t="s">
        <v>170</v>
      </c>
    </row>
    <row r="15" customFormat="false" ht="15" hidden="false" customHeight="false" outlineLevel="0" collapsed="false">
      <c r="A15" s="29" t="s">
        <v>171</v>
      </c>
      <c r="B15" s="30" t="n">
        <v>151000</v>
      </c>
      <c r="C15" s="30" t="n">
        <v>0</v>
      </c>
      <c r="D15" s="30" t="n">
        <v>0</v>
      </c>
      <c r="E15" s="30" t="n">
        <v>0</v>
      </c>
      <c r="F15" s="30" t="n">
        <v>151000</v>
      </c>
      <c r="G15" s="29" t="s">
        <v>92</v>
      </c>
    </row>
    <row r="16" customFormat="false" ht="15" hidden="false" customHeight="false" outlineLevel="0" collapsed="false">
      <c r="A16" s="29" t="s">
        <v>172</v>
      </c>
      <c r="B16" s="30" t="n">
        <v>5409362</v>
      </c>
      <c r="C16" s="30" t="n">
        <v>0</v>
      </c>
      <c r="D16" s="30" t="n">
        <v>0</v>
      </c>
      <c r="E16" s="30" t="n">
        <v>5409362</v>
      </c>
      <c r="F16" s="30" t="n">
        <v>0</v>
      </c>
      <c r="G16" s="29" t="s">
        <v>170</v>
      </c>
    </row>
    <row r="17" customFormat="false" ht="15" hidden="false" customHeight="false" outlineLevel="0" collapsed="false">
      <c r="A17" s="29" t="s">
        <v>173</v>
      </c>
      <c r="B17" s="30" t="n">
        <v>1417106</v>
      </c>
      <c r="C17" s="30" t="n">
        <v>1417106</v>
      </c>
      <c r="D17" s="30" t="n">
        <v>0</v>
      </c>
      <c r="E17" s="30" t="n">
        <v>0</v>
      </c>
      <c r="F17" s="30" t="n">
        <v>0</v>
      </c>
      <c r="G17" s="29" t="s">
        <v>174</v>
      </c>
    </row>
    <row r="18" customFormat="false" ht="15" hidden="false" customHeight="false" outlineLevel="0" collapsed="false">
      <c r="A18" s="29" t="s">
        <v>175</v>
      </c>
      <c r="B18" s="30" t="n">
        <v>464150</v>
      </c>
      <c r="C18" s="30" t="n">
        <v>0</v>
      </c>
      <c r="D18" s="30" t="n">
        <v>464150</v>
      </c>
      <c r="E18" s="30" t="n">
        <v>0</v>
      </c>
      <c r="F18" s="30" t="n">
        <v>0</v>
      </c>
      <c r="G18" s="29" t="s">
        <v>176</v>
      </c>
    </row>
    <row r="19" customFormat="false" ht="15" hidden="false" customHeight="false" outlineLevel="0" collapsed="false">
      <c r="A19" s="29" t="s">
        <v>177</v>
      </c>
      <c r="B19" s="30" t="n">
        <v>442500</v>
      </c>
      <c r="C19" s="30" t="n">
        <v>0</v>
      </c>
      <c r="D19" s="30" t="n">
        <v>442500</v>
      </c>
      <c r="E19" s="30" t="n">
        <v>0</v>
      </c>
      <c r="F19" s="30" t="n">
        <v>0</v>
      </c>
      <c r="G19" s="29" t="s">
        <v>176</v>
      </c>
    </row>
    <row r="20" customFormat="false" ht="15" hidden="false" customHeight="false" outlineLevel="0" collapsed="false">
      <c r="A20" s="29" t="s">
        <v>178</v>
      </c>
      <c r="B20" s="30" t="n">
        <v>192496</v>
      </c>
      <c r="C20" s="30" t="n">
        <v>192496</v>
      </c>
      <c r="D20" s="30" t="n">
        <v>0</v>
      </c>
      <c r="E20" s="30" t="n">
        <v>0</v>
      </c>
      <c r="F20" s="30" t="n">
        <v>0</v>
      </c>
      <c r="G20" s="29" t="s">
        <v>179</v>
      </c>
    </row>
    <row r="21" customFormat="false" ht="15" hidden="false" customHeight="false" outlineLevel="0" collapsed="false">
      <c r="A21" s="29" t="s">
        <v>180</v>
      </c>
      <c r="B21" s="30" t="n">
        <v>37500</v>
      </c>
      <c r="C21" s="30" t="n">
        <v>37500</v>
      </c>
      <c r="D21" s="30" t="n">
        <v>0</v>
      </c>
      <c r="E21" s="30" t="n">
        <v>0</v>
      </c>
      <c r="F21" s="30" t="n">
        <v>0</v>
      </c>
      <c r="G21" s="29" t="s">
        <v>181</v>
      </c>
    </row>
    <row r="22" customFormat="false" ht="15" hidden="false" customHeight="false" outlineLevel="0" collapsed="false">
      <c r="A22" s="29" t="s">
        <v>182</v>
      </c>
      <c r="B22" s="30" t="n">
        <v>3350430</v>
      </c>
      <c r="C22" s="30" t="n">
        <v>3350430</v>
      </c>
      <c r="D22" s="30" t="n">
        <v>0</v>
      </c>
      <c r="E22" s="30" t="n">
        <v>0</v>
      </c>
      <c r="F22" s="30" t="n">
        <v>0</v>
      </c>
      <c r="G22" s="29" t="s">
        <v>183</v>
      </c>
    </row>
    <row r="23" customFormat="false" ht="15" hidden="false" customHeight="false" outlineLevel="0" collapsed="false">
      <c r="A23" s="29" t="s">
        <v>184</v>
      </c>
      <c r="B23" s="30" t="n">
        <v>8022600</v>
      </c>
      <c r="C23" s="30" t="n">
        <v>8022600</v>
      </c>
      <c r="D23" s="30" t="n">
        <v>0</v>
      </c>
      <c r="E23" s="30" t="n">
        <v>0</v>
      </c>
      <c r="F23" s="30" t="n">
        <v>0</v>
      </c>
      <c r="G23" s="29" t="s">
        <v>185</v>
      </c>
    </row>
    <row r="24" customFormat="false" ht="15" hidden="false" customHeight="false" outlineLevel="0" collapsed="false">
      <c r="A24" s="29" t="s">
        <v>186</v>
      </c>
      <c r="B24" s="30" t="n">
        <v>1279248</v>
      </c>
      <c r="C24" s="30" t="n">
        <v>1279248</v>
      </c>
      <c r="D24" s="30" t="n">
        <v>0</v>
      </c>
      <c r="E24" s="30" t="n">
        <v>0</v>
      </c>
      <c r="F24" s="30" t="n">
        <v>0</v>
      </c>
      <c r="G24" s="29" t="s">
        <v>71</v>
      </c>
    </row>
    <row r="25" customFormat="false" ht="15" hidden="false" customHeight="false" outlineLevel="0" collapsed="false">
      <c r="A25" s="29" t="s">
        <v>187</v>
      </c>
      <c r="B25" s="30" t="n">
        <v>725952</v>
      </c>
      <c r="C25" s="30" t="n">
        <v>0</v>
      </c>
      <c r="D25" s="30" t="n">
        <v>0</v>
      </c>
      <c r="E25" s="30" t="n">
        <v>0</v>
      </c>
      <c r="F25" s="30" t="n">
        <v>725952</v>
      </c>
      <c r="G25" s="29" t="s">
        <v>188</v>
      </c>
    </row>
    <row r="26" customFormat="false" ht="15" hidden="false" customHeight="false" outlineLevel="0" collapsed="false">
      <c r="A26" s="29" t="s">
        <v>189</v>
      </c>
      <c r="B26" s="30" t="n">
        <v>442756</v>
      </c>
      <c r="C26" s="30" t="n">
        <v>111776</v>
      </c>
      <c r="D26" s="30" t="n">
        <v>0</v>
      </c>
      <c r="E26" s="30" t="n">
        <v>330980</v>
      </c>
      <c r="F26" s="30" t="n">
        <v>0</v>
      </c>
      <c r="G26" s="29" t="s">
        <v>190</v>
      </c>
    </row>
    <row r="27" customFormat="false" ht="15" hidden="false" customHeight="false" outlineLevel="0" collapsed="false">
      <c r="A27" s="29" t="s">
        <v>191</v>
      </c>
      <c r="B27" s="30" t="n">
        <v>1058500</v>
      </c>
      <c r="C27" s="30" t="n">
        <v>0</v>
      </c>
      <c r="D27" s="30" t="n">
        <v>1058500</v>
      </c>
      <c r="E27" s="30" t="n">
        <v>0</v>
      </c>
      <c r="F27" s="30" t="n">
        <v>0</v>
      </c>
      <c r="G27" s="29" t="s">
        <v>192</v>
      </c>
    </row>
    <row r="28" customFormat="false" ht="15" hidden="false" customHeight="false" outlineLevel="0" collapsed="false">
      <c r="A28" s="29" t="s">
        <v>193</v>
      </c>
      <c r="B28" s="30" t="n">
        <v>6647672</v>
      </c>
      <c r="C28" s="30" t="n">
        <v>2000000</v>
      </c>
      <c r="D28" s="30" t="n">
        <v>0</v>
      </c>
      <c r="E28" s="30" t="n">
        <v>4647672</v>
      </c>
      <c r="F28" s="30" t="n">
        <v>0</v>
      </c>
      <c r="G28" s="29" t="s">
        <v>194</v>
      </c>
    </row>
    <row r="29" customFormat="false" ht="15" hidden="false" customHeight="false" outlineLevel="0" collapsed="false">
      <c r="A29" s="29" t="s">
        <v>195</v>
      </c>
      <c r="B29" s="30" t="n">
        <v>5736372</v>
      </c>
      <c r="C29" s="30" t="n">
        <v>0</v>
      </c>
      <c r="D29" s="30" t="n">
        <v>5736372</v>
      </c>
      <c r="E29" s="30" t="n">
        <v>0</v>
      </c>
      <c r="F29" s="30" t="n">
        <v>0</v>
      </c>
      <c r="G29" s="29" t="s">
        <v>196</v>
      </c>
    </row>
    <row r="30" customFormat="false" ht="15" hidden="false" customHeight="false" outlineLevel="0" collapsed="false">
      <c r="A30" s="29" t="s">
        <v>197</v>
      </c>
      <c r="B30" s="30" t="n">
        <v>85417</v>
      </c>
      <c r="C30" s="30" t="n">
        <v>0</v>
      </c>
      <c r="D30" s="30" t="n">
        <v>0</v>
      </c>
      <c r="E30" s="30" t="n">
        <v>0</v>
      </c>
      <c r="F30" s="30" t="n">
        <v>85417</v>
      </c>
      <c r="G30" s="29" t="s">
        <v>92</v>
      </c>
    </row>
    <row r="31" customFormat="false" ht="15" hidden="false" customHeight="false" outlineLevel="0" collapsed="false">
      <c r="A31" s="29" t="s">
        <v>74</v>
      </c>
      <c r="B31" s="30" t="n">
        <v>1800000</v>
      </c>
      <c r="C31" s="30" t="n">
        <v>0</v>
      </c>
      <c r="D31" s="30" t="n">
        <v>0</v>
      </c>
      <c r="E31" s="30" t="n">
        <v>1800000</v>
      </c>
      <c r="F31" s="30" t="n">
        <v>0</v>
      </c>
      <c r="G31" s="29" t="s">
        <v>198</v>
      </c>
    </row>
    <row r="32" customFormat="false" ht="15" hidden="false" customHeight="false" outlineLevel="0" collapsed="false">
      <c r="A32" s="29" t="s">
        <v>199</v>
      </c>
      <c r="B32" s="30" t="n">
        <v>2562129</v>
      </c>
      <c r="C32" s="30" t="n">
        <v>2562129</v>
      </c>
      <c r="D32" s="30" t="n">
        <v>0</v>
      </c>
      <c r="E32" s="30" t="n">
        <v>0</v>
      </c>
      <c r="F32" s="30" t="n">
        <v>0</v>
      </c>
      <c r="G32" s="29" t="s">
        <v>200</v>
      </c>
    </row>
    <row r="33" customFormat="false" ht="15" hidden="false" customHeight="false" outlineLevel="0" collapsed="false">
      <c r="A33" s="29" t="s">
        <v>201</v>
      </c>
      <c r="B33" s="30" t="n">
        <v>1949542</v>
      </c>
      <c r="C33" s="30" t="n">
        <v>0</v>
      </c>
      <c r="D33" s="30" t="n">
        <v>0</v>
      </c>
      <c r="E33" s="30" t="n">
        <v>0</v>
      </c>
      <c r="F33" s="30" t="n">
        <v>1949542</v>
      </c>
      <c r="G33" s="29" t="s">
        <v>92</v>
      </c>
    </row>
    <row r="34" customFormat="false" ht="15" hidden="false" customHeight="false" outlineLevel="0" collapsed="false">
      <c r="A34" s="37"/>
      <c r="B34" s="37"/>
      <c r="C34" s="37"/>
      <c r="D34" s="37"/>
      <c r="E34" s="37"/>
      <c r="F34" s="37"/>
      <c r="G34" s="37"/>
    </row>
    <row r="35" customFormat="false" ht="15" hidden="false" customHeight="false" outlineLevel="0" collapsed="false">
      <c r="A35" s="41" t="s">
        <v>202</v>
      </c>
      <c r="B35" s="41" t="n">
        <f aca="false">SUM(B5:B6)</f>
        <v>12491900</v>
      </c>
      <c r="C35" s="41" t="n">
        <f aca="false">SUM(C5:C6)</f>
        <v>0</v>
      </c>
      <c r="D35" s="41" t="n">
        <f aca="false">SUM(D5:D6)</f>
        <v>12491900</v>
      </c>
      <c r="E35" s="41" t="n">
        <f aca="false">SUM(E5:E6)</f>
        <v>0</v>
      </c>
      <c r="F35" s="41" t="n">
        <f aca="false">SUM(F5:F6)</f>
        <v>0</v>
      </c>
      <c r="G35" s="42"/>
    </row>
    <row r="36" customFormat="false" ht="15" hidden="false" customHeight="false" outlineLevel="0" collapsed="false">
      <c r="A36" s="41" t="s">
        <v>203</v>
      </c>
      <c r="B36" s="41" t="n">
        <f aca="false">SUM(B7:B33)</f>
        <v>94572730</v>
      </c>
      <c r="C36" s="41" t="n">
        <f aca="false">SUM(C7:C33)</f>
        <v>51019746</v>
      </c>
      <c r="D36" s="41" t="n">
        <f aca="false">SUM(D7:D33)</f>
        <v>7701522</v>
      </c>
      <c r="E36" s="41" t="n">
        <f aca="false">SUM(E7:E33)</f>
        <v>18965309</v>
      </c>
      <c r="F36" s="41" t="n">
        <f aca="false">SUM(F7:F33)</f>
        <v>16886153</v>
      </c>
      <c r="G36" s="42"/>
    </row>
    <row r="37" customFormat="false" ht="15" hidden="false" customHeight="false" outlineLevel="0" collapsed="false">
      <c r="A37" s="27" t="s">
        <v>204</v>
      </c>
      <c r="B37" s="27" t="n">
        <f aca="false">B35-B36</f>
        <v>-82080830</v>
      </c>
      <c r="C37" s="27" t="n">
        <f aca="false">C35-C36</f>
        <v>-51019746</v>
      </c>
      <c r="D37" s="27" t="n">
        <f aca="false">D35-D36</f>
        <v>4790378</v>
      </c>
      <c r="E37" s="27" t="n">
        <f aca="false">E35-E36</f>
        <v>-18965309</v>
      </c>
      <c r="F37" s="27" t="n">
        <f aca="false">F35-F36</f>
        <v>-16886153</v>
      </c>
      <c r="G37" s="43"/>
    </row>
    <row r="38" customFormat="false" ht="15" hidden="false" customHeight="false" outlineLevel="0" collapsed="false">
      <c r="A38" s="37"/>
      <c r="B38" s="37"/>
      <c r="C38" s="37"/>
      <c r="D38" s="37"/>
      <c r="E38" s="37"/>
      <c r="F38" s="37"/>
      <c r="G38" s="37"/>
    </row>
    <row r="39" customFormat="false" ht="26.85" hidden="false" customHeight="false" outlineLevel="0" collapsed="false">
      <c r="A39" s="44" t="s">
        <v>205</v>
      </c>
      <c r="B39" s="30" t="n">
        <v>-82080830</v>
      </c>
      <c r="C39" s="45" t="n">
        <f aca="false">B37-B39</f>
        <v>0</v>
      </c>
      <c r="D39" s="37"/>
      <c r="E39" s="37"/>
      <c r="F39" s="37"/>
      <c r="G39" s="31" t="s">
        <v>206</v>
      </c>
    </row>
    <row r="40" customFormat="false" ht="15" hidden="false" customHeight="false" outlineLevel="0" collapsed="false">
      <c r="A40" s="37"/>
      <c r="B40" s="37"/>
      <c r="C40" s="37"/>
      <c r="D40" s="37"/>
      <c r="E40" s="37"/>
      <c r="F40" s="37"/>
      <c r="G40" s="37"/>
    </row>
    <row r="41" customFormat="false" ht="15" hidden="false" customHeight="false" outlineLevel="0" collapsed="false">
      <c r="A41" s="38" t="s">
        <v>207</v>
      </c>
      <c r="B41" s="37"/>
      <c r="C41" s="37"/>
      <c r="D41" s="37"/>
      <c r="E41" s="37"/>
      <c r="F41" s="37"/>
      <c r="G41" s="37"/>
    </row>
    <row r="42" customFormat="false" ht="102.95" hidden="false" customHeight="false" outlineLevel="0" collapsed="false">
      <c r="A42" s="46" t="s">
        <v>208</v>
      </c>
      <c r="B42" s="37"/>
      <c r="C42" s="29" t="s">
        <v>209</v>
      </c>
      <c r="D42" s="37"/>
      <c r="E42" s="37"/>
      <c r="F42" s="37"/>
      <c r="G42" s="37"/>
    </row>
    <row r="43" customFormat="false" ht="39.55" hidden="false" customHeight="false" outlineLevel="0" collapsed="false">
      <c r="A43" s="46" t="s">
        <v>210</v>
      </c>
      <c r="B43" s="37"/>
      <c r="C43" s="29" t="s">
        <v>211</v>
      </c>
      <c r="D43" s="37"/>
      <c r="E43" s="37"/>
      <c r="F43" s="37"/>
      <c r="G43" s="37"/>
    </row>
    <row r="44" customFormat="false" ht="52.2" hidden="false" customHeight="false" outlineLevel="0" collapsed="false">
      <c r="A44" s="46" t="s">
        <v>212</v>
      </c>
      <c r="B44" s="37"/>
      <c r="C44" s="29" t="s">
        <v>213</v>
      </c>
      <c r="D44" s="37"/>
      <c r="E44" s="37"/>
      <c r="F44" s="37"/>
      <c r="G44" s="37"/>
    </row>
    <row r="45" customFormat="false" ht="52.2" hidden="false" customHeight="false" outlineLevel="0" collapsed="false">
      <c r="A45" s="46" t="s">
        <v>214</v>
      </c>
      <c r="B45" s="37"/>
      <c r="C45" s="29" t="s">
        <v>215</v>
      </c>
      <c r="D45" s="37"/>
      <c r="E45" s="37"/>
      <c r="F45" s="37"/>
      <c r="G45" s="37"/>
    </row>
    <row r="46" customFormat="false" ht="15" hidden="false" customHeight="false" outlineLevel="0" collapsed="false">
      <c r="A46" s="37"/>
      <c r="B46" s="37"/>
      <c r="C46" s="37"/>
      <c r="D46" s="37"/>
      <c r="E46" s="37"/>
      <c r="F46" s="37"/>
      <c r="G46" s="3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120"/>
  </cols>
  <sheetData>
    <row r="1" customFormat="false" ht="17.35" hidden="false" customHeight="false" outlineLevel="0" collapsed="false">
      <c r="A1" s="1" t="s">
        <v>216</v>
      </c>
    </row>
    <row r="2" customFormat="false" ht="15" hidden="false" customHeight="false" outlineLevel="0" collapsed="false">
      <c r="A2" s="2"/>
    </row>
    <row r="3" customFormat="false" ht="15" hidden="false" customHeight="false" outlineLevel="0" collapsed="false">
      <c r="A3" s="47" t="s">
        <v>217</v>
      </c>
      <c r="B3" s="48"/>
    </row>
    <row r="4" customFormat="false" ht="15" hidden="false" customHeight="false" outlineLevel="0" collapsed="false">
      <c r="A4" s="4"/>
      <c r="B4" s="49" t="s">
        <v>218</v>
      </c>
    </row>
    <row r="5" customFormat="false" ht="15" hidden="false" customHeight="false" outlineLevel="0" collapsed="false">
      <c r="A5" s="4"/>
      <c r="B5" s="49" t="s">
        <v>219</v>
      </c>
    </row>
    <row r="6" customFormat="false" ht="15" hidden="false" customHeight="false" outlineLevel="0" collapsed="false">
      <c r="A6" s="4"/>
      <c r="B6" s="49" t="s">
        <v>220</v>
      </c>
    </row>
    <row r="7" customFormat="false" ht="15" hidden="false" customHeight="false" outlineLevel="0" collapsed="false">
      <c r="A7" s="47" t="s">
        <v>221</v>
      </c>
      <c r="B7" s="48"/>
    </row>
    <row r="8" customFormat="false" ht="15" hidden="false" customHeight="false" outlineLevel="0" collapsed="false">
      <c r="A8" s="4"/>
      <c r="B8" s="49" t="s">
        <v>222</v>
      </c>
    </row>
    <row r="9" customFormat="false" ht="15" hidden="false" customHeight="false" outlineLevel="0" collapsed="false">
      <c r="A9" s="4"/>
      <c r="B9" s="49" t="s">
        <v>223</v>
      </c>
    </row>
    <row r="10" customFormat="false" ht="15" hidden="false" customHeight="false" outlineLevel="0" collapsed="false">
      <c r="A10" s="4"/>
      <c r="B10" s="49" t="s">
        <v>224</v>
      </c>
    </row>
    <row r="11" customFormat="false" ht="15" hidden="false" customHeight="false" outlineLevel="0" collapsed="false">
      <c r="A11" s="47" t="s">
        <v>225</v>
      </c>
      <c r="B11" s="48"/>
    </row>
    <row r="12" customFormat="false" ht="15" hidden="false" customHeight="false" outlineLevel="0" collapsed="false">
      <c r="A12" s="4"/>
      <c r="B12" s="49" t="s">
        <v>226</v>
      </c>
    </row>
    <row r="13" customFormat="false" ht="15" hidden="false" customHeight="false" outlineLevel="0" collapsed="false">
      <c r="A13" s="4"/>
      <c r="B13" s="49" t="s">
        <v>227</v>
      </c>
    </row>
    <row r="14" customFormat="false" ht="15" hidden="false" customHeight="false" outlineLevel="0" collapsed="false">
      <c r="A14" s="4"/>
      <c r="B14" s="49" t="s">
        <v>228</v>
      </c>
    </row>
    <row r="15" customFormat="false" ht="15" hidden="false" customHeight="false" outlineLevel="0" collapsed="false">
      <c r="A15" s="4"/>
      <c r="B15" s="49" t="s">
        <v>229</v>
      </c>
    </row>
    <row r="16" customFormat="false" ht="15" hidden="false" customHeight="false" outlineLevel="0" collapsed="false">
      <c r="A16" s="4"/>
      <c r="B16" s="49" t="s">
        <v>230</v>
      </c>
    </row>
    <row r="17" customFormat="false" ht="15" hidden="false" customHeight="false" outlineLevel="0" collapsed="false">
      <c r="A17" s="4"/>
      <c r="B17" s="49" t="s">
        <v>231</v>
      </c>
    </row>
    <row r="18" customFormat="false" ht="15" hidden="false" customHeight="false" outlineLevel="0" collapsed="false">
      <c r="A18" s="4"/>
      <c r="B18" s="49" t="s">
        <v>232</v>
      </c>
    </row>
    <row r="19" customFormat="false" ht="15" hidden="false" customHeight="false" outlineLevel="0" collapsed="false">
      <c r="A19" s="4"/>
      <c r="B19" s="49" t="s">
        <v>233</v>
      </c>
    </row>
    <row r="20" customFormat="false" ht="15" hidden="false" customHeight="false" outlineLevel="0" collapsed="false">
      <c r="A20" s="4"/>
      <c r="B20" s="49" t="s">
        <v>234</v>
      </c>
    </row>
    <row r="21" customFormat="false" ht="15" hidden="false" customHeight="false" outlineLevel="0" collapsed="false">
      <c r="A21" s="4"/>
      <c r="B21" s="49" t="s">
        <v>235</v>
      </c>
    </row>
    <row r="22" customFormat="false" ht="15" hidden="false" customHeight="false" outlineLevel="0" collapsed="false">
      <c r="A22" s="4"/>
      <c r="B22" s="49" t="s">
        <v>236</v>
      </c>
    </row>
    <row r="23" customFormat="false" ht="15" hidden="false" customHeight="false" outlineLevel="0" collapsed="false">
      <c r="A23" s="4"/>
      <c r="B23" s="49" t="s">
        <v>237</v>
      </c>
    </row>
    <row r="24" customFormat="false" ht="15" hidden="false" customHeight="false" outlineLevel="0" collapsed="false">
      <c r="A24" s="4"/>
      <c r="B24" s="49" t="s">
        <v>238</v>
      </c>
    </row>
    <row r="25" customFormat="false" ht="15" hidden="false" customHeight="false" outlineLevel="0" collapsed="false">
      <c r="A25" s="4"/>
      <c r="B25" s="49" t="s">
        <v>239</v>
      </c>
    </row>
    <row r="26" customFormat="false" ht="15" hidden="false" customHeight="false" outlineLevel="0" collapsed="false">
      <c r="A26" s="4"/>
      <c r="B26" s="49" t="s">
        <v>240</v>
      </c>
    </row>
    <row r="27" customFormat="false" ht="15" hidden="false" customHeight="false" outlineLevel="0" collapsed="false">
      <c r="A27" s="47" t="s">
        <v>241</v>
      </c>
      <c r="B27" s="48"/>
    </row>
    <row r="28" customFormat="false" ht="15" hidden="false" customHeight="false" outlineLevel="0" collapsed="false">
      <c r="A28" s="4"/>
      <c r="B28" s="49" t="s">
        <v>242</v>
      </c>
    </row>
    <row r="29" customFormat="false" ht="15" hidden="false" customHeight="false" outlineLevel="0" collapsed="false">
      <c r="A29" s="4"/>
      <c r="B29" s="49" t="s">
        <v>243</v>
      </c>
    </row>
    <row r="30" customFormat="false" ht="15" hidden="false" customHeight="false" outlineLevel="0" collapsed="false">
      <c r="A30" s="4"/>
      <c r="B30" s="49" t="s">
        <v>244</v>
      </c>
    </row>
    <row r="31" customFormat="false" ht="15" hidden="false" customHeight="false" outlineLevel="0" collapsed="false">
      <c r="A31" s="4"/>
      <c r="B31" s="49" t="s">
        <v>245</v>
      </c>
    </row>
    <row r="32" customFormat="false" ht="15" hidden="false" customHeight="false" outlineLevel="0" collapsed="false">
      <c r="A32" s="47" t="s">
        <v>246</v>
      </c>
      <c r="B32" s="48"/>
    </row>
    <row r="33" customFormat="false" ht="15" hidden="false" customHeight="false" outlineLevel="0" collapsed="false">
      <c r="A33" s="4"/>
      <c r="B33" s="49" t="s">
        <v>247</v>
      </c>
    </row>
    <row r="34" customFormat="false" ht="15" hidden="false" customHeight="false" outlineLevel="0" collapsed="false">
      <c r="A34" s="4"/>
      <c r="B34" s="49" t="s">
        <v>248</v>
      </c>
    </row>
    <row r="35" customFormat="false" ht="15" hidden="false" customHeight="false" outlineLevel="0" collapsed="false">
      <c r="A35" s="4"/>
      <c r="B35" s="49" t="s">
        <v>249</v>
      </c>
    </row>
    <row r="36" customFormat="false" ht="15" hidden="false" customHeight="false" outlineLevel="0" collapsed="false">
      <c r="A36" s="47" t="s">
        <v>250</v>
      </c>
      <c r="B36" s="48"/>
    </row>
    <row r="37" customFormat="false" ht="15" hidden="false" customHeight="false" outlineLevel="0" collapsed="false">
      <c r="A37" s="4"/>
      <c r="B37" s="49" t="s">
        <v>251</v>
      </c>
    </row>
    <row r="38" customFormat="false" ht="15" hidden="false" customHeight="false" outlineLevel="0" collapsed="false">
      <c r="A38" s="4"/>
      <c r="B38" s="49" t="s">
        <v>252</v>
      </c>
    </row>
    <row r="39" customFormat="false" ht="15" hidden="false" customHeight="false" outlineLevel="0" collapsed="false">
      <c r="A39" s="4"/>
      <c r="B39" s="49" t="s">
        <v>253</v>
      </c>
    </row>
    <row r="40" customFormat="false" ht="15" hidden="false" customHeight="false" outlineLevel="0" collapsed="false">
      <c r="A40" s="4"/>
      <c r="B40" s="49" t="s">
        <v>254</v>
      </c>
    </row>
    <row r="41" customFormat="false" ht="15" hidden="false" customHeight="false" outlineLevel="0" collapsed="false">
      <c r="A41" s="4"/>
      <c r="B41" s="49" t="s">
        <v>255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2026-08-31T00:09:48Z</dcterms:created>
  <dc:creator>openpyxl</dc:creator>
  <dc:description/>
  <dc:language>en-US</dc:language>
  <cp:lastModifiedBy/>
  <dcterms:modified xsi:type="dcterms:W3CDTF">2026-08-31T00:09:48Z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